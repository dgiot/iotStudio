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565" windowHeight="9205" tabRatio="600" firstSheet="0" activeTab="0" autoFilterDateGrouping="1"/>
  </bookViews>
  <sheets>
    <sheet xmlns:r="http://schemas.openxmlformats.org/officeDocument/2006/relationships" name="报价汇总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28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Microsoft YaHei"/>
      <charset val="134"/>
      <b val="1"/>
      <sz val="14"/>
    </font>
    <font>
      <name val="Microsoft YaHei"/>
      <charset val="134"/>
      <sz val="11"/>
    </font>
    <font>
      <name val="Microsoft YaHei"/>
      <charset val="134"/>
      <b val="1"/>
      <color rgb="FFFFFFFF"/>
      <sz val="11"/>
    </font>
    <font>
      <name val="Microsoft YaHei"/>
      <charset val="134"/>
      <b val="1"/>
      <sz val="11"/>
    </font>
    <font>
      <name val="Microsoft YaHei"/>
      <charset val="134"/>
      <sz val="9"/>
    </font>
    <font>
      <name val="Microsoft YaHei"/>
      <charset val="134"/>
      <sz val="10"/>
    </font>
    <font>
      <name val="Microsoft YaHei"/>
      <charset val="134"/>
      <b val="1"/>
      <color rgb="FFFFFFFF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5F7FA"/>
        <bgColor rgb="FFF5F7FA"/>
      </patternFill>
    </fill>
    <fill>
      <patternFill patternType="solid">
        <fgColor rgb="FFE8EDF5"/>
        <bgColor rgb="FFE8ED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3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4" applyAlignment="1">
      <alignment vertical="center"/>
    </xf>
    <xf numFmtId="0" fontId="15" fillId="0" borderId="4" applyAlignment="1">
      <alignment vertical="center"/>
    </xf>
    <xf numFmtId="0" fontId="16" fillId="0" borderId="5" applyAlignment="1">
      <alignment vertical="center"/>
    </xf>
    <xf numFmtId="0" fontId="16" fillId="0" borderId="0" applyAlignment="1">
      <alignment vertical="center"/>
    </xf>
    <xf numFmtId="0" fontId="17" fillId="7" borderId="6" applyAlignment="1">
      <alignment vertical="center"/>
    </xf>
    <xf numFmtId="0" fontId="18" fillId="8" borderId="7" applyAlignment="1">
      <alignment vertical="center"/>
    </xf>
    <xf numFmtId="0" fontId="19" fillId="8" borderId="6" applyAlignment="1">
      <alignment vertical="center"/>
    </xf>
    <xf numFmtId="0" fontId="20" fillId="9" borderId="8" applyAlignment="1">
      <alignment vertical="center"/>
    </xf>
    <xf numFmtId="0" fontId="21" fillId="0" borderId="9" applyAlignment="1">
      <alignment vertical="center"/>
    </xf>
    <xf numFmtId="0" fontId="22" fillId="0" borderId="1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2" fontId="7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2" fontId="7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8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8" fillId="2" borderId="1" applyAlignment="1" pivotButton="0" quotePrefix="0" xfId="0">
      <alignment horizontal="center" vertical="center" wrapText="1"/>
    </xf>
    <xf numFmtId="2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right" vertical="center"/>
    </xf>
    <xf numFmtId="164" fontId="4" fillId="2" borderId="1" applyAlignment="1" pivotButton="0" quotePrefix="0" xfId="0">
      <alignment horizontal="center" vertical="center" wrapText="1"/>
    </xf>
    <xf numFmtId="0" fontId="0" fillId="0" borderId="13" pivotButton="0" quotePrefix="0" xfId="0"/>
    <xf numFmtId="164" fontId="7" fillId="5" borderId="1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00"/>
  <sheetViews>
    <sheetView tabSelected="1" topLeftCell="A47" workbookViewId="0">
      <selection activeCell="B6" sqref="B6"/>
    </sheetView>
  </sheetViews>
  <sheetFormatPr baseColWidth="8" defaultColWidth="9" defaultRowHeight="14.1"/>
  <cols>
    <col width="10.9009009009009" customWidth="1" min="1" max="1"/>
    <col width="30" customWidth="1" style="1" min="2" max="2"/>
    <col width="10.0990990990991" customWidth="1" style="1" min="3" max="3"/>
    <col width="16.7027027027027" customWidth="1" style="31" min="4" max="4"/>
    <col width="82.70270270270269" customWidth="1" style="3" min="5" max="5"/>
  </cols>
  <sheetData>
    <row r="1" ht="20.1" customHeight="1">
      <c r="A1" s="4" t="inlineStr">
        <is>
          <t>时序数据采集与应用管理系统 —— 报价汇总表 V9</t>
        </is>
      </c>
    </row>
    <row r="2" ht="16.25" customHeight="1">
      <c r="A2" s="5" t="inlineStr">
        <is>
          <t>项目名称：时序数据采集与应用管理系统</t>
        </is>
      </c>
      <c r="D2" s="32" t="inlineStr">
        <is>
          <t>日期：2026年8月</t>
        </is>
      </c>
    </row>
    <row r="3" ht="15.45" customHeight="1">
      <c r="A3" s="7" t="inlineStr">
        <is>
          <t>序号</t>
        </is>
      </c>
      <c r="B3" s="7" t="inlineStr">
        <is>
          <t>模块名称</t>
        </is>
      </c>
      <c r="C3" s="7" t="inlineStr">
        <is>
          <t>数量</t>
        </is>
      </c>
      <c r="D3" s="33" t="inlineStr">
        <is>
          <t>金额(万元)</t>
        </is>
      </c>
      <c r="E3" s="7" t="inlineStr">
        <is>
          <t>说明</t>
        </is>
      </c>
    </row>
    <row r="4" ht="25.7" customHeight="1">
      <c r="A4" s="9" t="inlineStr">
        <is>
          <t>一、边缘中枢时序数据应用管理系统软件开发</t>
        </is>
      </c>
      <c r="B4" s="34" t="n"/>
      <c r="C4" s="34" t="n"/>
      <c r="D4" s="26" t="n"/>
      <c r="E4" s="11" t="inlineStr">
        <is>
          <t>标准化软件产品，一次开发、多项目复用
可承载500万数据节点的并发处理能力，多作业区时序数据核心管理平台</t>
        </is>
      </c>
    </row>
    <row r="5" ht="27.45" customHeight="1">
      <c r="A5" s="12" t="n">
        <v>1</v>
      </c>
      <c r="B5" s="13" t="inlineStr">
        <is>
          <t>服务治理与配置中心</t>
        </is>
      </c>
      <c r="C5" s="12" t="n">
        <v>1</v>
      </c>
      <c r="D5" s="14" t="n">
        <v>35</v>
      </c>
      <c r="E5" s="13" t="inlineStr">
        <is>
          <t>异步框架+插件注册制内核+配置中心(热加载/回滚/审计)；200+ REST API统一服务网关；分布式节点统一管理</t>
        </is>
      </c>
    </row>
    <row r="6" ht="27.45" customHeight="1">
      <c r="A6" s="15" t="n">
        <v>2</v>
      </c>
      <c r="B6" s="16" t="inlineStr">
        <is>
          <t>多协议解析引擎（含A11专有协议与10+工业协议）</t>
        </is>
      </c>
      <c r="C6" s="15" t="n">
        <v>1</v>
      </c>
      <c r="D6" s="17" t="n">
        <v>38</v>
      </c>
      <c r="E6" s="16" t="inlineStr">
        <is>
          <t>A11专有协议(psAPISDK/CommBridge协议解析+Tag ID发现)；Modbus RTU/TCP、OPC UA/DA、IEC104、MQTT、HTTP等协议统一解析引擎；协议插件注册制，非标协议按需接入</t>
        </is>
      </c>
    </row>
    <row r="7" ht="27.45" customHeight="1">
      <c r="A7" s="12" t="n">
        <v>3</v>
      </c>
      <c r="B7" s="13" t="inlineStr">
        <is>
          <t>混合存储引擎与数据生命周期管理</t>
        </is>
      </c>
      <c r="C7" s="12" t="n">
        <v>1</v>
      </c>
      <c r="D7" s="14" t="n">
        <v>32</v>
      </c>
      <c r="E7" s="13" t="inlineStr">
        <is>
          <t>TDengine时序引擎(高频流式写入/毫秒级多维查询) + PostgreSQL关系引擎(元数据/配置/台账) + SQLite边缘降级存储；冷热温数据自动分层；自动分区与保留策略</t>
        </is>
      </c>
    </row>
    <row r="8" ht="27.45" customHeight="1">
      <c r="A8" s="15" t="n">
        <v>4</v>
      </c>
      <c r="B8" s="16" t="inlineStr">
        <is>
          <t>消息中间件与边云同步通道</t>
        </is>
      </c>
      <c r="C8" s="15" t="n">
        <v>1</v>
      </c>
      <c r="D8" s="17" t="n">
        <v>35</v>
      </c>
      <c r="E8" s="16" t="inlineStr">
        <is>
          <t>MQTT/HTTP双协议消息中间件；QoS 0/1/2分级 + Topic ACL权限控制；边缘代理-边缘中枢双向消息同步引擎；事件驱动架构，百万级测点高并发中枢(全油田16厂·100+作业区全部接入·260万+点位满频采集)</t>
        </is>
      </c>
    </row>
    <row r="9" ht="27.45" customHeight="1">
      <c r="A9" s="12" t="n">
        <v>5</v>
      </c>
      <c r="B9" s="13" t="inlineStr">
        <is>
          <t>定制化流水计算引擎（15种内置算法+定制注册）</t>
        </is>
      </c>
      <c r="C9" s="12" t="n">
        <v>1</v>
      </c>
      <c r="D9" s="14" t="n">
        <v>32</v>
      </c>
      <c r="E9" s="13" t="inlineStr">
        <is>
          <t>入库前流水计算架构(替代入库-轮询-告警)；15种工业算法内置(6种滑窗特征+9种判断规则)；单条&lt;1ms内存判定；支持120+作业区各≥1种定制算法注册；事件驱动替代数据库轮询</t>
        </is>
      </c>
    </row>
    <row r="10" ht="27.45" customHeight="1">
      <c r="A10" s="15" t="n">
        <v>6</v>
      </c>
      <c r="B10" s="16" t="inlineStr">
        <is>
          <t>流式告警规则引擎与通知管理</t>
        </is>
      </c>
      <c r="C10" s="15" t="n">
        <v>1</v>
      </c>
      <c r="D10" s="17" t="n">
        <v>35</v>
      </c>
      <c r="E10" s="16" t="inlineStr">
        <is>
          <t>入库前流水线判定架构；告警全生命周期管理：去重/合并/抑制/分级通知(Critical/Error/Warning/Info四级)；逐井差异化调优；告警升级闭环</t>
        </is>
      </c>
    </row>
    <row r="11">
      <c r="A11" s="12" t="n">
        <v>7</v>
      </c>
      <c r="B11" s="13" t="inlineStr">
        <is>
          <t>可视化规则编排</t>
        </is>
      </c>
      <c r="C11" s="12" t="n">
        <v>1</v>
      </c>
      <c r="D11" s="14" t="n">
        <v>25</v>
      </c>
      <c r="E11" s="13" t="inlineStr">
        <is>
          <t>规则配置、预制模板、规则组合编排、版本管理；拖拽式规则设计器</t>
        </is>
      </c>
    </row>
    <row r="12" ht="27.45" customHeight="1">
      <c r="A12" s="15" t="n">
        <v>8</v>
      </c>
      <c r="B12" s="16" t="inlineStr">
        <is>
          <t>一体化运维管控与可视化控制台</t>
        </is>
      </c>
      <c r="C12" s="15" t="n">
        <v>1</v>
      </c>
      <c r="D12" s="17" t="n">
        <v>32.5</v>
      </c>
      <c r="E12" s="16" t="inlineStr">
        <is>
          <t>设备管理/告警管理/资产管理/报表中心/GIS地图；拖拽式仪表盘定制引擎；组织树(厂-矿-作业区-井)数据初始化</t>
        </is>
      </c>
    </row>
    <row r="13" ht="27.45" customHeight="1">
      <c r="A13" s="12" t="n">
        <v>9</v>
      </c>
      <c r="B13" s="13" t="inlineStr">
        <is>
          <t>全链路安全与审计追溯平台（国密SM2/3/4+信创基础）</t>
        </is>
      </c>
      <c r="C13" s="12" t="n">
        <v>1</v>
      </c>
      <c r="D13" s="14" t="n">
        <v>20.5</v>
      </c>
      <c r="E13" s="13" t="inlineStr">
        <is>
          <t>国密算法套件(SM2/3/4加密存储传输)；三重安全体系：设备身份认证+用户RBAC授权(角色/岗位/数据三级粒度)+全操作审计；全链路加密与审计追溯</t>
        </is>
      </c>
    </row>
    <row r="14" ht="30.85" customHeight="1">
      <c r="A14" s="18" t="n"/>
      <c r="B14" s="9" t="inlineStr">
        <is>
          <t>边缘中枢时序数据应用管理系统软件开发小计</t>
        </is>
      </c>
      <c r="C14" s="18" t="n">
        <v>1</v>
      </c>
      <c r="D14" s="19">
        <f>SUM(D5:D13)</f>
        <v/>
      </c>
      <c r="E14" s="11" t="inlineStr">
        <is>
          <t>引擎/框架/平台/控制台——两大核心引擎之"定制化流水计算"的平台侧实现</t>
        </is>
      </c>
    </row>
    <row r="15" ht="25.7" customHeight="1">
      <c r="A15" s="9" t="inlineStr">
        <is>
          <t>二、边缘中枢汇聚系统开发</t>
        </is>
      </c>
      <c r="B15" s="34" t="n"/>
      <c r="C15" s="34" t="n"/>
      <c r="D15" s="26" t="n"/>
      <c r="E15" s="11" t="inlineStr">
        <is>
          <t>标准化软件产品，一次开发、多项目复用
中枢侧系统开发，中枢侧在DMZ区的部署实施——两大核心引擎之采集策略多样化的边缘汇聚层——两大核心引擎之"采集策略多样化"的边缘汇聚层</t>
        </is>
      </c>
    </row>
    <row r="16" ht="27.45" customHeight="1">
      <c r="A16" s="12" t="n">
        <v>1</v>
      </c>
      <c r="B16" s="13" t="inlineStr">
        <is>
          <t>边缘-中心消息通道与边云同步</t>
        </is>
      </c>
      <c r="C16" s="12" t="n">
        <v>1</v>
      </c>
      <c r="D16" s="14" t="n">
        <v>15</v>
      </c>
      <c r="E16" s="13" t="inlineStr">
        <is>
          <t>配置EdgeHub汇聚节点：MQTT Broker部署与Topic命名规范实施、QoS等级按数据类型分级设置；边缘→中心数据推送上行通道测试；边云双向同步引擎</t>
        </is>
      </c>
    </row>
    <row r="17" ht="27.45" customHeight="1">
      <c r="A17" s="15" t="n">
        <v>2</v>
      </c>
      <c r="B17" s="16" t="inlineStr">
        <is>
          <t>边缘分级存储部署与策略实施</t>
        </is>
      </c>
      <c r="C17" s="15" t="n">
        <v>1</v>
      </c>
      <c r="D17" s="17" t="n">
        <v>16</v>
      </c>
      <c r="E17" s="16" t="inlineStr">
        <is>
          <t>在边缘节点部署TDengine时序库+PostgreSQL关系库+SQLite降级库；按作业区数据量规划SSD/HDD分区方案；配置热数据(3天SSD)/温数据(30天HDD)/冷数据归档策略</t>
        </is>
      </c>
    </row>
    <row r="18" ht="27.45" customHeight="1">
      <c r="A18" s="12" t="n">
        <v>3</v>
      </c>
      <c r="B18" s="13" t="inlineStr">
        <is>
          <t>边缘运维监控面板部署</t>
        </is>
      </c>
      <c r="C18" s="12" t="n">
        <v>1</v>
      </c>
      <c r="D18" s="14" t="n">
        <v>12</v>
      </c>
      <c r="E18" s="13" t="inlineStr">
        <is>
          <t>部署Vue3前端资源到边缘节点Nginx；配置各作业区专属仪表盘(设备状态/采集质量/告警态势)；组织树与GIS地图数据初始化(厂-矿-作业区-井)</t>
        </is>
      </c>
    </row>
    <row r="19" ht="27.45" customHeight="1">
      <c r="A19" s="15" t="n">
        <v>4</v>
      </c>
      <c r="B19" s="16" t="inlineStr">
        <is>
          <t>设备统一动态感知（静态IP+移动网关）</t>
        </is>
      </c>
      <c r="C19" s="15" t="n">
        <v>1</v>
      </c>
      <c r="D19" s="17" t="n">
        <v>8</v>
      </c>
      <c r="E19" s="16" t="inlineStr">
        <is>
          <t>静态IP终端+移动网关统一感知：上线/下线/设备增删事件自动识别、网关台账管理；动态IP感知与端口映射穿透</t>
        </is>
      </c>
    </row>
    <row r="20" ht="27.45" customHeight="1">
      <c r="A20" s="12" t="n">
        <v>5</v>
      </c>
      <c r="B20" s="13" t="inlineStr">
        <is>
          <t>边缘安全合规配置与加密部署</t>
        </is>
      </c>
      <c r="C20" s="12" t="n">
        <v>1</v>
      </c>
      <c r="D20" s="14" t="n">
        <v>8</v>
      </c>
      <c r="E20" s="13" t="inlineStr">
        <is>
          <t>边缘节点安全加固：防火墙规则配置(仅开放必要端口)、SSH访问控制；国密算法库部署与配置；MQTT TLS证书签发与安全策略；生产网只出不进规则</t>
        </is>
      </c>
    </row>
    <row r="21" ht="27.45" customHeight="1">
      <c r="A21" s="15" t="n">
        <v>6</v>
      </c>
      <c r="B21" s="16" t="inlineStr">
        <is>
          <t>边缘流式计算节点部署（入库前流水计算架构）</t>
        </is>
      </c>
      <c r="C21" s="15" t="n">
        <v>1</v>
      </c>
      <c r="D21" s="17" t="n">
        <v>12</v>
      </c>
      <c r="E21" s="16" t="inlineStr">
        <is>
          <t>边缘侧入库前流水计算架构部署(采集-计算-告警一气呵成，替代入库-轮询-告警)；事件驱动引擎配置；单条&lt;1ms、CPU&lt;5%性能达标验证</t>
        </is>
      </c>
    </row>
    <row r="22">
      <c r="A22" s="12" t="n">
        <v>7</v>
      </c>
      <c r="B22" s="13" t="inlineStr">
        <is>
          <t>历史回放与规则动态优化</t>
        </is>
      </c>
      <c r="C22" s="12" t="n">
        <v>1</v>
      </c>
      <c r="D22" s="14" t="n">
        <v>16</v>
      </c>
      <c r="E22" s="13" t="inlineStr">
        <is>
          <t>历史规则回放评估、离线检测、规则动态优化；多粒度(日月年)统计聚合验证</t>
        </is>
      </c>
    </row>
    <row r="23">
      <c r="A23" s="15" t="n">
        <v>8</v>
      </c>
      <c r="B23" s="16" t="inlineStr">
        <is>
          <t>告警分级与闭环管理</t>
        </is>
      </c>
      <c r="C23" s="15" t="n">
        <v>1</v>
      </c>
      <c r="D23" s="17" t="n">
        <v>15</v>
      </c>
      <c r="E23" s="16" t="inlineStr">
        <is>
          <t>四级告警(Critical/Error/Warning/Info)配置、差异化通知策略、升级闭环流程验证</t>
        </is>
      </c>
    </row>
    <row r="24" ht="15.45" customHeight="1">
      <c r="A24" s="18" t="n"/>
      <c r="B24" s="9" t="inlineStr">
        <is>
          <t>边缘中枢汇聚系统开发小计</t>
        </is>
      </c>
      <c r="C24" s="18" t="n">
        <v>1</v>
      </c>
      <c r="D24" s="19">
        <f>SUM(D16:D23)</f>
        <v/>
      </c>
      <c r="E24" s="11" t="inlineStr">
        <is>
          <t>边缘侧：环境部署/接入配置/联调/合规——采集策略多样化的边缘承载层</t>
        </is>
      </c>
    </row>
    <row r="25" ht="25.7" customHeight="1">
      <c r="A25" s="9" t="inlineStr">
        <is>
          <t>三、边缘数据采集与历史计算模块</t>
        </is>
      </c>
      <c r="B25" s="34" t="n"/>
      <c r="C25" s="34" t="n"/>
      <c r="D25" s="26" t="n"/>
      <c r="E25" s="11" t="inlineStr">
        <is>
          <t>标准化软件产品，一次开发、多项目复用
边缘端数据采集与计算的标准化功能组件——两大核心引擎之"采集策略多样化"的采集执行层</t>
        </is>
      </c>
    </row>
    <row r="26" ht="27.45" customHeight="1">
      <c r="A26" s="12" t="n">
        <v>1</v>
      </c>
      <c r="B26" s="13" t="inlineStr">
        <is>
          <t>边缘采集模块（多协议统一采集管道）</t>
        </is>
      </c>
      <c r="C26" s="12" t="n">
        <v>1</v>
      </c>
      <c r="D26" s="14" t="n">
        <v>15</v>
      </c>
      <c r="E26" s="13" t="inlineStr">
        <is>
          <t>多协议统一采集管道(Modbus/OPC/MQTT/HTTP)；入库前流水线计算(采集-计算-告警一气呵成)；动态采集频率调度(正常/升频/降频/避让)；三阶段渐进接入(观察→桥接复制→稳定并行)</t>
        </is>
      </c>
    </row>
    <row r="27" ht="27.45" customHeight="1">
      <c r="A27" s="15" t="n">
        <v>2</v>
      </c>
      <c r="B27" s="16" t="inlineStr">
        <is>
          <t>作业区适配层（ZoneAdapter配置驱动）</t>
        </is>
      </c>
      <c r="C27" s="15" t="n">
        <v>1</v>
      </c>
      <c r="D27" s="17" t="n">
        <v>10</v>
      </c>
      <c r="E27" s="16" t="inlineStr">
        <is>
          <t>ZoneAdapter配置驱动编排器；A11桥接/OPC DA/Modbus感知/本机业务4子模块；作业区资源隔离与独立运行；配置文件驱动零代码部署</t>
        </is>
      </c>
    </row>
    <row r="28" ht="27.45" customHeight="1">
      <c r="A28" s="12" t="n">
        <v>3</v>
      </c>
      <c r="B28" s="13" t="inlineStr">
        <is>
          <t>设备动态感知（Modbus TCP/RTU统一感知+流量学习）</t>
        </is>
      </c>
      <c r="C28" s="12" t="n">
        <v>1</v>
      </c>
      <c r="D28" s="14" t="n">
        <v>12</v>
      </c>
      <c r="E28" s="13" t="inlineStr">
        <is>
          <t>静态IP+移动网关统一感知；设备上线/下线/增删事件自动识别；MBAP从站/寄存器解析+点位集合diff；流量学习(设备/点位/指纹/帧漂移)；10家主流网关厂家适配框架</t>
        </is>
      </c>
    </row>
    <row r="29" ht="27.45" customHeight="1">
      <c r="A29" s="15" t="n">
        <v>4</v>
      </c>
      <c r="B29" s="16" t="inlineStr">
        <is>
          <t>路由监听分析模块</t>
        </is>
      </c>
      <c r="C29" s="15" t="n">
        <v>1</v>
      </c>
      <c r="D29" s="17" t="n">
        <v>10</v>
      </c>
      <c r="E29" s="16" t="inlineStr">
        <is>
          <t>静态客户端采集/动态桥接转发；流跟踪与协议自动识别；设备指纹/帧漂移异常检测；流量学习基线建立</t>
        </is>
      </c>
    </row>
    <row r="30" ht="27.45" customHeight="1">
      <c r="A30" s="12" t="n">
        <v>5</v>
      </c>
      <c r="B30" s="13" t="inlineStr">
        <is>
          <t>历史计算模块（多粒度聚合+回放+报告）</t>
        </is>
      </c>
      <c r="C30" s="12" t="n">
        <v>1</v>
      </c>
      <c r="D30" s="14" t="n">
        <v>8</v>
      </c>
      <c r="E30" s="13" t="inlineStr">
        <is>
          <t>日月年多粒度统计聚合；历史数据回放与离线检测；HTML/JSON格式报告自动生成；规则历史回放评估与动态优化</t>
        </is>
      </c>
    </row>
    <row r="31" ht="27.45" customHeight="1">
      <c r="A31" s="15" t="n">
        <v>6</v>
      </c>
      <c r="B31" s="16" t="inlineStr">
        <is>
          <t>稳定性保障（7×24h连续+容错验证）</t>
        </is>
      </c>
      <c r="C31" s="15" t="n">
        <v>1</v>
      </c>
      <c r="D31" s="17" t="n">
        <v>5</v>
      </c>
      <c r="E31" s="16" t="inlineStr">
        <is>
          <t>7×24小时连续观察；兼容性测试(多厂商/多协议/多版本)；性能持续调优；故障注入与容错验证</t>
        </is>
      </c>
    </row>
    <row r="32" ht="30.85" customHeight="1">
      <c r="A32" s="18" t="n"/>
      <c r="B32" s="9" t="inlineStr">
        <is>
          <t>边缘数据采集与历史计算模块开发小计</t>
        </is>
      </c>
      <c r="C32" s="18" t="n">
        <v>1</v>
      </c>
      <c r="D32" s="19">
        <f>SUM(D26:D31)</f>
        <v/>
      </c>
      <c r="E32" s="11" t="inlineStr">
        <is>
          <t>边缘数据采集标准化组件——路由监听双路采集+动态感知+历史计算</t>
        </is>
      </c>
    </row>
    <row r="33" ht="25.7" customHeight="1">
      <c r="A33" s="9" t="inlineStr">
        <is>
          <t>四、各作业区定制开发服务</t>
        </is>
      </c>
      <c r="B33" s="34" t="n"/>
      <c r="C33" s="34" t="n"/>
      <c r="D33" s="26" t="n"/>
      <c r="E33" s="11" t="inlineStr">
        <is>
          <t>每个作业区均不同，需按实际环境和要求定制开发
按各作业区实际设备情况、协议差异、业务需求独立定制——两大核心引擎的作业区级定制化落地</t>
        </is>
      </c>
    </row>
    <row r="34" ht="30.85" customHeight="1">
      <c r="A34" s="20" t="n"/>
      <c r="B34" s="21" t="inlineStr">
        <is>
          <t>【A】采集策略多样化定制（怎么采——按作业区定制）</t>
        </is>
      </c>
      <c r="C34" s="22" t="inlineStr">
        <is>
          <t>数量</t>
        </is>
      </c>
      <c r="D34" s="35" t="n"/>
      <c r="E34" s="24" t="inlineStr">
        <is>
          <t>对应两大核心引擎之"采集策略多样化"：双路采集分流+三阶段渐进+动态调频+网关适配+断网补传</t>
        </is>
      </c>
    </row>
    <row r="35" ht="27.45" customHeight="1">
      <c r="A35" s="12" t="n">
        <v>1</v>
      </c>
      <c r="B35" s="13" t="inlineStr">
        <is>
          <t>网关厂家适配（按厂家定制：10家）</t>
        </is>
      </c>
      <c r="C35" s="12" t="n">
        <v>10</v>
      </c>
      <c r="D35" s="14" t="n">
        <v>20</v>
      </c>
      <c r="E35" s="13" t="inlineStr">
        <is>
          <t>宏电/映翰通/亿帆/有人/四信/移远/合宙/中易云/万物纵横/莱特：注册帧识别、设备标识提取、透传解析、心跳保活——各厂家私有透传协议，逐个适配开发</t>
        </is>
      </c>
    </row>
    <row r="36" ht="41.15" customHeight="1">
      <c r="A36" s="15" t="n">
        <v>2</v>
      </c>
      <c r="B36" s="16" t="inlineStr">
        <is>
          <t>现场多协议接入汇聚配置</t>
        </is>
      </c>
      <c r="C36" s="15" t="n">
        <v>10</v>
      </c>
      <c r="D36" s="17" t="n">
        <v>10</v>
      </c>
      <c r="E36" s="16" t="inlineStr">
        <is>
          <t>按各作业区实际设备型号逐一配置协议接入参数：Modbus RTU/TCP从站地址与寄存器表映射、IEC104遥测遥信点表导入、OPC UA/DA节点路径与订阅策略配置；MQTT/HTTP非标设备Topic与Payload模板定义</t>
        </is>
      </c>
    </row>
    <row r="37" ht="27.45" customHeight="1">
      <c r="A37" s="12" t="n">
        <v>3</v>
      </c>
      <c r="B37" s="13" t="inlineStr">
        <is>
          <t>设备动态感知与识别（Modbus TCP动态识别）</t>
        </is>
      </c>
      <c r="C37" s="12" t="n">
        <v>10</v>
      </c>
      <c r="D37" s="14" t="n">
        <v>5</v>
      </c>
      <c r="E37" s="13" t="inlineStr">
        <is>
          <t>MBAP从站/寄存器解析、点位集合diff、流量学习(设备/点位/指纹/帧漂移)；静态IP+动态IP终端统一感知</t>
        </is>
      </c>
    </row>
    <row r="38" ht="27.45" customHeight="1">
      <c r="A38" s="15" t="n">
        <v>4</v>
      </c>
      <c r="B38" s="16" t="inlineStr">
        <is>
          <t>智能动态调频（异常加密/低峰降频/弱网退避）</t>
        </is>
      </c>
      <c r="C38" s="15" t="n">
        <v>10</v>
      </c>
      <c r="D38" s="17" t="n">
        <v>8</v>
      </c>
      <c r="E38" s="16" t="inlineStr">
        <is>
          <t>异常加密(10min→秒级)、低峰降频、弱网退避、错峰调度、热加载/回滚/审计——开源采集框架无此油田业务策略，纯业务定制</t>
        </is>
      </c>
    </row>
    <row r="39" ht="27.45" customHeight="1">
      <c r="A39" s="12" t="n">
        <v>5</v>
      </c>
      <c r="B39" s="13" t="inlineStr">
        <is>
          <t>断网缓存与补传（时序补传/去重/幂等）</t>
        </is>
      </c>
      <c r="C39" s="12" t="n">
        <v>10</v>
      </c>
      <c r="D39" s="14" t="n">
        <v>5</v>
      </c>
      <c r="E39" s="13" t="inlineStr">
        <is>
          <t>断网本地缓存、恢复后按时序补传、去重幂等——油田弱网环境特异，开源无此业务闭环</t>
        </is>
      </c>
    </row>
    <row r="40">
      <c r="A40" s="15" t="n">
        <v>6</v>
      </c>
      <c r="B40" s="16" t="inlineStr">
        <is>
          <t>RTU状态感知与健康日报</t>
        </is>
      </c>
      <c r="C40" s="15" t="n">
        <v>10</v>
      </c>
      <c r="D40" s="17" t="n">
        <v>5</v>
      </c>
      <c r="E40" s="16" t="inlineStr">
        <is>
          <t>在线/连续性/抖动/网络质量监测，在线率/完整率/成功率日报</t>
        </is>
      </c>
    </row>
    <row r="41" ht="27.45" customHeight="1">
      <c r="A41" s="12" t="n">
        <v>7</v>
      </c>
      <c r="B41" s="13" t="inlineStr">
        <is>
          <t>非标协议接入（A11未覆盖设备源统一适配）</t>
        </is>
      </c>
      <c r="C41" s="12" t="n">
        <v>10</v>
      </c>
      <c r="D41" s="14" t="n">
        <v>25</v>
      </c>
      <c r="E41" s="13" t="inlineStr">
        <is>
          <t>A11未覆盖设备源统一适配(工程器械/能源计量/安防等，按需)；视频流(RTSP)、智能仪表、新能源设备等新兴设备源接入</t>
        </is>
      </c>
    </row>
    <row r="42" ht="30.85" customHeight="1">
      <c r="A42" s="20" t="n"/>
      <c r="B42" s="21" t="inlineStr">
        <is>
          <t>【B】定制化流水计算（怎么算——按作业区定制）</t>
        </is>
      </c>
      <c r="C42" s="22" t="inlineStr">
        <is>
          <t>数量</t>
        </is>
      </c>
      <c r="D42" s="35" t="n"/>
      <c r="E42" s="24" t="inlineStr">
        <is>
          <t>对应两大核心引擎之"定制化流水计算"：15种内置算法+作业区定制算法+入库前流水计算+物模型驱动+逐井差异化调优</t>
        </is>
      </c>
    </row>
    <row r="43" ht="27.45" customHeight="1">
      <c r="A43" s="15" t="n">
        <v>8</v>
      </c>
      <c r="B43" s="16" t="inlineStr">
        <is>
          <t>作业区适配层（ZoneAdapter配置驱动+4子模块）</t>
        </is>
      </c>
      <c r="C43" s="15" t="n">
        <v>10</v>
      </c>
      <c r="D43" s="17" t="n">
        <v>15</v>
      </c>
      <c r="E43" s="16" t="inlineStr">
        <is>
          <t>配置驱动编排器(A11桥接/OPC DA/Modbus感知/本机业务4子模块)、作业区资源隔离与独立运行、配置文件驱动零代码部署</t>
        </is>
      </c>
    </row>
    <row r="44" ht="27.45" customHeight="1">
      <c r="A44" s="12" t="n">
        <v>9</v>
      </c>
      <c r="B44" s="13" t="inlineStr">
        <is>
          <t>A11桥接与IO业务系统适配（按作业区定制）</t>
        </is>
      </c>
      <c r="C44" s="12" t="n">
        <v>10</v>
      </c>
      <c r="D44" s="14" t="n">
        <v>15</v>
      </c>
      <c r="E44" s="13" t="inlineStr">
        <is>
          <t>每个作业区不同，均需定制，不得影响原A11系统。8889端口对接+透传原IO零影响；路由监听分析(桥接链路)+A11专有协议解析+试点联调桥接验证；原IP:端口抢占+透明转发+TCP流重组+长连接会话跟踪</t>
        </is>
      </c>
    </row>
    <row r="45" ht="27.45" customHeight="1">
      <c r="A45" s="15" t="n">
        <v>10</v>
      </c>
      <c r="B45" s="16" t="inlineStr">
        <is>
          <t>OPC DA直采三级回退（按厂家定制）</t>
        </is>
      </c>
      <c r="C45" s="15" t="n">
        <v>10</v>
      </c>
      <c r="D45" s="17" t="n">
        <v>15</v>
      </c>
      <c r="E45" s="16" t="inlineStr">
        <is>
          <t>DCS/PLC厂家差异适配(权限/协议/点位)、三级回退策略、pSpace数值比对&lt;1%——OPC DA老技术，开源库不维护，现场环境恶劣需自研回退链</t>
        </is>
      </c>
    </row>
    <row r="46" ht="27.45" customHeight="1">
      <c r="A46" s="12" t="n">
        <v>11</v>
      </c>
      <c r="B46" s="13" t="inlineStr">
        <is>
          <t>路由监听</t>
        </is>
      </c>
      <c r="C46" s="12" t="n">
        <v>10</v>
      </c>
      <c r="D46" s="14" t="n">
        <v>15</v>
      </c>
      <c r="E46" s="13" t="inlineStr">
        <is>
          <t>静态客户端采集/动态桥接转发(CPU&lt;5%、延迟&lt;20μs)、流跟踪、协议识别、设备指纹/帧漂移检测——零发包+协议识别+指纹漂移检测全自研</t>
        </is>
      </c>
    </row>
    <row r="47" ht="27.45" customHeight="1">
      <c r="A47" s="15" t="n">
        <v>12</v>
      </c>
      <c r="B47" s="16" t="inlineStr">
        <is>
          <t>物模型匹配与自动配点（G1-G8油水井物模型）</t>
        </is>
      </c>
      <c r="C47" s="15" t="n">
        <v>10</v>
      </c>
      <c r="D47" s="17" t="n">
        <v>12</v>
      </c>
      <c r="E47" s="16" t="inlineStr">
        <is>
          <t>G1-G8油水井物模型(抽油机/螺杆泵/电潜泵等，64点/地址对齐)、自动生成配点表——油田行业特异资产，开源无</t>
        </is>
      </c>
    </row>
    <row r="48" ht="41.15" customHeight="1">
      <c r="A48" s="12" t="n">
        <v>13</v>
      </c>
      <c r="B48" s="13" t="inlineStr">
        <is>
          <t>协议开发对接工程</t>
        </is>
      </c>
      <c r="C48" s="12" t="n">
        <v>10</v>
      </c>
      <c r="D48" s="14" t="n">
        <v>15</v>
      </c>
      <c r="E48" s="13" t="inlineStr">
        <is>
          <t>psAPISDK直连、CommBridge协议解析、12种设备建模、Tag ID自动发现——中石油私有协议，凭授权凭证开发对接</t>
        </is>
      </c>
    </row>
    <row r="49" ht="27.45" customHeight="1">
      <c r="A49" s="15" t="n">
        <v>14</v>
      </c>
      <c r="B49" s="16" t="inlineStr">
        <is>
          <t>多作业区体检台账（批量巡检+横向对比）</t>
        </is>
      </c>
      <c r="C49" s="15" t="n">
        <v>10</v>
      </c>
      <c r="D49" s="17" t="n">
        <v>8</v>
      </c>
      <c r="E49" s="16" t="inlineStr">
        <is>
          <t>批量巡检、横向对比、红黄绿告警、报告自动生成</t>
        </is>
      </c>
    </row>
    <row r="50" ht="30.85" customHeight="1">
      <c r="A50" s="20" t="n"/>
      <c r="B50" s="21" t="inlineStr">
        <is>
          <t>【C】流式计算与现场交付（按作业区定制）</t>
        </is>
      </c>
      <c r="C50" s="22" t="inlineStr">
        <is>
          <t>数量</t>
        </is>
      </c>
      <c r="D50" s="35" t="n"/>
      <c r="E50" s="24" t="inlineStr">
        <is>
          <t>流式计算引擎的作业区级部署、配置与验证——定制化流水计算的现场落地</t>
        </is>
      </c>
    </row>
    <row r="51" ht="27.45" customHeight="1">
      <c r="A51" s="12" t="n">
        <v>15</v>
      </c>
      <c r="B51" s="13" t="inlineStr">
        <is>
          <t>作业区定制流式计算（按场景定制开发）</t>
        </is>
      </c>
      <c r="C51" s="12" t="n">
        <v>10</v>
      </c>
      <c r="D51" s="14" t="n">
        <v>15</v>
      </c>
      <c r="E51" s="13" t="inlineStr">
        <is>
          <t>每个作业区场景不同，均需定制。每作业区≥1种定制算法注册制、批量校验、算法模板库；入库前流水计算(告警入库前完成)；逐井差异化调优</t>
        </is>
      </c>
    </row>
    <row r="52" ht="27.45" customHeight="1">
      <c r="A52" s="15" t="n">
        <v>16</v>
      </c>
      <c r="B52" s="16" t="inlineStr">
        <is>
          <t>边缘节点运行时环境部署</t>
        </is>
      </c>
      <c r="C52" s="15" t="n">
        <v>10</v>
      </c>
      <c r="D52" s="17" t="n">
        <v>5</v>
      </c>
      <c r="E52" s="16" t="inlineStr">
        <is>
          <t>在各作业区工控机/边缘服务器上部署运行时环境：FastAPI框架安装、Python依赖环境配置、系统服务注册(开机自启)；双网卡配置(工控网+办公网)</t>
        </is>
      </c>
    </row>
    <row r="53" ht="27.45" customHeight="1">
      <c r="A53" s="12" t="n">
        <v>17</v>
      </c>
      <c r="B53" s="13" t="inlineStr">
        <is>
          <t>现场告警判定与通知策略配置</t>
        </is>
      </c>
      <c r="C53" s="12" t="n">
        <v>10</v>
      </c>
      <c r="D53" s="14" t="n">
        <v>5</v>
      </c>
      <c r="E53" s="13" t="inlineStr">
        <is>
          <t>按作业区实际需求配置告警规则：抽油机示功图异常/注水井压力突变/电潜泵电流过载等场景阈值设定；通知策略配置(哪些人/什么方式/什么时段)</t>
        </is>
      </c>
    </row>
    <row r="54" ht="27.45" customHeight="1">
      <c r="A54" s="15" t="n">
        <v>18</v>
      </c>
      <c r="B54" s="16" t="inlineStr">
        <is>
          <t>边缘现场集成测试与文档交付</t>
        </is>
      </c>
      <c r="C54" s="15" t="n">
        <v>10</v>
      </c>
      <c r="D54" s="17" t="n">
        <v>2</v>
      </c>
      <c r="E54" s="16" t="inlineStr">
        <is>
          <t>每作业区执行：端到端数据链路测试(现场设备→边缘采集→中心入库→控制台展示)；告警全流程演练(触发→判定→通知→确认→处理→关闭)；性能基线记录</t>
        </is>
      </c>
    </row>
    <row r="55" ht="15.45" customHeight="1">
      <c r="A55" s="18" t="n"/>
      <c r="B55" s="9" t="inlineStr">
        <is>
          <t>各作业区定制开发服务小计</t>
        </is>
      </c>
      <c r="C55" s="18" t="n">
        <v>1</v>
      </c>
      <c r="D55" s="19">
        <f>SUM(D35:D54)</f>
        <v/>
      </c>
      <c r="E55" s="11" t="inlineStr">
        <is>
          <t>两大核心引擎的作业区级定制化落地：采集策略多样化(A)+定制化流水计算(B)+流式计算与现场交付(C)</t>
        </is>
      </c>
    </row>
    <row r="56" ht="25.7" customHeight="1">
      <c r="A56" s="9" t="inlineStr">
        <is>
          <t>五、项目整体交付定制服务</t>
        </is>
      </c>
      <c r="B56" s="34" t="n"/>
      <c r="C56" s="34" t="n"/>
      <c r="D56" s="26" t="n"/>
      <c r="E56" s="11" t="inlineStr">
        <is>
          <t>跨板块的项目级质量保证与交付服务，属于项目级一次性投入
本项目的整体测试、调试、验证、交付、培训等工作</t>
        </is>
      </c>
    </row>
    <row r="57" ht="15.45" customHeight="1">
      <c r="A57" s="20" t="n"/>
      <c r="B57" s="21" t="inlineStr">
        <is>
          <t>测试实施与交付</t>
        </is>
      </c>
      <c r="C57" s="22" t="inlineStr">
        <is>
          <t>数量</t>
        </is>
      </c>
      <c r="D57" s="35" t="n"/>
      <c r="E57" s="20" t="n"/>
    </row>
    <row r="58">
      <c r="A58" s="12" t="n">
        <v>1</v>
      </c>
      <c r="B58" s="13" t="inlineStr">
        <is>
          <t>单元/集成/系统测试</t>
        </is>
      </c>
      <c r="C58" s="12" t="n">
        <v>1</v>
      </c>
      <c r="D58" s="14" t="n">
        <v>20</v>
      </c>
      <c r="E58" s="13" t="inlineStr">
        <is>
          <t>自动化用例、功能/性能/兼容性测试、验收指标验证(500万测点、5万并发)</t>
        </is>
      </c>
    </row>
    <row r="59" ht="27.45" customHeight="1">
      <c r="A59" s="15" t="n">
        <v>2</v>
      </c>
      <c r="B59" s="16" t="inlineStr">
        <is>
          <t>全链路压测验证（全油田16厂·100+作业区全部接入·260万+点位满频采集·15天长稳）</t>
        </is>
      </c>
      <c r="C59" s="15" t="n">
        <v>1</v>
      </c>
      <c r="D59" s="17" t="n">
        <v>12</v>
      </c>
      <c r="E59" s="16" t="inlineStr">
        <is>
          <t>全油田16厂·100+作业区全部接入·260万+点位满频采集、故障注入、15天长稳测试</t>
        </is>
      </c>
    </row>
    <row r="60" ht="27.45" customHeight="1">
      <c r="A60" s="12" t="n">
        <v>3</v>
      </c>
      <c r="B60" s="13" t="inlineStr">
        <is>
          <t>规模化灌数验证（百万级测点MQTT聚合）</t>
        </is>
      </c>
      <c r="C60" s="12" t="n">
        <v>1</v>
      </c>
      <c r="D60" s="14" t="n">
        <v>8</v>
      </c>
      <c r="E60" s="13" t="inlineStr">
        <is>
          <t>百万级测点灌数(MQTT聚合QoS0)、数据完整性校验</t>
        </is>
      </c>
    </row>
    <row r="61" ht="27.45" customHeight="1">
      <c r="A61" s="15" t="n">
        <v>4</v>
      </c>
      <c r="B61" s="16" t="inlineStr">
        <is>
          <t>信创全栈适配（麒麟/UOS+飞腾/鲲鹏+达梦/金仓）</t>
        </is>
      </c>
      <c r="C61" s="15" t="n">
        <v>1</v>
      </c>
      <c r="D61" s="17" t="n">
        <v>8</v>
      </c>
      <c r="E61" s="16" t="inlineStr">
        <is>
          <t>麒麟/统信UOS、飞腾/鲲鹏、达梦/金仓、国产浏览器——社区版时序库不支持信创OS，必须自主适配</t>
        </is>
      </c>
    </row>
    <row r="62" ht="27.45" customHeight="1">
      <c r="A62" s="12" t="n">
        <v>5</v>
      </c>
      <c r="B62" s="13" t="inlineStr">
        <is>
          <t>整体部署实施（A11桥接验证+OPC联调+验收）</t>
        </is>
      </c>
      <c r="C62" s="12" t="n">
        <v>1</v>
      </c>
      <c r="D62" s="14" t="n">
        <v>8</v>
      </c>
      <c r="E62" s="13" t="inlineStr">
        <is>
          <t>整体软件配置部署/A11桥接验证(实施前后A11运行对比记录)/OPC联调/验收</t>
        </is>
      </c>
    </row>
    <row r="63">
      <c r="A63" s="15" t="n">
        <v>6</v>
      </c>
      <c r="B63" s="16" t="inlineStr">
        <is>
          <t>文档交付</t>
        </is>
      </c>
      <c r="C63" s="15" t="n">
        <v>1</v>
      </c>
      <c r="D63" s="17" t="n">
        <v>10.04</v>
      </c>
      <c r="E63" s="16" t="inlineStr">
        <is>
          <t>需求规格/概要设计/详细设计/测试报告/用户手册/运维手册</t>
        </is>
      </c>
    </row>
    <row r="64" ht="27.45" customHeight="1">
      <c r="A64" s="12" t="n">
        <v>7</v>
      </c>
      <c r="B64" s="13" t="inlineStr">
        <is>
          <t>培训（跟学共建+源码讲解+独立运维考核）</t>
        </is>
      </c>
      <c r="C64" s="12" t="n">
        <v>1</v>
      </c>
      <c r="D64" s="14" t="n">
        <v>12</v>
      </c>
      <c r="E64" s="13" t="inlineStr">
        <is>
          <t>甲方团队培训、源码讲解、独立运维考核</t>
        </is>
      </c>
    </row>
    <row r="65" ht="15.45" customHeight="1">
      <c r="A65" s="18" t="n"/>
      <c r="B65" s="9" t="inlineStr">
        <is>
          <t>项目整体交付定制服务小计</t>
        </is>
      </c>
      <c r="C65" s="18" t="n">
        <v>1</v>
      </c>
      <c r="D65" s="19">
        <f>SUM(D58:D64)</f>
        <v/>
      </c>
      <c r="E65" s="11" t="inlineStr">
        <is>
          <t>测试实施/信创适配/部署/文档/培训</t>
        </is>
      </c>
    </row>
    <row r="66" ht="17.1" customHeight="1">
      <c r="A66" s="25" t="inlineStr">
        <is>
          <t>总计（万元）</t>
        </is>
      </c>
      <c r="B66" s="26" t="n"/>
      <c r="C66" s="27" t="n"/>
      <c r="D66" s="28">
        <f>D65+D55+D32+D24+D14</f>
        <v/>
      </c>
      <c r="E66" s="29" t="n"/>
    </row>
    <row r="67">
      <c r="A67" s="30" t="n"/>
      <c r="B67" s="30" t="n"/>
      <c r="C67" s="30" t="n"/>
      <c r="D67" s="30" t="n"/>
      <c r="E67" s="30" t="n"/>
    </row>
    <row r="68">
      <c r="A68" s="30" t="n"/>
      <c r="B68" s="30" t="n"/>
      <c r="C68" s="30" t="n"/>
      <c r="D68" s="30" t="n"/>
      <c r="E68" s="30" t="n"/>
    </row>
    <row r="69">
      <c r="A69" s="30" t="n"/>
      <c r="B69" s="30" t="n"/>
      <c r="C69" s="30" t="n"/>
      <c r="D69" s="30" t="n"/>
      <c r="E69" s="30" t="n"/>
    </row>
    <row r="70">
      <c r="A70" s="30" t="n"/>
      <c r="B70" s="30" t="n"/>
      <c r="C70" s="30" t="n"/>
      <c r="D70" s="30" t="n"/>
      <c r="E70" s="30" t="n"/>
    </row>
    <row r="71">
      <c r="A71" s="30" t="n"/>
      <c r="B71" s="30" t="n"/>
      <c r="C71" s="30" t="n"/>
      <c r="D71" s="30" t="n"/>
      <c r="E71" s="30" t="n"/>
    </row>
    <row r="72">
      <c r="A72" s="30" t="n"/>
      <c r="B72" s="30" t="n"/>
      <c r="C72" s="30" t="n"/>
      <c r="D72" s="30" t="n"/>
      <c r="E72" s="30" t="n"/>
    </row>
    <row r="73">
      <c r="A73" s="30" t="n"/>
      <c r="B73" s="30" t="n"/>
      <c r="C73" s="30" t="n"/>
      <c r="D73" s="30" t="n"/>
      <c r="E73" s="30" t="n"/>
    </row>
    <row r="74">
      <c r="A74" s="30" t="n"/>
      <c r="B74" s="30" t="n"/>
      <c r="C74" s="30" t="n"/>
      <c r="D74" s="30" t="n"/>
      <c r="E74" s="30" t="n"/>
    </row>
    <row r="75">
      <c r="A75" s="30" t="n"/>
      <c r="B75" s="30" t="n"/>
      <c r="C75" s="30" t="n"/>
      <c r="D75" s="30" t="n"/>
      <c r="E75" s="30" t="n"/>
    </row>
    <row r="76">
      <c r="A76" s="30" t="n"/>
      <c r="B76" s="30" t="n"/>
      <c r="C76" s="30" t="n"/>
      <c r="D76" s="30" t="n"/>
      <c r="E76" s="30" t="n"/>
    </row>
    <row r="77">
      <c r="A77" s="30" t="n"/>
      <c r="B77" s="30" t="n"/>
      <c r="C77" s="30" t="n"/>
      <c r="D77" s="30" t="n"/>
      <c r="E77" s="30" t="n"/>
    </row>
    <row r="78">
      <c r="A78" s="30" t="n"/>
      <c r="B78" s="30" t="n"/>
      <c r="C78" s="30" t="n"/>
      <c r="D78" s="30" t="n"/>
      <c r="E78" s="30" t="n"/>
    </row>
    <row r="79">
      <c r="A79" s="30" t="n"/>
      <c r="B79" s="30" t="n"/>
      <c r="C79" s="30" t="n"/>
      <c r="D79" s="30" t="n"/>
      <c r="E79" s="30" t="n"/>
    </row>
    <row r="80">
      <c r="A80" s="30" t="n"/>
      <c r="B80" s="30" t="n"/>
      <c r="C80" s="30" t="n"/>
      <c r="D80" s="30" t="n"/>
      <c r="E80" s="30" t="n"/>
    </row>
    <row r="81">
      <c r="A81" s="30" t="n"/>
      <c r="B81" s="30" t="n"/>
      <c r="C81" s="30" t="n"/>
      <c r="D81" s="30" t="n"/>
      <c r="E81" s="30" t="n"/>
    </row>
    <row r="82">
      <c r="A82" s="30" t="n"/>
      <c r="B82" s="30" t="n"/>
      <c r="C82" s="30" t="n"/>
      <c r="D82" s="30" t="n"/>
      <c r="E82" s="30" t="n"/>
    </row>
    <row r="83">
      <c r="A83" s="30" t="n"/>
      <c r="B83" s="30" t="n"/>
      <c r="C83" s="30" t="n"/>
      <c r="D83" s="30" t="n"/>
      <c r="E83" s="30" t="n"/>
    </row>
    <row r="84">
      <c r="A84" s="30" t="n"/>
      <c r="B84" s="30" t="n"/>
      <c r="C84" s="30" t="n"/>
      <c r="D84" s="30" t="n"/>
      <c r="E84" s="30" t="n"/>
    </row>
    <row r="85">
      <c r="A85" s="30" t="n"/>
      <c r="B85" s="30" t="n"/>
      <c r="C85" s="30" t="n"/>
      <c r="D85" s="30" t="n"/>
      <c r="E85" s="30" t="n"/>
    </row>
    <row r="86">
      <c r="A86" s="30" t="n"/>
      <c r="B86" s="30" t="n"/>
      <c r="C86" s="30" t="n"/>
      <c r="D86" s="30" t="n"/>
      <c r="E86" s="30" t="n"/>
    </row>
    <row r="87">
      <c r="A87" s="30" t="n"/>
      <c r="B87" s="30" t="n"/>
      <c r="C87" s="30" t="n"/>
      <c r="D87" s="30" t="n"/>
      <c r="E87" s="30" t="n"/>
    </row>
    <row r="88">
      <c r="A88" s="30" t="n"/>
      <c r="B88" s="30" t="n"/>
      <c r="C88" s="30" t="n"/>
      <c r="D88" s="30" t="n"/>
      <c r="E88" s="30" t="n"/>
    </row>
    <row r="89">
      <c r="A89" s="30" t="n"/>
      <c r="B89" s="30" t="n"/>
      <c r="C89" s="30" t="n"/>
      <c r="D89" s="30" t="n"/>
      <c r="E89" s="30" t="n"/>
    </row>
    <row r="90">
      <c r="A90" s="30" t="n"/>
      <c r="B90" s="30" t="n"/>
      <c r="C90" s="30" t="n"/>
      <c r="D90" s="30" t="n"/>
      <c r="E90" s="30" t="n"/>
    </row>
    <row r="91">
      <c r="A91" s="30" t="n"/>
      <c r="B91" s="30" t="n"/>
      <c r="C91" s="30" t="n"/>
      <c r="D91" s="30" t="n"/>
      <c r="E91" s="30" t="n"/>
    </row>
    <row r="92">
      <c r="A92" s="30" t="n"/>
      <c r="B92" s="30" t="n"/>
      <c r="C92" s="30" t="n"/>
      <c r="D92" s="30" t="n"/>
      <c r="E92" s="30" t="n"/>
    </row>
    <row r="93">
      <c r="A93" s="30" t="n"/>
      <c r="B93" s="30" t="n"/>
      <c r="C93" s="30" t="n"/>
      <c r="D93" s="30" t="n"/>
      <c r="E93" s="30" t="n"/>
    </row>
    <row r="94">
      <c r="A94" s="30" t="n"/>
      <c r="B94" s="30" t="n"/>
      <c r="C94" s="30" t="n"/>
      <c r="D94" s="30" t="n"/>
      <c r="E94" s="30" t="n"/>
    </row>
    <row r="95">
      <c r="A95" s="30" t="n"/>
      <c r="B95" s="30" t="n"/>
      <c r="C95" s="30" t="n"/>
      <c r="D95" s="30" t="n"/>
      <c r="E95" s="30" t="n"/>
    </row>
    <row r="96">
      <c r="A96" s="30" t="n"/>
      <c r="B96" s="30" t="n"/>
      <c r="C96" s="30" t="n"/>
      <c r="D96" s="30" t="n"/>
      <c r="E96" s="30" t="n"/>
    </row>
    <row r="97">
      <c r="A97" s="30" t="n"/>
      <c r="B97" s="30" t="n"/>
      <c r="C97" s="30" t="n"/>
      <c r="D97" s="30" t="n"/>
      <c r="E97" s="30" t="n"/>
    </row>
    <row r="98">
      <c r="A98" s="30" t="n"/>
      <c r="B98" s="30" t="n"/>
      <c r="C98" s="30" t="n"/>
      <c r="D98" s="30" t="n"/>
      <c r="E98" s="30" t="n"/>
    </row>
    <row r="99">
      <c r="A99" s="30" t="n"/>
      <c r="B99" s="30" t="n"/>
      <c r="C99" s="30" t="n"/>
      <c r="D99" s="30" t="n"/>
      <c r="E99" s="30" t="n"/>
    </row>
    <row r="100">
      <c r="A100" s="30" t="n"/>
      <c r="B100" s="30" t="n"/>
      <c r="C100" s="30" t="n"/>
      <c r="D100" s="30" t="n"/>
      <c r="E100" s="30" t="n"/>
    </row>
  </sheetData>
  <mergeCells count="9">
    <mergeCell ref="A56:D56"/>
    <mergeCell ref="D2:E2"/>
    <mergeCell ref="A4:D4"/>
    <mergeCell ref="A15:D15"/>
    <mergeCell ref="A1:E1"/>
    <mergeCell ref="A25:D25"/>
    <mergeCell ref="A66:B66"/>
    <mergeCell ref="A33:D33"/>
    <mergeCell ref="A2:C2"/>
  </mergeCells>
  <pageMargins left="0.75" right="0.75" top="1" bottom="1" header="0.5" footer="0.5"/>
  <pageSetup orientation="landscape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2026-08-04T10:39:00Z</dcterms:created>
  <dcterms:modified xmlns:dcterms="http://purl.org/dc/terms/" xmlns:xsi="http://www.w3.org/2001/XMLSchema-instance" xsi:type="dcterms:W3CDTF">2026-08-07T02:08:37Z</dcterms:modified>
  <cp:lastModifiedBy>David huo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5B06D5AD806D43489993B588181D5638_12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