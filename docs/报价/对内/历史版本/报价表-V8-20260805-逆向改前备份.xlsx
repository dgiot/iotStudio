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2026\销售\大庆项目2025\大庆油田研发型项目\0803审批意见\"/>
    </mc:Choice>
  </mc:AlternateContent>
  <bookViews>
    <workbookView windowWidth="27951" windowHeight="12291"/>
  </bookViews>
  <sheets>
    <sheet name="报价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<sst xmlns="http://schemas.openxmlformats.org/spreadsheetml/2006/main" count="131" uniqueCount="123">
  <si>
    <t xml:space="preserve">时序数据采集与应用管理系统 -- 报价汇总表 </t>
  </si>
  <si>
    <t>项目名称：时序数据采集与应用管理系统</t>
  </si>
  <si>
    <t>日期：2026年8月</t>
  </si>
  <si>
    <t>序号</t>
  </si>
  <si>
    <t>模块名称</t>
  </si>
  <si>
    <t>数量</t>
  </si>
  <si>
    <t>金额(万元)</t>
  </si>
  <si>
    <t>说明</t>
  </si>
  <si>
    <t>一、中心侧时序数据应用管理系统软件开发（承载500万数据节点）</t>
  </si>
  <si>
    <t>中心侧服务治理与配置中心</t>
  </si>
  <si>
    <t>异步框架 + 插件注册制内核 + 配置中心(热加载/回滚/审计)；200+ REST API统一服务网关；分布式节点统一管理(</t>
  </si>
  <si>
    <t>多协议解析引擎与驱动适配</t>
  </si>
  <si>
    <t>10+工业协议统一解析引擎：Modbus RTU/TCP、OPC UA/DA、IEC104、A11专有协议、MQTT、HTTP等；协议插件注</t>
  </si>
  <si>
    <t>混合存储引擎与数据生命周期管理</t>
  </si>
  <si>
    <t>TDengine时序引擎(高频流式写入/毫秒级多维查询) + PostgreSQL关系引擎(元数据/配置/台账) + SQLite边缘降级存</t>
  </si>
  <si>
    <t>消息中间件与边云同步通道</t>
  </si>
  <si>
    <t>MQTT/HTTP双协议消息中间件；QoS 0/1/2分级 + Topic ACL权限控制；边缘节点-中心平台双向消息同步引擎；事件驱动架构</t>
  </si>
  <si>
    <t>流式计算引擎及管理</t>
  </si>
  <si>
    <t>15种工业算法内置(6种滑窗特征+9种判断规则)；单条&lt;1ms内存判断；事件驱动架构替代数据库轮询；支持120+作业区各&gt;=1种定制算法注册</t>
  </si>
  <si>
    <t>流式告警规则引擎与通知管理</t>
  </si>
  <si>
    <t>入库前流水线判定架构(替代传统入库-轮询-告警)；告警全生命周期管理：去重/合并/抑制/分级通知(Critical/Error/Warnin</t>
  </si>
  <si>
    <t xml:space="preserve">  可视化规则编排</t>
  </si>
  <si>
    <t>规则配置、预制模板、规则组合编排、版本管理</t>
  </si>
  <si>
    <t>一体化运维管控与可视化控制台</t>
  </si>
  <si>
    <t>设备管理/告警管理/资产管理/报表中心/GIS地图；拖拽式仪表盘定制引擎</t>
  </si>
  <si>
    <t>全链路安全与审计追溯平台</t>
  </si>
  <si>
    <t>加密算法套件；三重安全体系：设备身份认证 + 用户RBAC授权(角色/岗位/数据三级粒度) + 全操作审计；全链路加</t>
  </si>
  <si>
    <t xml:space="preserve">中心侧时序数据应用管理系统
软件开发小计
</t>
  </si>
  <si>
    <t>引擎/框架/平台/控制台</t>
  </si>
  <si>
    <t>二、边缘中枢汇聚系统开发</t>
  </si>
  <si>
    <t>边缘-中心消息通道联调</t>
  </si>
  <si>
    <t>配置EdgeHub汇聚节点：MQTT Broker部署与Topic命名规范实施、QoS等级按数据类型分级设置；边缘→中心数据推送上行通道测试</t>
  </si>
  <si>
    <t>边缘分级存储部署与策略实施</t>
  </si>
  <si>
    <t>在边缘节点部署TDengine时序库+PostgreSQL关系库+SQLite降级库；按作业区数据量规划SSD/HDD分区方案；配置热数据(</t>
  </si>
  <si>
    <t>边缘运维监控面板部署</t>
  </si>
  <si>
    <t>部署Vue3前端资源到边缘节点Nginx；配置各作业区专属仪表盘(设备状态/采集质量/告警态势)；组织树与GIS地图数据初始化(厂-矿-作业</t>
  </si>
  <si>
    <t xml:space="preserve">  统一动态感知</t>
  </si>
  <si>
    <t>静态IP + 移动网关统一感知：上线/下线/设备增删事件、网关台账</t>
  </si>
  <si>
    <t>边缘安全合规配置与加密部署</t>
  </si>
  <si>
    <t>边缘节点安全加固：防火墙规则配置(仅开放必要端口)、SSH访问控制；加密算法库部署与配置；MQTT TLS证书签发与安全策略</t>
  </si>
  <si>
    <t xml:space="preserve">  边缘流式计算节点模块</t>
  </si>
  <si>
    <t>入库前流水计算架构(替代入库-轮询-告警)、事件驱动引擎</t>
  </si>
  <si>
    <t xml:space="preserve">  历史回放与优化</t>
  </si>
  <si>
    <t>历史规则回放评估、离线检测、规则动态优化</t>
  </si>
  <si>
    <t xml:space="preserve">  告警分级与闭环</t>
  </si>
  <si>
    <t>四级告警(Critical/Error/Warning/Info)、差异化通知、升级闭环</t>
  </si>
  <si>
    <t/>
  </si>
  <si>
    <t>边缘中枢汇聚系统开发小计</t>
  </si>
  <si>
    <t>边缘侧：环境部署/接入配置/联调/合规/文档</t>
  </si>
  <si>
    <t>三、边缘数据采集与历史计算模块 —— 边缘侧采集/感知/流式计算/历史统计</t>
  </si>
  <si>
    <t>边缘采集模块</t>
  </si>
  <si>
    <t>多协议统一采集管道(Modbus/OPC/MQTT/HTTP)；入库前流水线计算(采集-计算-告警一气呵成)；动态采集频率调度(正常/升频/降频/避让)</t>
  </si>
  <si>
    <t>作业区适配层</t>
  </si>
  <si>
    <t>ZoneAdapter配置驱动编排器；A11桥接/OPC DA/Modbus感知/本机业务4子模块；作业区资源隔离与独立运行；配置文件驱动零代码部署</t>
  </si>
  <si>
    <t>Modbus动态感知</t>
  </si>
  <si>
    <t>静态IP+移动网关统一感知；设备上线/下线/增删事件自动识别；MBAP从站/寄存器解析+点位集合diff；流量学习(设备/点位/指纹/帧漂移)；10家主流网关厂</t>
  </si>
  <si>
    <t>被动监听分析模块</t>
  </si>
  <si>
    <t>Npcap+BPF零发包被动监听；流跟踪与协议自动识别；设备指纹/帧漂移异常检测；流量学习基线建立</t>
  </si>
  <si>
    <t>历史计算模块</t>
  </si>
  <si>
    <t>日月年多粒度统计聚合；历史数据回放与离线检测；HTML/JSON格式报告自动生成；规则历史回放评估与动态优化</t>
  </si>
  <si>
    <t>稳定性保障</t>
  </si>
  <si>
    <t>7x24小时连续观察；兼容性测试(多厂商/多协议/多版本)；性能持续调优；故障注入与容错验证</t>
  </si>
  <si>
    <t>边缘数据采集与历史计算
模块开发小计</t>
  </si>
  <si>
    <t>四、各作业区定制开发服务 （每个作业区都不同，均需定制开发）</t>
  </si>
  <si>
    <t>定制动态采集</t>
  </si>
  <si>
    <t>网关厂家适配(按厂家定制）</t>
  </si>
  <si>
    <t>宏电/映翰通/亿帆/有人/四信/移远/合宙/中易云/万物纵横/莱特：注册帧识别、设备标识提取、透传解析、心跳保活</t>
  </si>
  <si>
    <t>现场多协议接入汇聚配置</t>
  </si>
  <si>
    <t>按各作业区实际设备型号逐一配置协议接入参数：Modbus RTU/TCP从站地址与寄存器表映射、IEC104遥测遥信点表导入、OPC UA/</t>
  </si>
  <si>
    <t xml:space="preserve">  Modbus TCP动态识别</t>
  </si>
  <si>
    <t>MBAP从站/寄存器解析、点位集合diff、流量学习(设备/点位/指纹/帧漂移)</t>
  </si>
  <si>
    <t xml:space="preserve">  智能动态调频</t>
  </si>
  <si>
    <t>异常加密(10min至秒级)、低峰降频、弱网退避、错峰调度、热加载/回滚/审计</t>
  </si>
  <si>
    <t xml:space="preserve">  断网缓存与补传</t>
  </si>
  <si>
    <t>断网本地缓存、恢复后按时序补传、去重</t>
  </si>
  <si>
    <t xml:space="preserve">  RTU状态感知与健康日报</t>
  </si>
  <si>
    <t>在线/连续性/抖动/网络质量监测，在线率/完整率/成功率日报</t>
  </si>
  <si>
    <t xml:space="preserve">  非标协议接入</t>
  </si>
  <si>
    <t>A11未覆盖设备源统一适配(工程器械/能源计量/安防等，按需)</t>
  </si>
  <si>
    <t>多IO服务器适配</t>
  </si>
  <si>
    <t xml:space="preserve">  作业区适配层</t>
  </si>
  <si>
    <t>配置驱动编排器(A11桥接/OPC DA/Modbus感知/本机业务 4子模块)、作业区隔离</t>
  </si>
  <si>
    <t xml:space="preserve">  A11桥接及IO业务系统适配
（按作业区定制）</t>
  </si>
  <si>
    <t>每个作业区不同，均需定制，不得影响原A11系统，提供A11桥接的定制开发，8889监听+透传原IO零影响</t>
  </si>
  <si>
    <t xml:space="preserve">  OPC DA直采(按厂家定制）</t>
  </si>
  <si>
    <t>DCS/PLC厂家差异适配(权限/协议/点位)、三级回退、pSpace数值比对</t>
  </si>
  <si>
    <t xml:space="preserve">  多作业区体检台账</t>
  </si>
  <si>
    <t>批量巡检、横向对比、红黄绿告警、报告</t>
  </si>
  <si>
    <t xml:space="preserve">  被动监听</t>
  </si>
  <si>
    <t>Npcap+BPF零发包(CPU+&lt;5%、延迟+&lt;20us)、流跟踪、协议识别</t>
  </si>
  <si>
    <t xml:space="preserve">  物模型匹配与自动配点</t>
  </si>
  <si>
    <t>G1-G8油水井物模型(64点)、地址对齐、自动生成配点表</t>
  </si>
  <si>
    <t xml:space="preserve">  协议逆向工程</t>
  </si>
  <si>
    <t>psAPISDK直连、CommBridge帧还原、12种设备建模、Tag ID自动发现</t>
  </si>
  <si>
    <t>流式计算引擎</t>
  </si>
  <si>
    <t>作业区定制流式计算
（按场景定制开发）</t>
  </si>
  <si>
    <t>每个作业区的场景不同，均需定制，根据作业区的实际需求定制开发，每个作业区提供1种。作业区定制算法注册制、批量校验、算法模板库</t>
  </si>
  <si>
    <t>边缘节点运行时环境部署</t>
  </si>
  <si>
    <t>在各作业区工控机/边缘服务器上部署运行时环境：FastAPI框架安装、Python依赖环境配置、系统服务注册(开机自启)；双网卡配置(工控网</t>
  </si>
  <si>
    <t>现场告警判定与通知策略配置</t>
  </si>
  <si>
    <t>按作业区实际需求配置告警规则：抽油机示功图异常/注水井压力突变/电潜泵电流过载等场景阈值设定；通知策略配置(哪些人/什么方式/什么时段)；</t>
  </si>
  <si>
    <t>边缘现场集成测试与文档交付</t>
  </si>
  <si>
    <t>每作业区执行：端到端数据链路测试(现场设备→边缘采集→中心入库→控制台展示)；告警全流程演练(触发→判定→通知→确认→处理→关闭)；性能基线</t>
  </si>
  <si>
    <t>各作业区定制开发服务小计</t>
  </si>
  <si>
    <t xml:space="preserve">五、项目整体交付定制服务 </t>
  </si>
  <si>
    <t>测试实施与交付</t>
  </si>
  <si>
    <t xml:space="preserve">  单元/集成/系统测试</t>
  </si>
  <si>
    <t>自动化用例、功能/性能/兼容性测试、验收指标验证(500万测点、5万并发)</t>
  </si>
  <si>
    <t xml:space="preserve">  全链路压测验证</t>
  </si>
  <si>
    <t>500台并发模拟、3000万条消息推送、故障注入、15天长稳</t>
  </si>
  <si>
    <t xml:space="preserve">  规模化灌数验证</t>
  </si>
  <si>
    <t>百万级测点灌数(MQTT聚合QoS0)</t>
  </si>
  <si>
    <t xml:space="preserve">  信创适配</t>
  </si>
  <si>
    <t>麒麟/统信UOS、飞腾/鲲鹏、达梦/金仓、国产浏览器</t>
  </si>
  <si>
    <t xml:space="preserve">  整体部署实施</t>
  </si>
  <si>
    <t>整体软件配置部署/A11桥接验证/OPC联调/验收</t>
  </si>
  <si>
    <t xml:space="preserve">  文档交付</t>
  </si>
  <si>
    <t>需求规格/概要设计/详细设计/测试报告/用户手册/运维手册</t>
  </si>
  <si>
    <t xml:space="preserve">  培训(跟学共建)</t>
  </si>
  <si>
    <t>甲方团队培训、源码讲解、独立运维考核</t>
  </si>
  <si>
    <t>定制开发服务小计</t>
  </si>
  <si>
    <t>需求设计/动态采集/IO适配/流式引擎/测试实施交付</t>
  </si>
  <si>
    <t>报 价 总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</si>
</sst>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Microsoft YaHei"/>
      <charset val="134"/>
    </font>
    <font>
      <sz val="14"/>
      <name val="Microsoft YaHei"/>
      <charset val="134"/>
    </font>
    <font>
      <sz val="14"/>
      <name val="宋体"/>
      <charset val="134"/>
      <scheme val="minor"/>
    </font>
    <font>
      <b/>
      <sz val="11"/>
      <name val="Microsoft YaHei"/>
      <charset val="134"/>
    </font>
    <font>
      <b/>
      <sz val="12"/>
      <name val="Microsoft YaHei"/>
      <charset val="134"/>
    </font>
    <font>
      <sz val="10"/>
      <name val="Microsoft YaHei"/>
      <charset val="134"/>
    </font>
    <font>
      <sz val="9"/>
      <name val="Microsoft YaHei"/>
      <charset val="134"/>
    </font>
    <font>
      <b/>
      <sz val="10"/>
      <name val="Microsoft YaHei"/>
      <charset val="134"/>
    </font>
    <font>
      <b/>
      <sz val="9"/>
      <name val="Microsoft YaHei"/>
      <charset val="134"/>
    </font>
    <font>
      <sz val="12"/>
      <name val="Microsoft YaHei"/>
      <charset val="134"/>
    </font>
    <font>
      <b/>
      <sz val="12"/>
      <color rgb="FFFF0000"/>
      <name val="Microsoft YaHei"/>
      <charset val="134"/>
    </font>
    <font>
      <b/>
      <sz val="14"/>
      <color rgb="FFFF0000"/>
      <name val="Microsoft YaHei"/>
      <charset val="134"/>
    </font>
    <font>
      <sz val="9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0.8"/>
        <bgColor rgb="FF1F4E79"/>
      </patternFill>
    </fill>
    <fill>
      <patternFill patternType="solid">
        <fgColor theme="3" tint="0.6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3" tint="0.8"/>
        <bgColor rgb="FFF2F2F2"/>
      </patternFill>
    </fill>
    <fill>
      <patternFill patternType="solid">
        <fgColor theme="3" tint="0.6"/>
        <bgColor rgb="FFFCE4D6"/>
      </patternFill>
    </fill>
    <fill>
      <patternFill patternType="solid">
        <fgColor theme="3" tint="0.8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3" tint="0.6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6" fillId="13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76" fontId="6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176" fontId="9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76" fontId="13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70"/>
  <sheetViews>
    <sheetView tabSelected="1" zoomScale="115" zoomScaleNormal="115" workbookViewId="0">
      <selection activeCell="D18" sqref="D18"/>
    </sheetView>
  </sheetViews>
  <sheetFormatPr defaultColWidth="9" defaultRowHeight="14.1" outlineLevelCol="4"/>
  <cols>
    <col min="1" max="1" width="10.8918918918919" customWidth="1"/>
    <col min="2" max="2" width="28.7927927927928" style="1" customWidth="1"/>
    <col min="3" max="3" width="10.1081081081081" style="1" customWidth="1"/>
    <col min="4" max="4" width="16.6756756756757" style="2" customWidth="1"/>
    <col min="5" max="5" width="82.6936936936937" style="3" customWidth="1"/>
  </cols>
  <sheetData>
    <row r="1" ht="42" customHeight="1" spans="1:5">
      <c r="A1" s="4" t="s">
        <v>0</v>
      </c>
      <c r="B1" s="5"/>
      <c r="C1" s="5"/>
      <c r="D1" s="6"/>
      <c r="E1" s="7"/>
    </row>
    <row r="2" ht="41" customHeight="1" spans="1:5">
      <c r="A2" s="8" t="s">
        <v>1</v>
      </c>
      <c r="B2" s="9"/>
      <c r="C2" s="10"/>
      <c r="D2" s="11" t="s">
        <v>2</v>
      </c>
      <c r="E2" s="12"/>
    </row>
    <row r="3" ht="30" customHeight="1" spans="1:5">
      <c r="A3" s="13" t="s">
        <v>3</v>
      </c>
      <c r="B3" s="13" t="s">
        <v>4</v>
      </c>
      <c r="C3" s="13" t="s">
        <v>5</v>
      </c>
      <c r="D3" s="14" t="s">
        <v>6</v>
      </c>
      <c r="E3" s="13" t="s">
        <v>7</v>
      </c>
    </row>
    <row r="4" ht="33" customHeight="1" spans="1:5">
      <c r="A4" s="15" t="s">
        <v>8</v>
      </c>
      <c r="B4" s="16"/>
      <c r="C4" s="16"/>
      <c r="D4" s="17"/>
      <c r="E4" s="18"/>
    </row>
    <row r="5" ht="30" customHeight="1" spans="1:5">
      <c r="A5" s="19">
        <v>1</v>
      </c>
      <c r="B5" s="19" t="s">
        <v>9</v>
      </c>
      <c r="C5" s="19">
        <v>1</v>
      </c>
      <c r="D5" s="20">
        <v>35</v>
      </c>
      <c r="E5" s="21" t="s">
        <v>10</v>
      </c>
    </row>
    <row r="6" ht="30" customHeight="1" spans="1:5">
      <c r="A6" s="22">
        <v>2</v>
      </c>
      <c r="B6" s="22" t="s">
        <v>11</v>
      </c>
      <c r="C6" s="22">
        <v>1</v>
      </c>
      <c r="D6" s="23">
        <v>38</v>
      </c>
      <c r="E6" s="24" t="s">
        <v>12</v>
      </c>
    </row>
    <row r="7" ht="30" customHeight="1" spans="1:5">
      <c r="A7" s="19">
        <v>3</v>
      </c>
      <c r="B7" s="19" t="s">
        <v>13</v>
      </c>
      <c r="C7" s="19">
        <v>1</v>
      </c>
      <c r="D7" s="20">
        <v>32</v>
      </c>
      <c r="E7" s="21" t="s">
        <v>14</v>
      </c>
    </row>
    <row r="8" ht="30" customHeight="1" spans="1:5">
      <c r="A8" s="22">
        <v>4</v>
      </c>
      <c r="B8" s="22" t="s">
        <v>15</v>
      </c>
      <c r="C8" s="22">
        <v>1</v>
      </c>
      <c r="D8" s="23">
        <v>35</v>
      </c>
      <c r="E8" s="24" t="s">
        <v>16</v>
      </c>
    </row>
    <row r="9" ht="26" customHeight="1" spans="1:5">
      <c r="A9" s="22">
        <v>5</v>
      </c>
      <c r="B9" s="22" t="s">
        <v>17</v>
      </c>
      <c r="C9" s="22">
        <v>1</v>
      </c>
      <c r="D9" s="23">
        <v>32</v>
      </c>
      <c r="E9" s="24" t="s">
        <v>18</v>
      </c>
    </row>
    <row r="10" ht="30" customHeight="1" spans="1:5">
      <c r="A10" s="19">
        <v>6</v>
      </c>
      <c r="B10" s="19" t="s">
        <v>19</v>
      </c>
      <c r="C10" s="19">
        <v>1</v>
      </c>
      <c r="D10" s="20">
        <v>35</v>
      </c>
      <c r="E10" s="21" t="s">
        <v>20</v>
      </c>
    </row>
    <row r="11" ht="18" customHeight="1" spans="1:5">
      <c r="A11" s="19">
        <v>7</v>
      </c>
      <c r="B11" s="22" t="s">
        <v>21</v>
      </c>
      <c r="C11" s="22">
        <v>1</v>
      </c>
      <c r="D11" s="23">
        <v>25</v>
      </c>
      <c r="E11" s="24" t="s">
        <v>22</v>
      </c>
    </row>
    <row r="12" ht="30" customHeight="1" spans="1:5">
      <c r="A12" s="19">
        <v>8</v>
      </c>
      <c r="B12" s="22" t="s">
        <v>23</v>
      </c>
      <c r="C12" s="22">
        <v>1</v>
      </c>
      <c r="D12" s="23">
        <v>32.5</v>
      </c>
      <c r="E12" s="24" t="s">
        <v>24</v>
      </c>
    </row>
    <row r="13" ht="30" customHeight="1" spans="1:5">
      <c r="A13" s="19">
        <v>9</v>
      </c>
      <c r="B13" s="19" t="s">
        <v>25</v>
      </c>
      <c r="C13" s="19">
        <v>1</v>
      </c>
      <c r="D13" s="20">
        <v>20.5</v>
      </c>
      <c r="E13" s="21" t="s">
        <v>26</v>
      </c>
    </row>
    <row r="14" ht="33" customHeight="1" spans="1:5">
      <c r="A14" s="25"/>
      <c r="B14" s="26" t="s">
        <v>27</v>
      </c>
      <c r="C14" s="26">
        <v>1</v>
      </c>
      <c r="D14" s="27">
        <f>SUM(D5:D13)</f>
        <v>285</v>
      </c>
      <c r="E14" s="28" t="s">
        <v>28</v>
      </c>
    </row>
    <row r="15" ht="29" customHeight="1" spans="1:5">
      <c r="A15" s="29" t="s">
        <v>29</v>
      </c>
      <c r="B15" s="30"/>
      <c r="C15" s="30"/>
      <c r="D15" s="31"/>
      <c r="E15" s="32"/>
    </row>
    <row r="16" ht="30" customHeight="1" spans="1:5">
      <c r="A16" s="19">
        <v>1</v>
      </c>
      <c r="B16" s="19" t="s">
        <v>30</v>
      </c>
      <c r="C16" s="19">
        <v>1</v>
      </c>
      <c r="D16" s="20">
        <v>15</v>
      </c>
      <c r="E16" s="21" t="s">
        <v>31</v>
      </c>
    </row>
    <row r="17" ht="30" customHeight="1" spans="1:5">
      <c r="A17" s="22">
        <v>2</v>
      </c>
      <c r="B17" s="22" t="s">
        <v>32</v>
      </c>
      <c r="C17" s="22">
        <v>1</v>
      </c>
      <c r="D17" s="23">
        <v>16</v>
      </c>
      <c r="E17" s="24" t="s">
        <v>33</v>
      </c>
    </row>
    <row r="18" ht="30" customHeight="1" spans="1:5">
      <c r="A18" s="22">
        <v>3</v>
      </c>
      <c r="B18" s="22" t="s">
        <v>34</v>
      </c>
      <c r="C18" s="22">
        <v>1</v>
      </c>
      <c r="D18" s="23">
        <v>12</v>
      </c>
      <c r="E18" s="24" t="s">
        <v>35</v>
      </c>
    </row>
    <row r="19" ht="18" customHeight="1" spans="1:5">
      <c r="A19" s="22">
        <v>4</v>
      </c>
      <c r="B19" s="22" t="s">
        <v>36</v>
      </c>
      <c r="C19" s="22">
        <v>1</v>
      </c>
      <c r="D19" s="23">
        <v>8</v>
      </c>
      <c r="E19" s="24" t="s">
        <v>37</v>
      </c>
    </row>
    <row r="20" ht="30" customHeight="1" spans="1:5">
      <c r="A20" s="22">
        <v>5</v>
      </c>
      <c r="B20" s="19" t="s">
        <v>38</v>
      </c>
      <c r="C20" s="19">
        <v>1</v>
      </c>
      <c r="D20" s="20">
        <v>8</v>
      </c>
      <c r="E20" s="21" t="s">
        <v>39</v>
      </c>
    </row>
    <row r="21" ht="18" customHeight="1" spans="1:5">
      <c r="A21" s="19">
        <v>6</v>
      </c>
      <c r="B21" s="19" t="s">
        <v>40</v>
      </c>
      <c r="C21" s="19">
        <v>1</v>
      </c>
      <c r="D21" s="20">
        <v>12</v>
      </c>
      <c r="E21" s="21" t="s">
        <v>41</v>
      </c>
    </row>
    <row r="22" ht="18" customHeight="1" spans="1:5">
      <c r="A22" s="22">
        <v>8</v>
      </c>
      <c r="B22" s="22" t="s">
        <v>42</v>
      </c>
      <c r="C22" s="22">
        <v>1</v>
      </c>
      <c r="D22" s="23">
        <v>16</v>
      </c>
      <c r="E22" s="24" t="s">
        <v>43</v>
      </c>
    </row>
    <row r="23" ht="18" customHeight="1" spans="1:5">
      <c r="A23" s="19">
        <v>9</v>
      </c>
      <c r="B23" s="19" t="s">
        <v>44</v>
      </c>
      <c r="C23" s="19">
        <v>1</v>
      </c>
      <c r="D23" s="20">
        <v>15</v>
      </c>
      <c r="E23" s="21" t="s">
        <v>45</v>
      </c>
    </row>
    <row r="24" ht="26" customHeight="1" spans="1:5">
      <c r="A24" s="33" t="s">
        <v>46</v>
      </c>
      <c r="B24" s="33" t="s">
        <v>47</v>
      </c>
      <c r="C24" s="33">
        <v>1</v>
      </c>
      <c r="D24" s="34">
        <f>SUM(D16:D23)</f>
        <v>102</v>
      </c>
      <c r="E24" s="21" t="s">
        <v>48</v>
      </c>
    </row>
    <row r="25" ht="28" customHeight="1" spans="1:5">
      <c r="A25" s="29" t="s">
        <v>49</v>
      </c>
      <c r="B25" s="30"/>
      <c r="C25" s="30"/>
      <c r="D25" s="31"/>
      <c r="E25" s="32"/>
    </row>
    <row r="26" ht="26" customHeight="1" spans="1:5">
      <c r="A26" s="19">
        <v>1</v>
      </c>
      <c r="B26" s="19" t="s">
        <v>50</v>
      </c>
      <c r="C26" s="19">
        <v>1</v>
      </c>
      <c r="D26" s="20">
        <v>15</v>
      </c>
      <c r="E26" s="21" t="s">
        <v>51</v>
      </c>
    </row>
    <row r="27" ht="26" customHeight="1" spans="1:5">
      <c r="A27" s="19">
        <v>2</v>
      </c>
      <c r="B27" s="19" t="s">
        <v>52</v>
      </c>
      <c r="C27" s="19">
        <v>1</v>
      </c>
      <c r="D27" s="20">
        <v>10</v>
      </c>
      <c r="E27" s="21" t="s">
        <v>53</v>
      </c>
    </row>
    <row r="28" ht="31" customHeight="1" spans="1:5">
      <c r="A28" s="19">
        <v>3</v>
      </c>
      <c r="B28" s="19" t="s">
        <v>54</v>
      </c>
      <c r="C28" s="19">
        <v>1</v>
      </c>
      <c r="D28" s="20">
        <v>12</v>
      </c>
      <c r="E28" s="21" t="s">
        <v>55</v>
      </c>
    </row>
    <row r="29" ht="26" customHeight="1" spans="1:5">
      <c r="A29" s="19">
        <v>4</v>
      </c>
      <c r="B29" s="22" t="s">
        <v>56</v>
      </c>
      <c r="C29" s="22">
        <v>1</v>
      </c>
      <c r="D29" s="23">
        <v>10</v>
      </c>
      <c r="E29" s="24" t="s">
        <v>57</v>
      </c>
    </row>
    <row r="30" ht="26" customHeight="1" spans="1:5">
      <c r="A30" s="19">
        <v>5</v>
      </c>
      <c r="B30" s="22" t="s">
        <v>58</v>
      </c>
      <c r="C30" s="22">
        <v>1</v>
      </c>
      <c r="D30" s="23">
        <v>8</v>
      </c>
      <c r="E30" s="24" t="s">
        <v>59</v>
      </c>
    </row>
    <row r="31" ht="26" customHeight="1" spans="1:5">
      <c r="A31" s="19">
        <v>6</v>
      </c>
      <c r="B31" s="19" t="s">
        <v>60</v>
      </c>
      <c r="C31" s="19">
        <v>1</v>
      </c>
      <c r="D31" s="20">
        <v>5</v>
      </c>
      <c r="E31" s="21" t="s">
        <v>61</v>
      </c>
    </row>
    <row r="32" ht="30" customHeight="1" spans="1:5">
      <c r="A32" s="35" t="s">
        <v>46</v>
      </c>
      <c r="B32" s="35" t="s">
        <v>62</v>
      </c>
      <c r="C32" s="35"/>
      <c r="D32" s="36">
        <f>SUM(D26:D31)</f>
        <v>60</v>
      </c>
      <c r="E32" s="37"/>
    </row>
    <row r="33" ht="28" customHeight="1" spans="1:5">
      <c r="A33" s="15" t="s">
        <v>63</v>
      </c>
      <c r="B33" s="16"/>
      <c r="C33" s="16"/>
      <c r="D33" s="17"/>
      <c r="E33" s="18"/>
    </row>
    <row r="34" ht="22" customHeight="1" spans="1:5">
      <c r="A34" s="38" t="s">
        <v>46</v>
      </c>
      <c r="B34" s="39" t="s">
        <v>64</v>
      </c>
      <c r="C34" s="39" t="s">
        <v>5</v>
      </c>
      <c r="D34" s="40"/>
      <c r="E34" s="41"/>
    </row>
    <row r="35" ht="24" customHeight="1" spans="1:5">
      <c r="A35" s="19">
        <v>1</v>
      </c>
      <c r="B35" s="19" t="s">
        <v>65</v>
      </c>
      <c r="C35" s="19">
        <v>10</v>
      </c>
      <c r="D35" s="20">
        <v>20</v>
      </c>
      <c r="E35" s="21" t="s">
        <v>66</v>
      </c>
    </row>
    <row r="36" ht="30" customHeight="1" spans="1:5">
      <c r="A36" s="22">
        <v>2</v>
      </c>
      <c r="B36" s="22" t="s">
        <v>67</v>
      </c>
      <c r="C36" s="22">
        <v>10</v>
      </c>
      <c r="D36" s="23">
        <v>10</v>
      </c>
      <c r="E36" s="24" t="s">
        <v>68</v>
      </c>
    </row>
    <row r="37" ht="18" customHeight="1" spans="1:5">
      <c r="A37" s="19">
        <v>3</v>
      </c>
      <c r="B37" s="19" t="s">
        <v>69</v>
      </c>
      <c r="C37" s="19">
        <v>10</v>
      </c>
      <c r="D37" s="20">
        <v>5</v>
      </c>
      <c r="E37" s="21" t="s">
        <v>70</v>
      </c>
    </row>
    <row r="38" ht="18" customHeight="1" spans="1:5">
      <c r="A38" s="22">
        <v>4</v>
      </c>
      <c r="B38" s="22" t="s">
        <v>71</v>
      </c>
      <c r="C38" s="22">
        <v>10</v>
      </c>
      <c r="D38" s="23">
        <v>8</v>
      </c>
      <c r="E38" s="24" t="s">
        <v>72</v>
      </c>
    </row>
    <row r="39" ht="18" customHeight="1" spans="1:5">
      <c r="A39" s="19">
        <v>5</v>
      </c>
      <c r="B39" s="19" t="s">
        <v>73</v>
      </c>
      <c r="C39" s="19">
        <v>10</v>
      </c>
      <c r="D39" s="20">
        <v>5</v>
      </c>
      <c r="E39" s="21" t="s">
        <v>74</v>
      </c>
    </row>
    <row r="40" ht="18" customHeight="1" spans="1:5">
      <c r="A40" s="22">
        <v>6</v>
      </c>
      <c r="B40" s="22" t="s">
        <v>75</v>
      </c>
      <c r="C40" s="22">
        <v>10</v>
      </c>
      <c r="D40" s="23">
        <v>5</v>
      </c>
      <c r="E40" s="24" t="s">
        <v>76</v>
      </c>
    </row>
    <row r="41" ht="18" customHeight="1" spans="1:5">
      <c r="A41" s="19">
        <v>7</v>
      </c>
      <c r="B41" s="19" t="s">
        <v>77</v>
      </c>
      <c r="C41" s="19">
        <v>10</v>
      </c>
      <c r="D41" s="20">
        <v>25</v>
      </c>
      <c r="E41" s="21" t="s">
        <v>78</v>
      </c>
    </row>
    <row r="42" ht="22" customHeight="1" spans="1:5">
      <c r="A42" s="38" t="s">
        <v>46</v>
      </c>
      <c r="B42" s="39" t="s">
        <v>79</v>
      </c>
      <c r="C42" s="39"/>
      <c r="D42" s="40"/>
      <c r="E42" s="41"/>
    </row>
    <row r="43" ht="18" customHeight="1" spans="1:5">
      <c r="A43" s="19">
        <v>1</v>
      </c>
      <c r="B43" s="19" t="s">
        <v>80</v>
      </c>
      <c r="C43" s="19">
        <v>10</v>
      </c>
      <c r="D43" s="20">
        <v>15</v>
      </c>
      <c r="E43" s="21" t="s">
        <v>81</v>
      </c>
    </row>
    <row r="44" ht="37" customHeight="1" spans="1:5">
      <c r="A44" s="22">
        <v>2</v>
      </c>
      <c r="B44" s="22" t="s">
        <v>82</v>
      </c>
      <c r="C44" s="22">
        <v>10</v>
      </c>
      <c r="D44" s="23">
        <v>15</v>
      </c>
      <c r="E44" s="24" t="s">
        <v>83</v>
      </c>
    </row>
    <row r="45" ht="18" customHeight="1" spans="1:5">
      <c r="A45" s="19">
        <v>3</v>
      </c>
      <c r="B45" s="19" t="s">
        <v>84</v>
      </c>
      <c r="C45" s="19">
        <v>10</v>
      </c>
      <c r="D45" s="20">
        <v>15</v>
      </c>
      <c r="E45" s="21" t="s">
        <v>85</v>
      </c>
    </row>
    <row r="46" ht="18" customHeight="1" spans="1:5">
      <c r="A46" s="19">
        <v>4</v>
      </c>
      <c r="B46" s="19" t="s">
        <v>86</v>
      </c>
      <c r="C46" s="19">
        <v>10</v>
      </c>
      <c r="D46" s="20">
        <v>8</v>
      </c>
      <c r="E46" s="21" t="s">
        <v>87</v>
      </c>
    </row>
    <row r="47" ht="18" customHeight="1" spans="1:5">
      <c r="A47" s="22">
        <v>5</v>
      </c>
      <c r="B47" s="22" t="s">
        <v>88</v>
      </c>
      <c r="C47" s="22">
        <v>10</v>
      </c>
      <c r="D47" s="23">
        <v>15</v>
      </c>
      <c r="E47" s="24" t="s">
        <v>89</v>
      </c>
    </row>
    <row r="48" ht="18" customHeight="1" spans="1:5">
      <c r="A48" s="19">
        <v>6</v>
      </c>
      <c r="B48" s="19" t="s">
        <v>90</v>
      </c>
      <c r="C48" s="19">
        <v>10</v>
      </c>
      <c r="D48" s="20">
        <v>12</v>
      </c>
      <c r="E48" s="21" t="s">
        <v>91</v>
      </c>
    </row>
    <row r="49" ht="18" customHeight="1" spans="1:5">
      <c r="A49" s="22">
        <v>7</v>
      </c>
      <c r="B49" s="22" t="s">
        <v>92</v>
      </c>
      <c r="C49" s="22">
        <v>10</v>
      </c>
      <c r="D49" s="23">
        <v>15</v>
      </c>
      <c r="E49" s="24" t="s">
        <v>93</v>
      </c>
    </row>
    <row r="50" ht="22" customHeight="1" spans="1:5">
      <c r="A50" s="38" t="s">
        <v>46</v>
      </c>
      <c r="B50" s="39" t="s">
        <v>94</v>
      </c>
      <c r="C50" s="39"/>
      <c r="D50" s="40"/>
      <c r="E50" s="41"/>
    </row>
    <row r="51" ht="30" customHeight="1" spans="1:5">
      <c r="A51" s="19">
        <v>1</v>
      </c>
      <c r="B51" s="19" t="s">
        <v>95</v>
      </c>
      <c r="C51" s="19">
        <v>10</v>
      </c>
      <c r="D51" s="20">
        <v>15</v>
      </c>
      <c r="E51" s="21" t="s">
        <v>96</v>
      </c>
    </row>
    <row r="52" ht="30" customHeight="1" spans="1:5">
      <c r="A52" s="19">
        <v>2</v>
      </c>
      <c r="B52" s="19" t="s">
        <v>97</v>
      </c>
      <c r="C52" s="19">
        <v>10</v>
      </c>
      <c r="D52" s="20">
        <v>5</v>
      </c>
      <c r="E52" s="21" t="s">
        <v>98</v>
      </c>
    </row>
    <row r="53" ht="25.7" spans="1:5">
      <c r="A53" s="19">
        <v>3</v>
      </c>
      <c r="B53" s="19" t="s">
        <v>99</v>
      </c>
      <c r="C53" s="19">
        <v>10</v>
      </c>
      <c r="D53" s="20">
        <v>5</v>
      </c>
      <c r="E53" s="21" t="s">
        <v>100</v>
      </c>
    </row>
    <row r="54" ht="30" customHeight="1" spans="1:5">
      <c r="A54" s="22">
        <v>4</v>
      </c>
      <c r="B54" s="22" t="s">
        <v>101</v>
      </c>
      <c r="C54" s="22">
        <v>10</v>
      </c>
      <c r="D54" s="23">
        <v>2</v>
      </c>
      <c r="E54" s="24" t="s">
        <v>102</v>
      </c>
    </row>
    <row r="55" ht="28" customHeight="1" spans="1:5">
      <c r="A55" s="22"/>
      <c r="B55" s="42" t="s">
        <v>103</v>
      </c>
      <c r="C55" s="22"/>
      <c r="D55" s="43">
        <f>SUM(D35:D54)</f>
        <v>200</v>
      </c>
      <c r="E55" s="24"/>
    </row>
    <row r="56" ht="27" customHeight="1" spans="1:5">
      <c r="A56" s="15" t="s">
        <v>104</v>
      </c>
      <c r="B56" s="16"/>
      <c r="C56" s="16"/>
      <c r="D56" s="17"/>
      <c r="E56" s="18"/>
    </row>
    <row r="57" ht="22" customHeight="1" spans="1:5">
      <c r="A57" s="38" t="s">
        <v>46</v>
      </c>
      <c r="B57" s="39" t="s">
        <v>105</v>
      </c>
      <c r="C57" s="39"/>
      <c r="D57" s="40"/>
      <c r="E57" s="41"/>
    </row>
    <row r="58" ht="18" customHeight="1" spans="1:5">
      <c r="A58" s="19">
        <v>1</v>
      </c>
      <c r="B58" s="19" t="s">
        <v>106</v>
      </c>
      <c r="C58" s="19">
        <v>1</v>
      </c>
      <c r="D58" s="20">
        <v>20</v>
      </c>
      <c r="E58" s="21" t="s">
        <v>107</v>
      </c>
    </row>
    <row r="59" ht="18" customHeight="1" spans="1:5">
      <c r="A59" s="22">
        <v>2</v>
      </c>
      <c r="B59" s="22" t="s">
        <v>108</v>
      </c>
      <c r="C59" s="22">
        <v>1</v>
      </c>
      <c r="D59" s="23">
        <v>12</v>
      </c>
      <c r="E59" s="24" t="s">
        <v>109</v>
      </c>
    </row>
    <row r="60" ht="18" customHeight="1" spans="1:5">
      <c r="A60" s="19">
        <v>3</v>
      </c>
      <c r="B60" s="19" t="s">
        <v>110</v>
      </c>
      <c r="C60" s="19">
        <v>1</v>
      </c>
      <c r="D60" s="20">
        <v>8</v>
      </c>
      <c r="E60" s="21" t="s">
        <v>111</v>
      </c>
    </row>
    <row r="61" ht="18" customHeight="1" spans="1:5">
      <c r="A61" s="22">
        <v>4</v>
      </c>
      <c r="B61" s="22" t="s">
        <v>112</v>
      </c>
      <c r="C61" s="22">
        <v>1</v>
      </c>
      <c r="D61" s="23">
        <v>8</v>
      </c>
      <c r="E61" s="24" t="s">
        <v>113</v>
      </c>
    </row>
    <row r="62" ht="18" customHeight="1" spans="1:5">
      <c r="A62" s="19">
        <v>5</v>
      </c>
      <c r="B62" s="19" t="s">
        <v>114</v>
      </c>
      <c r="C62" s="19">
        <v>1</v>
      </c>
      <c r="D62" s="20">
        <v>8</v>
      </c>
      <c r="E62" s="21" t="s">
        <v>115</v>
      </c>
    </row>
    <row r="63" ht="18" customHeight="1" spans="1:5">
      <c r="A63" s="22">
        <v>6</v>
      </c>
      <c r="B63" s="22" t="s">
        <v>116</v>
      </c>
      <c r="C63" s="22">
        <v>1</v>
      </c>
      <c r="D63" s="23">
        <v>10.04</v>
      </c>
      <c r="E63" s="24" t="s">
        <v>117</v>
      </c>
    </row>
    <row r="64" ht="18" customHeight="1" spans="1:5">
      <c r="A64" s="19">
        <v>7</v>
      </c>
      <c r="B64" s="19" t="s">
        <v>118</v>
      </c>
      <c r="C64" s="19">
        <v>1</v>
      </c>
      <c r="D64" s="20">
        <v>12</v>
      </c>
      <c r="E64" s="21" t="s">
        <v>119</v>
      </c>
    </row>
    <row r="65" ht="26" customHeight="1" spans="1:5">
      <c r="A65" s="33" t="s">
        <v>46</v>
      </c>
      <c r="B65" s="33" t="s">
        <v>120</v>
      </c>
      <c r="C65" s="33"/>
      <c r="D65" s="44">
        <f>SUM(D57:D64)</f>
        <v>78.04</v>
      </c>
      <c r="E65" s="21" t="s">
        <v>121</v>
      </c>
    </row>
    <row r="66" ht="26" customHeight="1" spans="1:5">
      <c r="A66" s="45" t="s">
        <v>46</v>
      </c>
      <c r="B66" s="46" t="s">
        <v>122</v>
      </c>
      <c r="C66" s="46"/>
      <c r="D66" s="47">
        <f>D65+D55+D32+D24+D14</f>
        <v>725.04</v>
      </c>
      <c r="E66" s="48"/>
    </row>
    <row r="68" spans="1:5">
      <c r="D68" s="49"/>
      <c r="E68"/>
    </row>
    <row r="69" spans="1:5">
      <c r="D69" s="49"/>
      <c r="E69"/>
    </row>
    <row r="70" spans="1:5">
      <c r="D70" s="49"/>
      <c r="E70"/>
    </row>
  </sheetData>
  <mergeCells count="8">
    <mergeCell ref="A1:E1"/>
    <mergeCell ref="A2:C2"/>
    <mergeCell ref="D2:E2"/>
    <mergeCell ref="A4:E4"/>
    <mergeCell ref="A15:E15"/>
    <mergeCell ref="A25:E25"/>
    <mergeCell ref="A33:E33"/>
    <mergeCell ref="A56:E56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huo</cp:lastModifiedBy>
  <dcterms:created xsi:type="dcterms:W3CDTF">2026-08-04T10:39:00Z</dcterms:created>
  <dcterms:modified xsi:type="dcterms:W3CDTF">2026-08-04T18:40:20Z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5B06D5AD806D43489993B588181D5638_12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