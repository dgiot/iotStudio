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4750" windowHeight="11610" tabRatio="600" firstSheet="0" activeTab="0" autoFilterDateGrouping="1"/>
  </bookViews>
  <sheets>
    <sheet xmlns:r="http://schemas.openxmlformats.org/officeDocument/2006/relationships" name="分模块说明" sheetId="1" state="visible" r:id="rId1"/>
    <sheet xmlns:r="http://schemas.openxmlformats.org/officeDocument/2006/relationships" name="费用测算明细" sheetId="2" state="visible" r:id="rId2"/>
    <sheet xmlns:r="http://schemas.openxmlformats.org/officeDocument/2006/relationships" name="功能点测算明细" sheetId="3" state="visible" r:id="rId3"/>
  </sheets>
  <definedNames>
    <definedName name="_xlnm._FilterDatabase" localSheetId="2" hidden="1">'功能点测算明细'!$B$5:$O$847</definedName>
  </definedNames>
  <calcPr calcId="191029" fullCalcOnLoad="1"/>
</workbook>
</file>

<file path=xl/styles.xml><?xml version="1.0" encoding="utf-8"?>
<styleSheet xmlns="http://schemas.openxmlformats.org/spreadsheetml/2006/main">
  <numFmts count="3">
    <numFmt numFmtId="164" formatCode="0.00_ "/>
    <numFmt numFmtId="165" formatCode="0_ "/>
    <numFmt numFmtId="166" formatCode="0.000_ "/>
  </numFmts>
  <fonts count="35">
    <font>
      <name val="宋体"/>
      <charset val="134"/>
      <color theme="1"/>
      <sz val="11"/>
      <scheme val="minor"/>
    </font>
    <font>
      <name val="宋体"/>
      <charset val="134"/>
      <color theme="1"/>
      <sz val="14"/>
      <scheme val="minor"/>
    </font>
    <font>
      <name val="微软雅黑"/>
      <charset val="134"/>
      <b val="1"/>
      <color indexed="8"/>
      <sz val="20"/>
    </font>
    <font>
      <name val="微软雅黑"/>
      <charset val="134"/>
      <b val="1"/>
      <color indexed="8"/>
      <sz val="14"/>
    </font>
    <font>
      <name val="微软雅黑"/>
      <charset val="134"/>
      <b val="1"/>
      <color theme="8"/>
      <sz val="14"/>
    </font>
    <font>
      <name val="微软雅黑"/>
      <charset val="134"/>
      <color theme="1"/>
      <sz val="14"/>
    </font>
    <font>
      <name val="宋体"/>
      <charset val="134"/>
      <color theme="1"/>
      <sz val="12"/>
      <scheme val="minor"/>
    </font>
    <font>
      <name val="微软雅黑"/>
      <charset val="134"/>
      <b val="1"/>
      <color rgb="FF000000"/>
      <sz val="16"/>
    </font>
    <font>
      <name val="微软雅黑"/>
      <charset val="134"/>
      <b val="1"/>
      <sz val="16"/>
    </font>
    <font>
      <name val="微软雅黑"/>
      <charset val="134"/>
      <b val="1"/>
      <color theme="1"/>
      <sz val="14"/>
    </font>
    <font>
      <name val="微软雅黑"/>
      <charset val="134"/>
      <b val="1"/>
      <color rgb="FF000000"/>
      <sz val="14"/>
    </font>
    <font>
      <name val="微软雅黑"/>
      <charset val="134"/>
      <sz val="14"/>
    </font>
    <font>
      <name val="微软雅黑"/>
      <charset val="134"/>
      <color rgb="FF000000"/>
      <sz val="14"/>
    </font>
    <font>
      <name val="宋体"/>
      <charset val="134"/>
      <b val="1"/>
      <color theme="1"/>
      <sz val="11"/>
      <scheme val="minor"/>
    </font>
    <font>
      <name val="宋体"/>
      <charset val="134"/>
      <color theme="1"/>
      <sz val="16"/>
      <scheme val="minor"/>
    </font>
    <font>
      <name val="宋体"/>
      <charset val="134"/>
      <color theme="1"/>
      <sz val="12"/>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2"/>
        <bgColor indexed="64"/>
      </patternFill>
    </fill>
    <fill>
      <patternFill patternType="solid">
        <fgColor theme="0" tint="-0.15"/>
        <bgColor indexed="64"/>
      </patternFill>
    </fill>
    <fill>
      <patternFill patternType="solid">
        <fgColor theme="9" tint="0.8"/>
        <bgColor indexed="64"/>
      </patternFill>
    </fill>
    <fill>
      <patternFill patternType="solid">
        <fgColor theme="7"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
      <left style="thin">
        <color auto="1"/>
      </left>
      <right/>
      <top/>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6" fillId="0" borderId="0" applyAlignment="1">
      <alignment vertical="center"/>
    </xf>
    <xf numFmtId="0" fontId="17" fillId="0" borderId="0" applyAlignment="1">
      <alignment vertical="center"/>
    </xf>
    <xf numFmtId="0" fontId="0" fillId="6" borderId="6" applyAlignment="1">
      <alignment vertical="center"/>
    </xf>
    <xf numFmtId="0" fontId="18" fillId="0" borderId="0" applyAlignment="1">
      <alignment vertical="center"/>
    </xf>
    <xf numFmtId="0" fontId="19" fillId="0" borderId="0" applyAlignment="1">
      <alignment vertical="center"/>
    </xf>
    <xf numFmtId="0" fontId="20" fillId="0" borderId="0" applyAlignment="1">
      <alignment vertical="center"/>
    </xf>
    <xf numFmtId="0" fontId="21" fillId="0" borderId="7" applyAlignment="1">
      <alignment vertical="center"/>
    </xf>
    <xf numFmtId="0" fontId="22" fillId="0" borderId="7" applyAlignment="1">
      <alignment vertical="center"/>
    </xf>
    <xf numFmtId="0" fontId="23" fillId="0" borderId="8" applyAlignment="1">
      <alignment vertical="center"/>
    </xf>
    <xf numFmtId="0" fontId="23" fillId="0" borderId="0" applyAlignment="1">
      <alignment vertical="center"/>
    </xf>
    <xf numFmtId="0" fontId="24" fillId="7" borderId="9" applyAlignment="1">
      <alignment vertical="center"/>
    </xf>
    <xf numFmtId="0" fontId="25" fillId="8" borderId="10" applyAlignment="1">
      <alignment vertical="center"/>
    </xf>
    <xf numFmtId="0" fontId="26" fillId="8" borderId="9" applyAlignment="1">
      <alignment vertical="center"/>
    </xf>
    <xf numFmtId="0" fontId="27" fillId="9" borderId="11" applyAlignment="1">
      <alignment vertical="center"/>
    </xf>
    <xf numFmtId="0" fontId="28" fillId="0" borderId="12" applyAlignment="1">
      <alignment vertical="center"/>
    </xf>
    <xf numFmtId="0" fontId="29" fillId="0" borderId="13" applyAlignment="1">
      <alignment vertical="center"/>
    </xf>
    <xf numFmtId="0" fontId="30" fillId="10" borderId="0"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14" borderId="0" applyAlignment="1">
      <alignment vertical="center"/>
    </xf>
    <xf numFmtId="0" fontId="34" fillId="15" borderId="0" applyAlignment="1">
      <alignment vertical="center"/>
    </xf>
    <xf numFmtId="0" fontId="33" fillId="16" borderId="0" applyAlignment="1">
      <alignment vertical="center"/>
    </xf>
    <xf numFmtId="0" fontId="33" fillId="17" borderId="0" applyAlignment="1">
      <alignment vertical="center"/>
    </xf>
    <xf numFmtId="0" fontId="34" fillId="18" borderId="0" applyAlignment="1">
      <alignment vertical="center"/>
    </xf>
    <xf numFmtId="0" fontId="34" fillId="19" borderId="0" applyAlignment="1">
      <alignment vertical="center"/>
    </xf>
    <xf numFmtId="0" fontId="33" fillId="20" borderId="0" applyAlignment="1">
      <alignment vertical="center"/>
    </xf>
    <xf numFmtId="0" fontId="33" fillId="21" borderId="0" applyAlignment="1">
      <alignment vertical="center"/>
    </xf>
    <xf numFmtId="0" fontId="34" fillId="22" borderId="0" applyAlignment="1">
      <alignment vertical="center"/>
    </xf>
    <xf numFmtId="0" fontId="34" fillId="23" borderId="0" applyAlignment="1">
      <alignment vertical="center"/>
    </xf>
    <xf numFmtId="0" fontId="33" fillId="24" borderId="0" applyAlignment="1">
      <alignment vertical="center"/>
    </xf>
    <xf numFmtId="0" fontId="33" fillId="25" borderId="0" applyAlignment="1">
      <alignment vertical="center"/>
    </xf>
    <xf numFmtId="0" fontId="34" fillId="26" borderId="0" applyAlignment="1">
      <alignment vertical="center"/>
    </xf>
    <xf numFmtId="0" fontId="34" fillId="27" borderId="0" applyAlignment="1">
      <alignment vertical="center"/>
    </xf>
    <xf numFmtId="0" fontId="33" fillId="28" borderId="0" applyAlignment="1">
      <alignment vertical="center"/>
    </xf>
    <xf numFmtId="0" fontId="33" fillId="29" borderId="0" applyAlignment="1">
      <alignment vertical="center"/>
    </xf>
    <xf numFmtId="0" fontId="34" fillId="30" borderId="0" applyAlignment="1">
      <alignment vertical="center"/>
    </xf>
    <xf numFmtId="0" fontId="34" fillId="31" borderId="0" applyAlignment="1">
      <alignment vertical="center"/>
    </xf>
    <xf numFmtId="0" fontId="33" fillId="32" borderId="0" applyAlignment="1">
      <alignment vertical="center"/>
    </xf>
    <xf numFmtId="0" fontId="33" fillId="33" borderId="0" applyAlignment="1">
      <alignment vertical="center"/>
    </xf>
    <xf numFmtId="0" fontId="34" fillId="34" borderId="0" applyAlignment="1">
      <alignment vertical="center"/>
    </xf>
    <xf numFmtId="0" fontId="34" fillId="35" borderId="0" applyAlignment="1">
      <alignment vertical="center"/>
    </xf>
    <xf numFmtId="0" fontId="33" fillId="36" borderId="0" applyAlignment="1">
      <alignment vertical="center"/>
    </xf>
  </cellStyleXfs>
  <cellXfs count="65">
    <xf numFmtId="0" fontId="0" fillId="0" borderId="0" applyAlignment="1" pivotButton="0" quotePrefix="0" xfId="0">
      <alignment vertical="center"/>
    </xf>
    <xf numFmtId="0" fontId="0" fillId="0" borderId="0" pivotButton="0" quotePrefix="0" xfId="0"/>
    <xf numFmtId="0" fontId="0" fillId="0" borderId="0" applyAlignment="1" pivotButton="0" quotePrefix="0" xfId="0">
      <alignment horizontal="left" vertical="center"/>
    </xf>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2" borderId="1" applyAlignment="1" pivotButton="0" quotePrefix="0" xfId="0">
      <alignment horizontal="center" vertical="center"/>
    </xf>
    <xf numFmtId="0" fontId="0" fillId="0" borderId="2" pivotButton="0" quotePrefix="0" xfId="0"/>
    <xf numFmtId="0" fontId="4" fillId="2" borderId="1" applyAlignment="1" pivotButton="0" quotePrefix="0" xfId="0">
      <alignment horizontal="center" vertical="center"/>
    </xf>
    <xf numFmtId="0" fontId="0" fillId="0" borderId="3" pivotButton="0" quotePrefix="0" xfId="0"/>
    <xf numFmtId="164" fontId="4" fillId="2" borderId="1" applyAlignment="1" pivotButton="0" quotePrefix="0" xfId="0">
      <alignment horizontal="center" vertical="center"/>
    </xf>
    <xf numFmtId="164" fontId="0" fillId="0" borderId="0" applyAlignment="1" pivotButton="0" quotePrefix="0" xfId="0">
      <alignment vertical="center"/>
    </xf>
    <xf numFmtId="0" fontId="3" fillId="2" borderId="1" applyAlignment="1" pivotButton="0" quotePrefix="0" xfId="0">
      <alignment horizontal="center" vertical="center" wrapText="1"/>
    </xf>
    <xf numFmtId="0" fontId="5" fillId="2" borderId="1" applyAlignment="1" pivotButton="0" quotePrefix="0" xfId="0">
      <alignment horizontal="center" vertical="center"/>
    </xf>
    <xf numFmtId="0" fontId="6" fillId="0" borderId="4" applyAlignment="1" pivotButton="0" quotePrefix="0" xfId="0">
      <alignment horizontal="center" vertical="center"/>
    </xf>
    <xf numFmtId="0" fontId="6" fillId="0" borderId="4" applyAlignment="1" pivotButton="0" quotePrefix="0" xfId="0">
      <alignment horizontal="left" vertical="center"/>
    </xf>
    <xf numFmtId="0" fontId="0" fillId="0" borderId="4" applyAlignment="1" pivotButton="0" quotePrefix="0" xfId="0">
      <alignment vertical="center"/>
    </xf>
    <xf numFmtId="0" fontId="6" fillId="0" borderId="1" applyAlignment="1" pivotButton="0" quotePrefix="0" xfId="0">
      <alignment horizontal="center" vertical="center"/>
    </xf>
    <xf numFmtId="0" fontId="6" fillId="0" borderId="1" applyAlignment="1" pivotButton="0" quotePrefix="0" xfId="0">
      <alignment horizontal="left" vertical="center"/>
    </xf>
    <xf numFmtId="0" fontId="0" fillId="0" borderId="1" applyAlignment="1" pivotButton="0" quotePrefix="0" xfId="0">
      <alignment vertical="center"/>
    </xf>
    <xf numFmtId="0" fontId="7" fillId="0" borderId="1" applyAlignment="1" pivotButton="0" quotePrefix="0" xfId="0">
      <alignment horizontal="center" vertical="center" wrapText="1"/>
    </xf>
    <xf numFmtId="0" fontId="8" fillId="0" borderId="0" applyAlignment="1" pivotButton="0" quotePrefix="0" xfId="0">
      <alignment horizontal="center" vertical="center" wrapText="1"/>
    </xf>
    <xf numFmtId="0" fontId="7" fillId="0" borderId="1" applyAlignment="1" pivotButton="0" quotePrefix="0" xfId="0">
      <alignment horizontal="left" vertical="center" wrapText="1"/>
    </xf>
    <xf numFmtId="0" fontId="9" fillId="0" borderId="1" applyAlignment="1" pivotButton="0" quotePrefix="0" xfId="0">
      <alignment horizontal="center" vertical="center"/>
    </xf>
    <xf numFmtId="0" fontId="9" fillId="0" borderId="1" applyAlignment="1" pivotButton="0" quotePrefix="0" xfId="0">
      <alignment horizontal="center" vertical="center" wrapText="1"/>
    </xf>
    <xf numFmtId="0" fontId="10" fillId="3" borderId="1" applyAlignment="1" pivotButton="0" quotePrefix="0" xfId="0">
      <alignment horizontal="center" vertical="center" wrapText="1"/>
    </xf>
    <xf numFmtId="0" fontId="5" fillId="0" borderId="1" applyAlignment="1" pivotButton="0" quotePrefix="0" xfId="0">
      <alignment horizontal="center" vertical="center"/>
    </xf>
    <xf numFmtId="0" fontId="5" fillId="0" borderId="1" applyAlignment="1" pivotButton="0" quotePrefix="0" xfId="0">
      <alignment horizontal="center" vertical="center" wrapText="1"/>
    </xf>
    <xf numFmtId="0" fontId="0" fillId="0" borderId="5" pivotButton="0" quotePrefix="0" xfId="0"/>
    <xf numFmtId="0" fontId="0" fillId="0" borderId="4" pivotButton="0" quotePrefix="0" xfId="0"/>
    <xf numFmtId="0" fontId="5" fillId="4" borderId="1" applyAlignment="1" pivotButton="0" quotePrefix="0" xfId="0">
      <alignment horizontal="center" vertical="center" wrapText="1"/>
    </xf>
    <xf numFmtId="164" fontId="10" fillId="3" borderId="1" applyAlignment="1" pivotButton="0" quotePrefix="0" xfId="0">
      <alignment horizontal="center" vertical="center" wrapText="1"/>
    </xf>
    <xf numFmtId="164" fontId="9" fillId="3" borderId="1" applyAlignment="1" pivotButton="0" quotePrefix="0" xfId="0">
      <alignment horizontal="center" vertical="center" wrapText="1"/>
    </xf>
    <xf numFmtId="165" fontId="5" fillId="0" borderId="1" applyAlignment="1" pivotButton="0" quotePrefix="0" xfId="0">
      <alignment horizontal="center" vertical="center" wrapText="1"/>
    </xf>
    <xf numFmtId="164" fontId="5" fillId="3" borderId="1" applyAlignment="1" pivotButton="0" quotePrefix="0" xfId="0">
      <alignment horizontal="center" vertical="center" wrapText="1"/>
    </xf>
    <xf numFmtId="164" fontId="5" fillId="0" borderId="1" applyAlignment="1" pivotButton="0" quotePrefix="0" xfId="0">
      <alignment horizontal="center" vertical="center" wrapText="1"/>
    </xf>
    <xf numFmtId="164" fontId="11" fillId="4" borderId="1" applyAlignment="1" pivotButton="0" quotePrefix="0" xfId="0">
      <alignment horizontal="center" vertical="center" wrapText="1"/>
    </xf>
    <xf numFmtId="164" fontId="10" fillId="3" borderId="1" applyAlignment="1" pivotButton="0" quotePrefix="0" xfId="0">
      <alignment vertical="center" wrapText="1"/>
    </xf>
    <xf numFmtId="164" fontId="5" fillId="5" borderId="1" applyAlignment="1" pivotButton="0" quotePrefix="0" xfId="0">
      <alignment horizontal="center" vertical="center" wrapText="1"/>
    </xf>
    <xf numFmtId="164" fontId="12" fillId="3" borderId="1" applyAlignment="1" pivotButton="0" quotePrefix="0" xfId="0">
      <alignment horizontal="center" vertical="center" wrapText="1"/>
    </xf>
    <xf numFmtId="166" fontId="5" fillId="5" borderId="1" applyAlignment="1" pivotButton="0" quotePrefix="0" xfId="0">
      <alignment horizontal="center" vertical="center" wrapText="1"/>
    </xf>
    <xf numFmtId="164" fontId="9" fillId="3" borderId="1" applyAlignment="1" pivotButton="0" quotePrefix="0" xfId="0">
      <alignment vertical="center" wrapText="1"/>
    </xf>
    <xf numFmtId="0" fontId="13" fillId="0" borderId="0"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vertical="center" wrapText="1"/>
    </xf>
    <xf numFmtId="0" fontId="0" fillId="0" borderId="1" applyAlignment="1" pivotButton="0" quotePrefix="0" xfId="0">
      <alignment horizontal="center" vertical="center"/>
    </xf>
    <xf numFmtId="0" fontId="0" fillId="0" borderId="1" applyAlignment="1" pivotButton="0" quotePrefix="0" xfId="0">
      <alignment vertical="center" wrapText="1"/>
    </xf>
    <xf numFmtId="0" fontId="14" fillId="0" borderId="1" applyAlignment="1" pivotButton="0" quotePrefix="0" xfId="0">
      <alignment vertical="center" wrapText="1"/>
    </xf>
    <xf numFmtId="0" fontId="15" fillId="0" borderId="1" applyAlignment="1" pivotButton="0" quotePrefix="0" xfId="0">
      <alignment horizontal="left" vertical="top" wrapText="1"/>
    </xf>
    <xf numFmtId="164" fontId="0" fillId="0" borderId="1" applyAlignment="1" pivotButton="0" quotePrefix="0" xfId="0">
      <alignment vertical="center"/>
    </xf>
    <xf numFmtId="0" fontId="15" fillId="0" borderId="1" applyAlignment="1" pivotButton="0" quotePrefix="0" xfId="0">
      <alignment horizontal="justify" vertical="top" wrapText="1"/>
    </xf>
    <xf numFmtId="0" fontId="15" fillId="0" borderId="1" applyAlignment="1" pivotButton="0" quotePrefix="0" xfId="0">
      <alignment vertical="center" wrapText="1"/>
    </xf>
    <xf numFmtId="164" fontId="0" fillId="0" borderId="1" applyAlignment="1" pivotButton="0" quotePrefix="0" xfId="0">
      <alignment vertical="center"/>
    </xf>
    <xf numFmtId="164" fontId="10" fillId="3" borderId="1" applyAlignment="1" pivotButton="0" quotePrefix="0" xfId="0">
      <alignment horizontal="center" vertical="center" wrapText="1"/>
    </xf>
    <xf numFmtId="164" fontId="9" fillId="3" borderId="1" applyAlignment="1" pivotButton="0" quotePrefix="0" xfId="0">
      <alignment horizontal="center" vertical="center" wrapText="1"/>
    </xf>
    <xf numFmtId="165" fontId="5" fillId="0" borderId="1" applyAlignment="1" pivotButton="0" quotePrefix="0" xfId="0">
      <alignment horizontal="center" vertical="center" wrapText="1"/>
    </xf>
    <xf numFmtId="164" fontId="5" fillId="3" borderId="1" applyAlignment="1" pivotButton="0" quotePrefix="0" xfId="0">
      <alignment horizontal="center" vertical="center" wrapText="1"/>
    </xf>
    <xf numFmtId="164" fontId="5" fillId="0" borderId="1" applyAlignment="1" pivotButton="0" quotePrefix="0" xfId="0">
      <alignment horizontal="center" vertical="center" wrapText="1"/>
    </xf>
    <xf numFmtId="164" fontId="11" fillId="4" borderId="1" applyAlignment="1" pivotButton="0" quotePrefix="0" xfId="0">
      <alignment horizontal="center" vertical="center" wrapText="1"/>
    </xf>
    <xf numFmtId="164" fontId="10" fillId="3" borderId="1" applyAlignment="1" pivotButton="0" quotePrefix="0" xfId="0">
      <alignment vertical="center" wrapText="1"/>
    </xf>
    <xf numFmtId="164" fontId="5" fillId="5" borderId="1" applyAlignment="1" pivotButton="0" quotePrefix="0" xfId="0">
      <alignment horizontal="center" vertical="center" wrapText="1"/>
    </xf>
    <xf numFmtId="164" fontId="12" fillId="3" borderId="1" applyAlignment="1" pivotButton="0" quotePrefix="0" xfId="0">
      <alignment horizontal="center" vertical="center" wrapText="1"/>
    </xf>
    <xf numFmtId="166" fontId="5" fillId="5" borderId="1" applyAlignment="1" pivotButton="0" quotePrefix="0" xfId="0">
      <alignment horizontal="center" vertical="center" wrapText="1"/>
    </xf>
    <xf numFmtId="164" fontId="9" fillId="3" borderId="1" applyAlignment="1" pivotButton="0" quotePrefix="0" xfId="0">
      <alignment vertical="center" wrapText="1"/>
    </xf>
    <xf numFmtId="164" fontId="0" fillId="0" borderId="0" applyAlignment="1" pivotButton="0" quotePrefix="0" xfId="0">
      <alignment vertical="center"/>
    </xf>
    <xf numFmtId="164" fontId="4" fillId="2" borderId="1" applyAlignment="1" pivotButton="0" quotePrefix="0" xfId="0">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B2:L11"/>
  <sheetViews>
    <sheetView tabSelected="1" topLeftCell="A5" zoomScale="115" zoomScaleNormal="115" workbookViewId="0">
      <selection activeCell="E10" sqref="E10"/>
    </sheetView>
  </sheetViews>
  <sheetFormatPr baseColWidth="8" defaultColWidth="13.2545454545455" defaultRowHeight="14"/>
  <cols>
    <col width="13.2545454545455" customWidth="1" style="1" min="1" max="1"/>
    <col width="7.39090909090909" customWidth="1" style="42" min="2" max="2"/>
    <col width="24.7" customWidth="1" style="43" min="3" max="3"/>
    <col width="75.1181818181818" customWidth="1" style="1" min="4" max="4"/>
    <col width="13.2545454545455" customWidth="1" style="1" min="5" max="11"/>
    <col width="17.2545454545455" customWidth="1" style="1" min="12" max="12"/>
    <col width="13.2545454545455" customWidth="1" style="1" min="13" max="16380"/>
  </cols>
  <sheetData>
    <row r="2" ht="28" customHeight="1" s="1">
      <c r="B2" s="44" t="inlineStr">
        <is>
          <t>序号</t>
        </is>
      </c>
      <c r="C2" s="45" t="inlineStr">
        <is>
          <t>模块</t>
        </is>
      </c>
      <c r="D2" s="18" t="inlineStr">
        <is>
          <t>模块功能</t>
        </is>
      </c>
      <c r="E2" s="45" t="inlineStr">
        <is>
          <t>内部逻辑文件(ILF)</t>
        </is>
      </c>
      <c r="F2" s="45" t="inlineStr">
        <is>
          <t>外部接口文件（EIF）</t>
        </is>
      </c>
      <c r="G2" s="45" t="inlineStr">
        <is>
          <t>外部输入(EI)</t>
        </is>
      </c>
      <c r="H2" s="45" t="inlineStr">
        <is>
          <t>外部输出(EO)</t>
        </is>
      </c>
      <c r="I2" s="45" t="inlineStr">
        <is>
          <t>外部查询(EQ)</t>
        </is>
      </c>
      <c r="J2" s="45" t="inlineStr">
        <is>
          <t>未调整功能点数</t>
        </is>
      </c>
      <c r="K2" s="45" t="inlineStr">
        <is>
          <t>未调整功能规模</t>
        </is>
      </c>
      <c r="L2" s="45" t="inlineStr">
        <is>
          <t>含税小计（万元）</t>
        </is>
      </c>
    </row>
    <row r="3" ht="105" customHeight="1" s="1">
      <c r="B3" s="44" t="n">
        <v>1</v>
      </c>
      <c r="C3" s="46" t="inlineStr">
        <is>
          <t>时序数据采集增强中间件与基础平台服务</t>
        </is>
      </c>
      <c r="D3" s="47" t="inlineStr">
        <is>
          <t>提供A11增强采集所需的配置管理中心（采集频次/告警阈值/数据保留策略的集中配置与动态刷新）、MQTT消息中间件（支持QoS分级、Topic权限、双区消息同步）、边缘节点集群协同（百级分布式节点统一管理、指令下发、状态同步、日志汇聚）、RBAC权限管控（角色/岗位/数据行级细粒度访问控制）、全链路审计日志（采集-计算-存储各环节不可篡改日志）及系统健康自监控等基础平台能力，支撑高频时序数据在工控网-办公网双区架构下的安全稳定运行，为上层业务模块提供统一的环境底座。</t>
        </is>
      </c>
      <c r="E3" s="18" t="n">
        <v>15</v>
      </c>
      <c r="F3" s="18" t="n">
        <v>0</v>
      </c>
      <c r="G3" s="18" t="n">
        <v>65</v>
      </c>
      <c r="H3" s="18" t="n">
        <v>8</v>
      </c>
      <c r="I3" s="18" t="n">
        <v>20</v>
      </c>
      <c r="J3" s="18">
        <f>10*E3+7*F3+4*G3+H3*5+4*I3</f>
        <v/>
      </c>
      <c r="K3" s="18">
        <f>SUMIF(功能点测算明细!C:C,C3,功能点测算明细!N:N)</f>
        <v/>
      </c>
      <c r="L3" s="51">
        <f>K3*1.21*1.025*1773.33/10000</f>
        <v/>
      </c>
    </row>
    <row r="4" ht="105" customHeight="1" s="1">
      <c r="B4" s="44" t="n">
        <v>2</v>
      </c>
      <c r="C4" s="46" t="inlineStr">
        <is>
          <t>油气生产设备物模型与测点标准化管理服务</t>
        </is>
      </c>
      <c r="D4" s="47" t="inlineStr">
        <is>
          <t>面向抽油机、螺杆泵、电潜泵、注水井、计量间等油气生产核心设备类型，建立标准化设备物模型体系（涵盖G1抽油机基础/G2电参数/G3变频/G4螺杆泵/G5潜油泵/G6组合/G7仪表扩展/G8变频扩展八大类模板），实现多厂商设备Modbus寄存器地址映射与融合接入，测点参数统一定义（测量类型/量程/精度/采集频次/告警阈值/数据单位），采集系数（斜率/偏移量）配置管理，动态基线自动计算与漂移检测，以及数据质量自动校验（量程校验/变化率校验/完整性校验/时效性校验），从源头保障采集数据的准确性和一致性。</t>
        </is>
      </c>
      <c r="E4" s="18" t="n">
        <v>16</v>
      </c>
      <c r="F4" s="18" t="n">
        <v>0</v>
      </c>
      <c r="G4" s="18" t="n">
        <v>66</v>
      </c>
      <c r="H4" s="18" t="n">
        <v>8</v>
      </c>
      <c r="I4" s="18" t="n">
        <v>21</v>
      </c>
      <c r="J4" s="18">
        <f>10*E4+7*F4+4*G4+H4*5+4*I4</f>
        <v/>
      </c>
      <c r="K4" s="18">
        <f>SUMIF(功能点测算明细!C:C,C4,功能点测算明细!N:N)</f>
        <v/>
      </c>
      <c r="L4" s="51">
        <f>K4*1.21*1.025*1773.33/10000</f>
        <v/>
      </c>
    </row>
    <row r="5" ht="120" customHeight="1" s="1">
      <c r="B5" s="44" t="n">
        <v>3</v>
      </c>
      <c r="C5" s="46" t="inlineStr">
        <is>
          <t>多协议高频时序数据实时采集与异构设备统一接入服务</t>
        </is>
      </c>
      <c r="D5" s="49" t="inlineStr">
        <is>
          <t>提供Modbus RTU/TCP、OPC UA/DA、MQTT、HTTP等多工业协议的设备数据实时采集能力，兼容固定IP（直连采集）与动态IP（端口映射/反向代理穿透）两种网络环境，支持毫秒级至秒级高频采集与智能动态调频（异常自动提速至毫秒级/低谷自动降频节能/风暴时段错峰避让），针对A11当前未覆盖的工程器械监测、能源计量、安防等非A11设备源进行统一协议适配与接入，同时提供RTU状态感知（在线监测/故障识别/通道统计）、采集健康度日报（按设备统计实时在线率/数据完整率/通信成功率）及采集链路全路径追踪，有效弥补A11在异构数据源扩展接入上的不足。</t>
        </is>
      </c>
      <c r="E5" s="18" t="n">
        <v>20</v>
      </c>
      <c r="F5" s="18" t="n">
        <v>1</v>
      </c>
      <c r="G5" s="18" t="n">
        <v>78</v>
      </c>
      <c r="H5" s="18" t="n">
        <v>10</v>
      </c>
      <c r="I5" s="18" t="n">
        <v>26</v>
      </c>
      <c r="J5" s="18">
        <f>10*E5+7*F5+4*G5+H5*5+4*I5</f>
        <v/>
      </c>
      <c r="K5" s="18">
        <f>SUMIF(功能点测算明细!C:C,C5,功能点测算明细!N:N)</f>
        <v/>
      </c>
      <c r="L5" s="51">
        <f>K5*1.21*1.025*1773.33/10000</f>
        <v/>
      </c>
    </row>
    <row r="6" ht="120" customHeight="1" s="1">
      <c r="B6" s="44" t="n">
        <v>4</v>
      </c>
      <c r="C6" s="46" t="inlineStr">
        <is>
          <t>边缘端前置流式计算与实时告警引擎服务</t>
        </is>
      </c>
      <c r="D6" s="49" t="inlineStr">
        <is>
          <t>将公式计算与告警判定逻辑从中心端数据库轮询模式升级为边缘端前置流式计算模式：在采用入库前流水计算架构——区别于传统采集-入库-轮询-告警模式（TDengine不堪重负、分钟级延迟），数据到达边缘节点后先经流式引擎逐条判定（告警/特征值/趋势标记），判定结果随原始数据一同写入时序库，告警在入库前完成、延迟毫秒级，彻底规避中心端数据库轮询压力。边缘节点对高频时序数据流进行实时计算（系统内置15种边缘流式计算算法：①滑窗特征算子层含均值、最值、标准差、趋势方向、变化速率等6种窗口聚合算子；②实时规则引擎层含阈值检测、突变检测、趋势检测、波动率检测、频次检测、滑动平均检测、变化率检测、波峰检测、连续异常检测、基线偏离检测、量程校验等9种判定算法，全算法在边缘节点内存内完成判定，单条规则判定延迟&lt;1ms），在数据入库前完成告警判定与事件生成，有效降低中心端计算负载与告警响应时延（从分钟级降至秒级）。支持四级告警分级（Critical/Error/Warning/Info）及差异化响应策略（电话/短信/APP推送/系统弹窗），提供告警升级闭环管理（超时未响应自动升级），结合历史趋势分析实现告警规则的动态优化。支持通过可视化规则编排界面配置复杂业务逻辑，降低告警规则维护门槛。</t>
        </is>
      </c>
      <c r="E6" s="18" t="n">
        <v>18</v>
      </c>
      <c r="F6" s="18" t="n">
        <v>1</v>
      </c>
      <c r="G6" s="18" t="n">
        <v>70</v>
      </c>
      <c r="H6" s="18" t="n">
        <v>9</v>
      </c>
      <c r="I6" s="18" t="n">
        <v>23</v>
      </c>
      <c r="J6" s="18">
        <f>10*E6+7*F6+4*G6+H6*5+4*I6</f>
        <v/>
      </c>
      <c r="K6" s="18">
        <f>SUMIF(功能点测算明细!C:C,C6,功能点测算明细!N:N)</f>
        <v/>
      </c>
      <c r="L6" s="51">
        <f>K6*1.21*1.025*1773.33/10000</f>
        <v/>
      </c>
    </row>
    <row r="7" ht="105" customHeight="1" s="1">
      <c r="B7" s="44" t="n">
        <v>5</v>
      </c>
      <c r="C7" s="46" t="inlineStr">
        <is>
          <t>设备资产全生命周期数据治理与运行健康评估服务</t>
        </is>
      </c>
      <c r="D7" s="47" t="inlineStr">
        <is>
          <t>以设备A2/A5标识为数据组织纽带，建立从设备注册、运行监测、维护保养到退役的全生命周期数据管理体系，构建"油田→作业区→站库→井组→单设备"五级资产层级树并与物模型深度绑定。融合高频时序运行数据、告警历史、设备台账及维护记录，按设备维度统一汇聚与查询，计算设备健康度评分（在线率/采集成功率/告警频次/数据完整率等），支持按设备类型、作业区域进行横纵向对比分析。提供覆盖数据采集→传输→计算→存储全环节的不可篡改操作轨迹记录，实现任意时刻数据状态的精确追溯。</t>
        </is>
      </c>
      <c r="E7" s="18" t="n">
        <v>18</v>
      </c>
      <c r="F7" s="18" t="n">
        <v>1</v>
      </c>
      <c r="G7" s="18" t="n">
        <v>72</v>
      </c>
      <c r="H7" s="18" t="n">
        <v>9</v>
      </c>
      <c r="I7" s="18" t="n">
        <v>24</v>
      </c>
      <c r="J7" s="18">
        <f>10*E7+7*F7+4*G7+H7*5+4*I7</f>
        <v/>
      </c>
      <c r="K7" s="18">
        <f>SUMIF(功能点测算明细!C:C,C7,功能点测算明细!N:N)</f>
        <v/>
      </c>
      <c r="L7" s="51">
        <f>K7*1.21*1.025*1773.33/10000</f>
        <v/>
      </c>
    </row>
    <row r="8" ht="120" customHeight="1" s="1">
      <c r="B8" s="44" t="n">
        <v>6</v>
      </c>
      <c r="C8" s="46" t="inlineStr">
        <is>
          <t>高频时序数据分级存储与全链路安全管控服务</t>
        </is>
      </c>
      <c r="D8" s="47" t="inlineStr">
        <is>
          <t>基于国产化全栈环境（麒麟/统信UOS操作系统+国产CPU架构），采用TDengine时序数据库与关系型数据库结合的三级存储策略（SSD热数据0-30天/HDD温数据31天-1年/归档冷数据1年以上），支持按设备标识（A2/A5 ID）直接定位与快速检索任意测点的历史数据。提供全链路安全管控：采集端数据加密与认证、MQTT通道TLS加密、API接口HTTPS加密、存储端数据加密，结合细粒度权限控制（数据行级/API端点级/菜单级）和防篡改审计日志，确保数据在工控网-办公网跨区传输与存储全过程的合规性与安全性。提供数据备份恢复与异地容灾机制。</t>
        </is>
      </c>
      <c r="E8" s="18" t="n">
        <v>16</v>
      </c>
      <c r="F8" s="18" t="n">
        <v>1</v>
      </c>
      <c r="G8" s="18" t="n">
        <v>62</v>
      </c>
      <c r="H8" s="18" t="n">
        <v>7</v>
      </c>
      <c r="I8" s="18" t="n">
        <v>19</v>
      </c>
      <c r="J8" s="18">
        <f>10*E8+7*F8+4*G8+H8*5+4*I8</f>
        <v/>
      </c>
      <c r="K8" s="18">
        <f>SUMIF(功能点测算明细!C:C,C8,功能点测算明细!N:N)</f>
        <v/>
      </c>
      <c r="L8" s="51">
        <f>K8*1.21*1.025*1773.33/10000</f>
        <v/>
      </c>
    </row>
    <row r="9" ht="90" customHeight="1" s="1">
      <c r="B9" s="44" t="n">
        <v>7</v>
      </c>
      <c r="C9" s="46" t="inlineStr">
        <is>
          <t>油气生产运行综合监控与多维数据分析看板服务</t>
        </is>
      </c>
      <c r="D9" s="47" t="inlineStr">
        <is>
          <t>提供涵盖设备运行状态总览、采集通道健康度监控、告警分布态势、公式计算实时状态（含寄存器换算公式Y=kX+b执行成功率、边缘流式15种算法规则命中率、派生计算公式P=UI√3等电气参数实时计算结果）等多维度的综合监控大盘组态配置与个性化仪表盘定制。实现告警→设备→采集链路的联动钻取分析（从告警卡片一键下钻至设备详情与原始数据），按日/周/月自动生成设备运行报告、采集质量统计报告与告警分析报告，支持GIS地图下钻（油田→作业区→站库→井组），弥补A11系统在综合监控可视化方面的不足。支持日报/周报/月报自动生成与推送。</t>
        </is>
      </c>
      <c r="E9" s="18" t="n">
        <v>14</v>
      </c>
      <c r="F9" s="18" t="n">
        <v>0</v>
      </c>
      <c r="G9" s="18" t="n">
        <v>58</v>
      </c>
      <c r="H9" s="18" t="n">
        <v>8</v>
      </c>
      <c r="I9" s="18" t="n">
        <v>16</v>
      </c>
      <c r="J9" s="18">
        <f>10*E9+7*F9+4*G9+H9*5+4*I9</f>
        <v/>
      </c>
      <c r="K9" s="18">
        <f>SUMIF(功能点测算明细!C:C,C9,功能点测算明细!N:N)</f>
        <v/>
      </c>
      <c r="L9" s="51">
        <f>K9*1.21*1.025*1773.33/10000</f>
        <v/>
      </c>
    </row>
    <row r="10" ht="135" customHeight="1" s="1">
      <c r="B10" s="44" t="n">
        <v>8</v>
      </c>
      <c r="C10" s="46" t="inlineStr">
        <is>
          <t>高频时序数据全链路压力测试与性能验证服务</t>
        </is>
      </c>
      <c r="D10" s="50" t="inlineStr">
        <is>
          <t>针对本项目大规模设备接入（覆盖100余个作业区、单作业区1万设备点位、总计百万级测点）与海量时序数据节点（百万级数据点/秒吞吐）的高并发场景，提供从单业务功能验证到全链路协同压测的多阶段性能测试方案。通过边缘中枢模拟100+作业区百万级测点并发接入，每秒百万级数据点的写入压力，对CPU负载、内存占用、磁盘I/O吞吐、数据读写速度、消息传输延迟、压缩存储效率、并发连接数等关键性能指标进行极限测试；模拟断网重连、通道超时、设备异常离线、数据风暴等故障场景，验证系统的容错降级与自动恢复能力。测试覆盖数据采集→传输→公式计算→告警判定→数据存储→可视化查询的完整业务链路，支持单节点5个以上并发测试、7×24小时连续15天长稳测试，生成含性能基线、瓶颈定位与优化建议的完整报告。验证单节点在百百万级测点并发采集、10万QPS数据写入吞吐、&lt;1ms规则判定延迟等极限压力下的系统稳定性，提供CPU利用率≤80%、内存占用≤70%、磁盘IOPS≥5000、端到端采集延迟≤50ms的量化性能基准</t>
        </is>
      </c>
      <c r="E10" s="18" t="n">
        <v>8</v>
      </c>
      <c r="F10" s="18" t="n">
        <v>1</v>
      </c>
      <c r="G10" s="18" t="n">
        <v>26</v>
      </c>
      <c r="H10" s="18" t="n">
        <v>4</v>
      </c>
      <c r="I10" s="18" t="n">
        <v>3</v>
      </c>
      <c r="J10" s="18">
        <f>10*E10+7*F10+4*G10+H10*5+4*I10</f>
        <v/>
      </c>
      <c r="K10" s="18">
        <f>SUMIF(功能点测算明细!C:C,C10,功能点测算明细!N:N)</f>
        <v/>
      </c>
      <c r="L10" s="51">
        <f>K10*1.21*1.025*1773.33/10000</f>
        <v/>
      </c>
    </row>
    <row r="11" ht="33" customHeight="1" s="1">
      <c r="B11" s="44" t="inlineStr">
        <is>
          <t>合计</t>
        </is>
      </c>
      <c r="C11" s="45" t="n"/>
      <c r="D11" s="18" t="n"/>
      <c r="E11" s="18">
        <f>SUM(E3:E10)</f>
        <v/>
      </c>
      <c r="F11" s="18">
        <f>SUM(F3:F10)</f>
        <v/>
      </c>
      <c r="G11" s="18">
        <f>SUM(G3:G10)</f>
        <v/>
      </c>
      <c r="H11" s="18">
        <f>SUM(H3:H10)</f>
        <v/>
      </c>
      <c r="I11" s="18">
        <f>SUM(I3:I10)</f>
        <v/>
      </c>
      <c r="J11" s="18">
        <f>SUM(J3:J10)</f>
        <v/>
      </c>
      <c r="K11" s="18">
        <f>SUM(K3:K10)</f>
        <v/>
      </c>
      <c r="L11" s="51">
        <f>SUM(L3:L10)</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2:N22"/>
  <sheetViews>
    <sheetView topLeftCell="A4" zoomScale="80" zoomScaleNormal="80" workbookViewId="0">
      <selection activeCell="I17" sqref="I17"/>
    </sheetView>
  </sheetViews>
  <sheetFormatPr baseColWidth="8" defaultColWidth="8.890909090909091" defaultRowHeight="14"/>
  <cols>
    <col width="17.5" customWidth="1" style="1" min="2" max="2"/>
    <col width="17.8909090909091" customWidth="1" style="1" min="3" max="9"/>
    <col width="9.68181818181818" customWidth="1" style="1" min="10" max="10"/>
    <col width="17.8909090909091" customWidth="1" style="1" min="11" max="12"/>
    <col width="41.0363636363636" customWidth="1" style="1" min="13" max="13"/>
    <col width="17.8909090909091" customWidth="1" style="1" min="14" max="14"/>
  </cols>
  <sheetData>
    <row r="2" ht="22.5" customHeight="1" s="1">
      <c r="B2" s="19" t="inlineStr">
        <is>
          <t>软件定制开发费用估算</t>
        </is>
      </c>
      <c r="C2" s="8" t="n"/>
      <c r="D2" s="8" t="n"/>
      <c r="E2" s="8" t="n"/>
      <c r="F2" s="8" t="n"/>
      <c r="G2" s="6" t="n"/>
      <c r="I2" s="20" t="inlineStr">
        <is>
          <t>测算因子取值表</t>
        </is>
      </c>
    </row>
    <row r="3" ht="22.5" customHeight="1" s="1">
      <c r="B3" s="21" t="inlineStr">
        <is>
          <t>项目名称：时序数据采集与应用管理系统</t>
        </is>
      </c>
      <c r="C3" s="8" t="n"/>
      <c r="D3" s="8" t="n"/>
      <c r="E3" s="8" t="n"/>
      <c r="F3" s="8" t="n"/>
      <c r="G3" s="6" t="n"/>
      <c r="I3" s="22" t="inlineStr">
        <is>
          <t>序号</t>
        </is>
      </c>
      <c r="J3" s="23" t="inlineStr">
        <is>
          <t>类型</t>
        </is>
      </c>
      <c r="K3" s="8" t="n"/>
      <c r="L3" s="8" t="n"/>
      <c r="M3" s="6" t="n"/>
      <c r="N3" s="22" t="inlineStr">
        <is>
          <t>因子取值</t>
        </is>
      </c>
    </row>
    <row r="4" ht="20" customHeight="1" s="1">
      <c r="B4" s="24" t="inlineStr">
        <is>
          <t>功能点计数</t>
        </is>
      </c>
      <c r="C4" s="8" t="n"/>
      <c r="D4" s="8" t="n"/>
      <c r="E4" s="8" t="n"/>
      <c r="F4" s="8" t="n"/>
      <c r="G4" s="6" t="n"/>
      <c r="I4" s="25" t="n">
        <v>1</v>
      </c>
      <c r="J4" s="26" t="inlineStr">
        <is>
          <t>规模调整</t>
        </is>
      </c>
      <c r="K4" s="25" t="inlineStr">
        <is>
          <t>规模变更因子</t>
        </is>
      </c>
      <c r="L4" s="25" t="inlineStr">
        <is>
          <t>规模变更因子</t>
        </is>
      </c>
      <c r="M4" s="26" t="inlineStr">
        <is>
          <t>项目中期</t>
        </is>
      </c>
      <c r="N4" s="25" t="n">
        <v>1.21</v>
      </c>
    </row>
    <row r="5" ht="38" customHeight="1" s="1">
      <c r="B5" s="24" t="inlineStr">
        <is>
          <t>功能点计数项（个）</t>
        </is>
      </c>
      <c r="C5" s="24" t="inlineStr">
        <is>
          <t>内部逻辑文件</t>
        </is>
      </c>
      <c r="D5" s="24" t="inlineStr">
        <is>
          <t>外部接口文件</t>
        </is>
      </c>
      <c r="E5" s="24" t="inlineStr">
        <is>
          <t>外部输入</t>
        </is>
      </c>
      <c r="F5" s="24" t="inlineStr">
        <is>
          <t>外部输出</t>
        </is>
      </c>
      <c r="G5" s="24" t="inlineStr">
        <is>
          <t>外部查询</t>
        </is>
      </c>
      <c r="I5" s="25" t="n">
        <v>2</v>
      </c>
      <c r="J5" s="27" t="n"/>
      <c r="K5" s="26" t="inlineStr">
        <is>
          <t>非功能性特征调整因子</t>
        </is>
      </c>
      <c r="L5" s="26" t="inlineStr">
        <is>
          <t>分布式处理</t>
        </is>
      </c>
      <c r="M5" s="26" t="inlineStr">
        <is>
          <t>在多个服务器及处理器上同时相互执行计算机系统中的处理功能</t>
        </is>
      </c>
      <c r="N5" s="25" t="n">
        <v>1</v>
      </c>
    </row>
    <row r="6" ht="57" customHeight="1" s="1">
      <c r="B6" s="27" t="n"/>
      <c r="C6" s="24" t="inlineStr">
        <is>
          <t>（ILF）</t>
        </is>
      </c>
      <c r="D6" s="24" t="inlineStr">
        <is>
          <t>（EIF）</t>
        </is>
      </c>
      <c r="E6" s="24" t="inlineStr">
        <is>
          <t>（EI）</t>
        </is>
      </c>
      <c r="F6" s="24" t="inlineStr">
        <is>
          <t>（EO）</t>
        </is>
      </c>
      <c r="G6" s="24" t="inlineStr">
        <is>
          <t>（EQ）</t>
        </is>
      </c>
      <c r="I6" s="25" t="n">
        <v>3</v>
      </c>
      <c r="J6" s="27" t="n"/>
      <c r="K6" s="27" t="n"/>
      <c r="L6" s="25" t="inlineStr">
        <is>
          <t>性能</t>
        </is>
      </c>
      <c r="M6" s="26" t="inlineStr">
        <is>
          <t>应答时间或处理率对高峰时间或所有业务时间都很重要，对连动系统结束处理时间有限制</t>
        </is>
      </c>
      <c r="N6" s="25" t="n">
        <v>0</v>
      </c>
    </row>
    <row r="7" ht="38" customHeight="1" s="1">
      <c r="B7" s="28" t="n"/>
      <c r="C7" s="29">
        <f>COUNTIFS(功能点测算明细!H:H,"ILF")</f>
        <v/>
      </c>
      <c r="D7" s="29">
        <f>COUNTIFS(功能点测算明细!H:H,"EIF")</f>
        <v/>
      </c>
      <c r="E7" s="29">
        <f>COUNTIFS(功能点测算明细!H:H,"EI")</f>
        <v/>
      </c>
      <c r="F7" s="29">
        <f>COUNTIFS(功能点测算明细!H:H,"EO")</f>
        <v/>
      </c>
      <c r="G7" s="29">
        <f>COUNTIFS(功能点测算明细!H:H,"EQ")</f>
        <v/>
      </c>
      <c r="I7" s="25" t="n">
        <v>4</v>
      </c>
      <c r="J7" s="27" t="n"/>
      <c r="K7" s="27" t="n"/>
      <c r="L7" s="25" t="inlineStr">
        <is>
          <t>可靠性</t>
        </is>
      </c>
      <c r="M7" s="26" t="inlineStr">
        <is>
          <t>发生故障时可轻易修复，带来一定不便或经济损失</t>
        </is>
      </c>
      <c r="N7" s="25" t="n">
        <v>0</v>
      </c>
    </row>
    <row r="8" ht="38" customHeight="1" s="1">
      <c r="B8" s="52" t="inlineStr">
        <is>
          <t>未调整功能点数（功能点）</t>
        </is>
      </c>
      <c r="C8" s="53" t="inlineStr">
        <is>
          <t>估算结果</t>
        </is>
      </c>
      <c r="D8" s="6" t="n"/>
      <c r="E8" s="53" t="inlineStr">
        <is>
          <t>计算公式</t>
        </is>
      </c>
      <c r="F8" s="8" t="n"/>
      <c r="G8" s="6" t="n"/>
      <c r="I8" s="25" t="n">
        <v>5</v>
      </c>
      <c r="J8" s="27" t="n"/>
      <c r="K8" s="27" t="n"/>
      <c r="L8" s="26" t="inlineStr">
        <is>
          <t>多重站点</t>
        </is>
      </c>
      <c r="M8" s="26" t="inlineStr">
        <is>
          <t>在用途类似的硬件或软件环境下运行</t>
        </is>
      </c>
      <c r="N8" s="25" t="n">
        <v>0</v>
      </c>
    </row>
    <row r="9" ht="40" customHeight="1" s="1">
      <c r="B9" s="28" t="n"/>
      <c r="C9" s="54">
        <f>10*C7+7*D7+E7*4+F7*5+G7*4</f>
        <v/>
      </c>
      <c r="D9" s="6" t="n"/>
      <c r="E9" s="55" t="inlineStr">
        <is>
          <t>估算功能点法：10×ILF+7×EIF+4×EI+5×EO+4×EQ</t>
        </is>
      </c>
      <c r="F9" s="8" t="n"/>
      <c r="G9" s="6" t="n"/>
      <c r="I9" s="25" t="n">
        <v>6</v>
      </c>
      <c r="J9" s="28" t="n"/>
      <c r="K9" s="28" t="n"/>
      <c r="L9" s="25" t="inlineStr">
        <is>
          <t>小计</t>
        </is>
      </c>
      <c r="M9" s="26" t="inlineStr">
        <is>
          <t>（分布式处理因子 + 性能因子 + 可靠性因子 + 多重站点因子）×0.025 + 1</t>
        </is>
      </c>
      <c r="N9" s="25" t="n">
        <v>1.025</v>
      </c>
    </row>
    <row r="10" ht="57" customHeight="1" s="1">
      <c r="B10" s="52" t="inlineStr">
        <is>
          <t>修改类型和复用程度调整</t>
        </is>
      </c>
      <c r="C10" s="8" t="n"/>
      <c r="D10" s="8" t="n"/>
      <c r="E10" s="8" t="n"/>
      <c r="F10" s="8" t="n"/>
      <c r="G10" s="6" t="n"/>
      <c r="I10" s="25" t="n">
        <v>7</v>
      </c>
      <c r="J10" s="26" t="inlineStr">
        <is>
          <t>开发功能点单价（元/功能点）</t>
        </is>
      </c>
      <c r="K10" s="8" t="n"/>
      <c r="L10" s="6" t="n"/>
      <c r="M10" s="26" t="inlineStr">
        <is>
          <t>开发功能点单价上限值为 2348 元/功能点（含税价），按照上限值的 75.53%计取</t>
        </is>
      </c>
      <c r="N10" s="56" t="n">
        <v>1773.33</v>
      </c>
    </row>
    <row r="11" ht="38" customHeight="1" s="1">
      <c r="B11" s="52" t="inlineStr">
        <is>
          <t>未调整软件规模（功能点）</t>
        </is>
      </c>
      <c r="C11" s="53" t="inlineStr">
        <is>
          <t>估算结果</t>
        </is>
      </c>
      <c r="D11" s="6" t="n"/>
      <c r="E11" s="53" t="inlineStr">
        <is>
          <t>计算公式</t>
        </is>
      </c>
      <c r="F11" s="8" t="n"/>
      <c r="G11" s="6" t="n"/>
      <c r="I11" s="25" t="n">
        <v>8</v>
      </c>
      <c r="J11" s="26" t="inlineStr">
        <is>
          <t>业务类型调整因子</t>
        </is>
      </c>
      <c r="K11" s="8" t="n"/>
      <c r="L11" s="6" t="n"/>
      <c r="M11" s="26" t="inlineStr">
        <is>
          <t>生产运行I类（跨业务领域系统，如智能运营中心等）</t>
        </is>
      </c>
      <c r="N11" s="56" t="n">
        <v>1</v>
      </c>
    </row>
    <row r="12" ht="37" customHeight="1" s="1">
      <c r="B12" s="28" t="n"/>
      <c r="C12" s="57">
        <f>功能点测算明细!D4</f>
        <v/>
      </c>
      <c r="D12" s="6" t="n"/>
      <c r="E12" s="55" t="inlineStr">
        <is>
          <t>未调整功能点数×修改类型调整因子×复用程度调整因子</t>
        </is>
      </c>
      <c r="F12" s="8" t="n"/>
      <c r="G12" s="6" t="n"/>
    </row>
    <row r="13" ht="20" customHeight="1" s="1">
      <c r="B13" s="52" t="inlineStr">
        <is>
          <t>规模调整</t>
        </is>
      </c>
      <c r="C13" s="8" t="n"/>
      <c r="D13" s="8" t="n"/>
      <c r="E13" s="8" t="n"/>
      <c r="F13" s="8" t="n"/>
      <c r="G13" s="6" t="n"/>
    </row>
    <row r="14" ht="20" customHeight="1" s="1">
      <c r="B14" s="58" t="inlineStr">
        <is>
          <t>规模变更因子</t>
        </is>
      </c>
      <c r="C14" s="59" t="n">
        <v>1.21</v>
      </c>
      <c r="D14" s="6" t="n"/>
      <c r="E14" s="60" t="inlineStr">
        <is>
          <t>根据规模估算阶段取值</t>
        </is>
      </c>
      <c r="F14" s="8" t="n"/>
      <c r="G14" s="6" t="n"/>
    </row>
    <row r="15" ht="40" customHeight="1" s="1">
      <c r="B15" s="58" t="inlineStr">
        <is>
          <t>非功能性特征调整因子</t>
        </is>
      </c>
      <c r="C15" s="61" t="n">
        <v>1.025</v>
      </c>
      <c r="D15" s="6" t="n"/>
      <c r="E15" s="55" t="inlineStr">
        <is>
          <t>根据质量特性取值</t>
        </is>
      </c>
      <c r="F15" s="8" t="n"/>
      <c r="G15" s="6" t="n"/>
    </row>
    <row r="16" ht="20" customHeight="1" s="1">
      <c r="B16" s="52" t="inlineStr">
        <is>
          <t>软件规模（功能点）</t>
        </is>
      </c>
      <c r="C16" s="53" t="inlineStr">
        <is>
          <t>估算结果</t>
        </is>
      </c>
      <c r="D16" s="6" t="n"/>
      <c r="E16" s="53" t="inlineStr">
        <is>
          <t>计算公式</t>
        </is>
      </c>
      <c r="F16" s="8" t="n"/>
      <c r="G16" s="6" t="n"/>
    </row>
    <row r="17" ht="38" customHeight="1" s="1">
      <c r="B17" s="28" t="n"/>
      <c r="C17" s="56">
        <f>C12*1.21*1.025</f>
        <v/>
      </c>
      <c r="D17" s="6" t="n"/>
      <c r="E17" s="55" t="inlineStr">
        <is>
          <t>未调整软件规模×规模变更因子×非功能性特征调整因子</t>
        </is>
      </c>
      <c r="F17" s="8" t="n"/>
      <c r="G17" s="6" t="n"/>
    </row>
    <row r="18" ht="20" customHeight="1" s="1">
      <c r="B18" s="52" t="inlineStr">
        <is>
          <t>费用估算</t>
        </is>
      </c>
      <c r="C18" s="8" t="n"/>
      <c r="D18" s="8" t="n"/>
      <c r="E18" s="8" t="n"/>
      <c r="F18" s="8" t="n"/>
      <c r="G18" s="6" t="n"/>
    </row>
    <row r="19" ht="60" customHeight="1" s="1">
      <c r="B19" s="62" t="inlineStr">
        <is>
          <t>开发功能点单价
（元/功能点）</t>
        </is>
      </c>
      <c r="C19" s="59" t="n">
        <v>1773.33</v>
      </c>
      <c r="D19" s="6" t="n"/>
      <c r="E19" s="60" t="inlineStr">
        <is>
          <t>开发功能点单价</t>
        </is>
      </c>
      <c r="F19" s="8" t="n"/>
      <c r="G19" s="6" t="n"/>
      <c r="I19" s="41" t="n"/>
    </row>
    <row r="20" ht="40" customHeight="1" s="1">
      <c r="B20" s="62" t="inlineStr">
        <is>
          <t>业务类型调整因子</t>
        </is>
      </c>
      <c r="C20" s="59" t="n">
        <v>1</v>
      </c>
      <c r="D20" s="6" t="n"/>
      <c r="E20" s="55" t="inlineStr">
        <is>
          <t>根据业务类型取值</t>
        </is>
      </c>
      <c r="F20" s="8" t="n"/>
      <c r="G20" s="6" t="n"/>
    </row>
    <row r="21" ht="20" customHeight="1" s="1">
      <c r="B21" s="53" t="inlineStr">
        <is>
          <t>软件定制开发费用
（万元）</t>
        </is>
      </c>
      <c r="C21" s="53" t="inlineStr">
        <is>
          <t>估算结果</t>
        </is>
      </c>
      <c r="D21" s="6" t="n"/>
      <c r="E21" s="53" t="inlineStr">
        <is>
          <t>计算公式</t>
        </is>
      </c>
      <c r="F21" s="8" t="n"/>
      <c r="G21" s="6" t="n"/>
    </row>
    <row r="22" ht="38" customHeight="1" s="1">
      <c r="B22" s="28" t="n"/>
      <c r="C22" s="56">
        <f>C17*C19*C20/10000</f>
        <v/>
      </c>
      <c r="D22" s="6" t="n"/>
      <c r="E22" s="55" t="inlineStr">
        <is>
          <t>软件规模×开发功能点单价×业务类型调整因子/10000</t>
        </is>
      </c>
      <c r="F22" s="8" t="n"/>
      <c r="G22" s="6" t="n"/>
      <c r="H22" s="0" t="n">
        <v>725.04</v>
      </c>
      <c r="I22" s="0">
        <f>H22/C19/C15/C14</f>
        <v/>
      </c>
      <c r="J22" s="63" t="n">
        <v>3296.57</v>
      </c>
    </row>
  </sheetData>
  <mergeCells count="41">
    <mergeCell ref="B2:G2"/>
    <mergeCell ref="E19:G19"/>
    <mergeCell ref="C15:D15"/>
    <mergeCell ref="J3:M3"/>
    <mergeCell ref="C14:D14"/>
    <mergeCell ref="E9:G9"/>
    <mergeCell ref="B8:B9"/>
    <mergeCell ref="B11:B12"/>
    <mergeCell ref="B13:G13"/>
    <mergeCell ref="E15:G15"/>
    <mergeCell ref="B5:B7"/>
    <mergeCell ref="J11:L11"/>
    <mergeCell ref="C20:D20"/>
    <mergeCell ref="B10:G10"/>
    <mergeCell ref="E11:G11"/>
    <mergeCell ref="C16:D16"/>
    <mergeCell ref="C22:D22"/>
    <mergeCell ref="C9:D9"/>
    <mergeCell ref="E16:G16"/>
    <mergeCell ref="C12:D12"/>
    <mergeCell ref="K5:K9"/>
    <mergeCell ref="C21:D21"/>
    <mergeCell ref="E22:G22"/>
    <mergeCell ref="J4:J9"/>
    <mergeCell ref="C11:D11"/>
    <mergeCell ref="B4:G4"/>
    <mergeCell ref="E12:G12"/>
    <mergeCell ref="E21:G21"/>
    <mergeCell ref="C17:D17"/>
    <mergeCell ref="C8:D8"/>
    <mergeCell ref="B3:G3"/>
    <mergeCell ref="J10:L10"/>
    <mergeCell ref="E14:G14"/>
    <mergeCell ref="I2:N2"/>
    <mergeCell ref="E8:G8"/>
    <mergeCell ref="C19:D19"/>
    <mergeCell ref="E17:G17"/>
    <mergeCell ref="B18:G18"/>
    <mergeCell ref="B16:B17"/>
    <mergeCell ref="B21:B22"/>
    <mergeCell ref="E20:G2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S847"/>
  <sheetViews>
    <sheetView zoomScale="85" zoomScaleNormal="85" workbookViewId="0">
      <pane ySplit="5" topLeftCell="A6" activePane="bottomLeft" state="frozen"/>
      <selection activeCell="A1" sqref="A1"/>
      <selection pane="bottomLeft" activeCell="C11" sqref="C11"/>
    </sheetView>
  </sheetViews>
  <sheetFormatPr baseColWidth="8" defaultColWidth="8.890909090909091" defaultRowHeight="17.5"/>
  <cols>
    <col width="33.6909090909091" customWidth="1" style="1" min="3" max="3"/>
    <col width="27.4454545454545" customWidth="1" style="1" min="4" max="4"/>
    <col width="19.3727272727273" customWidth="1" style="1" min="5" max="5"/>
    <col width="27.3909090909091" customWidth="1" style="1" min="6" max="6"/>
    <col width="61.7272727272727" customWidth="1" style="2" min="7" max="7"/>
    <col width="12.4636363636364" customWidth="1" style="3" min="8" max="8"/>
    <col width="8.890909090909091" customWidth="1" style="3" min="9" max="9"/>
    <col width="8.890909090909091" customWidth="1" style="1" min="11" max="11"/>
    <col width="13.5909090909091" customWidth="1" style="1" min="12" max="12"/>
    <col width="8.890909090909091" customWidth="1" style="1" min="13" max="13"/>
    <col width="12.8909090909091" customWidth="1" style="1" min="14" max="14"/>
    <col width="11.5" customWidth="1" style="1" min="15" max="15"/>
    <col width="9.372727272727269" customWidth="1" style="1" min="16" max="16"/>
  </cols>
  <sheetData>
    <row r="1" ht="27.5" customHeight="1" s="1">
      <c r="B1" s="4" t="inlineStr">
        <is>
          <t>时序数据采集与应用管理系统项目费用估算</t>
        </is>
      </c>
    </row>
    <row r="2" ht="20" customHeight="1" s="1">
      <c r="B2" s="5" t="inlineStr">
        <is>
          <t>规模估算方法</t>
        </is>
      </c>
      <c r="C2" s="6" t="n"/>
      <c r="D2" s="7" t="inlineStr">
        <is>
          <t>估算功能点</t>
        </is>
      </c>
      <c r="E2" s="8" t="n"/>
      <c r="F2" s="8" t="n"/>
      <c r="G2" s="8" t="n"/>
      <c r="H2" s="8" t="n"/>
      <c r="I2" s="8" t="n"/>
      <c r="J2" s="8" t="n"/>
      <c r="K2" s="8" t="n"/>
      <c r="L2" s="8" t="n"/>
      <c r="M2" s="8" t="n"/>
      <c r="N2" s="8" t="n"/>
      <c r="O2" s="6" t="n"/>
    </row>
    <row r="3" ht="20" customHeight="1" s="1">
      <c r="B3" s="5" t="inlineStr">
        <is>
          <t>未调整功能点数合计</t>
        </is>
      </c>
      <c r="C3" s="6" t="n"/>
      <c r="D3" s="64">
        <f>SUM(I:I)</f>
        <v/>
      </c>
      <c r="E3" s="8" t="n"/>
      <c r="F3" s="8" t="n"/>
      <c r="G3" s="8" t="n"/>
      <c r="H3" s="8" t="n"/>
      <c r="I3" s="8" t="n"/>
      <c r="J3" s="8" t="n"/>
      <c r="K3" s="8" t="n"/>
      <c r="L3" s="8" t="n"/>
      <c r="M3" s="8" t="n"/>
      <c r="N3" s="8" t="n"/>
      <c r="O3" s="6" t="n"/>
      <c r="P3" s="0">
        <f>P4-D4</f>
        <v/>
      </c>
      <c r="S3" s="0">
        <f>D4-S4</f>
        <v/>
      </c>
    </row>
    <row r="4" ht="20" customHeight="1" s="1">
      <c r="B4" s="5" t="inlineStr">
        <is>
          <t>未调整软件规模合计</t>
        </is>
      </c>
      <c r="C4" s="6" t="n"/>
      <c r="D4" s="7">
        <f>SUM(N:N)</f>
        <v/>
      </c>
      <c r="E4" s="8" t="n"/>
      <c r="F4" s="8" t="n"/>
      <c r="G4" s="8" t="n"/>
      <c r="H4" s="8" t="n"/>
      <c r="I4" s="8" t="n"/>
      <c r="J4" s="8" t="n"/>
      <c r="K4" s="8" t="n"/>
      <c r="L4" s="8" t="n"/>
      <c r="M4" s="8" t="n"/>
      <c r="N4" s="8" t="n"/>
      <c r="O4" s="6" t="n"/>
      <c r="P4" s="63" t="n">
        <v>3296.57</v>
      </c>
      <c r="Q4" s="0" t="n">
        <v>3296.56</v>
      </c>
      <c r="R4" s="0" t="n">
        <v>3296.58</v>
      </c>
      <c r="S4" s="0" t="n">
        <v>3296.59</v>
      </c>
    </row>
    <row r="5" ht="40" customHeight="1" s="1">
      <c r="B5" s="11" t="inlineStr">
        <is>
          <t>编号</t>
        </is>
      </c>
      <c r="C5" s="11" t="inlineStr">
        <is>
          <t>一级模块</t>
        </is>
      </c>
      <c r="D5" s="11" t="inlineStr">
        <is>
          <t>二级模块</t>
        </is>
      </c>
      <c r="E5" s="11" t="inlineStr">
        <is>
          <t>三级模块</t>
        </is>
      </c>
      <c r="F5" s="11" t="inlineStr">
        <is>
          <t>功能项</t>
        </is>
      </c>
      <c r="G5" s="11" t="inlineStr">
        <is>
          <t>功能项描述</t>
        </is>
      </c>
      <c r="H5" s="11" t="inlineStr">
        <is>
          <t>类别</t>
        </is>
      </c>
      <c r="I5" s="11" t="inlineStr">
        <is>
          <t>UFP</t>
        </is>
      </c>
      <c r="J5" s="11" t="inlineStr">
        <is>
          <t>重用程度</t>
        </is>
      </c>
      <c r="K5" s="12" t="n"/>
      <c r="L5" s="11" t="inlineStr">
        <is>
          <t>修改类型</t>
        </is>
      </c>
      <c r="M5" s="12" t="n"/>
      <c r="N5" s="11" t="inlineStr">
        <is>
          <t>US</t>
        </is>
      </c>
      <c r="O5" s="11" t="inlineStr">
        <is>
          <t>备注</t>
        </is>
      </c>
    </row>
    <row r="6" ht="19" customHeight="1" s="1">
      <c r="B6" s="13" t="n">
        <v>1</v>
      </c>
      <c r="C6" s="13" t="inlineStr">
        <is>
          <t>时序数据采集增强中间件与基础平台服务</t>
        </is>
      </c>
      <c r="D6" s="13" t="inlineStr">
        <is>
          <t>全局参数管理</t>
        </is>
      </c>
      <c r="E6" s="13" t="inlineStr">
        <is>
          <t>采集频率参数管理</t>
        </is>
      </c>
      <c r="F6" s="13" t="inlineStr">
        <is>
          <t>作业区频率差异化</t>
        </is>
      </c>
      <c r="G6" s="14" t="inlineStr">
        <is>
          <t xml:space="preserve"> 提供按作业区粒度差异化配置采集频率的技术服务</t>
        </is>
      </c>
      <c r="H6" s="15" t="inlineStr">
        <is>
          <t>ILF</t>
        </is>
      </c>
      <c r="I6" s="15">
        <f>IF(H6="ILF",10,IF(H6="EIF",7,IF(H6="EI",4,IF(H6="EO",5,IF(H6="EQ",4,"")))))</f>
        <v/>
      </c>
      <c r="J6" s="15" t="inlineStr">
        <is>
          <t>低</t>
        </is>
      </c>
      <c r="K6" s="15">
        <f>IF(J6="高",0.33,IF(J6="中",0.67,IF(J6="低",1,"")))</f>
        <v/>
      </c>
      <c r="L6" s="15" t="inlineStr">
        <is>
          <t>新增</t>
        </is>
      </c>
      <c r="M6" s="15">
        <f>IF(L6="新增",1,IF(L6="修改",0.8,IF(L6="删除",0.2,"")))</f>
        <v/>
      </c>
      <c r="N6" s="15">
        <f>I6*K6*M6</f>
        <v/>
      </c>
    </row>
    <row r="7" ht="19" customHeight="1" s="1">
      <c r="B7" s="16" t="n">
        <v>2</v>
      </c>
      <c r="C7" s="16" t="inlineStr">
        <is>
          <t>时序数据采集增强中间件与基础平台服务</t>
        </is>
      </c>
      <c r="D7" s="16" t="inlineStr">
        <is>
          <t>全局参数管理</t>
        </is>
      </c>
      <c r="E7" s="16" t="inlineStr">
        <is>
          <t>采集频率参数管理</t>
        </is>
      </c>
      <c r="F7" s="16" t="inlineStr">
        <is>
          <t>异常加密调整</t>
        </is>
      </c>
      <c r="G7" s="17" t="inlineStr">
        <is>
          <t xml:space="preserve"> 提供异常工况下采集频率从10分钟自动加密至秒级的技术服务</t>
        </is>
      </c>
      <c r="H7" s="18" t="inlineStr">
        <is>
          <t>ILF</t>
        </is>
      </c>
      <c r="I7" s="18">
        <f>IF(H7="ILF",10,IF(H7="EIF",7,IF(H7="EI",4,IF(H7="EO",5,IF(H7="EQ",4,"")))))</f>
        <v/>
      </c>
      <c r="J7" s="18" t="inlineStr">
        <is>
          <t>低</t>
        </is>
      </c>
      <c r="K7" s="18">
        <f>IF(J7="高",0.33,IF(J7="中",0.67,IF(J7="低",1,"")))</f>
        <v/>
      </c>
      <c r="L7" s="18" t="inlineStr">
        <is>
          <t>新增</t>
        </is>
      </c>
      <c r="M7" s="18">
        <f>IF(L7="新增",1,IF(L7="修改",0.8,IF(L7="删除",0.2,"")))</f>
        <v/>
      </c>
      <c r="N7" s="18">
        <f>I7*K7*M7</f>
        <v/>
      </c>
    </row>
    <row r="8" ht="19" customHeight="1" s="1">
      <c r="B8" s="16" t="n">
        <v>3</v>
      </c>
      <c r="C8" s="16" t="inlineStr">
        <is>
          <t>时序数据采集增强中间件与基础平台服务</t>
        </is>
      </c>
      <c r="D8" s="16" t="inlineStr">
        <is>
          <t>全局参数管理</t>
        </is>
      </c>
      <c r="E8" s="16" t="inlineStr">
        <is>
          <t>采集频率参数管理</t>
        </is>
      </c>
      <c r="F8" s="16" t="inlineStr">
        <is>
          <t>低峰降频调整</t>
        </is>
      </c>
      <c r="G8" s="17" t="inlineStr">
        <is>
          <t xml:space="preserve"> 提供夜间低产时段采集频率自动降频的技术服务</t>
        </is>
      </c>
      <c r="H8" s="18" t="inlineStr">
        <is>
          <t>ILF</t>
        </is>
      </c>
      <c r="I8" s="18">
        <f>IF(H8="ILF",10,IF(H8="EIF",7,IF(H8="EI",4,IF(H8="EO",5,IF(H8="EQ",4,"")))))</f>
        <v/>
      </c>
      <c r="J8" s="18" t="inlineStr">
        <is>
          <t>低</t>
        </is>
      </c>
      <c r="K8" s="18">
        <f>IF(J8="高",0.33,IF(J8="中",0.67,IF(J8="低",1,"")))</f>
        <v/>
      </c>
      <c r="L8" s="18" t="inlineStr">
        <is>
          <t>新增</t>
        </is>
      </c>
      <c r="M8" s="18">
        <f>IF(L8="新增",1,IF(L8="修改",0.8,IF(L8="删除",0.2,"")))</f>
        <v/>
      </c>
      <c r="N8" s="18">
        <f>I8*K8*M8</f>
        <v/>
      </c>
    </row>
    <row r="9" ht="19" customHeight="1" s="1">
      <c r="B9" s="16" t="n">
        <v>4</v>
      </c>
      <c r="C9" s="16" t="inlineStr">
        <is>
          <t>时序数据采集增强中间件与基础平台服务</t>
        </is>
      </c>
      <c r="D9" s="16" t="inlineStr">
        <is>
          <t>全局参数管理</t>
        </is>
      </c>
      <c r="E9" s="16" t="inlineStr">
        <is>
          <t>采集频率参数管理</t>
        </is>
      </c>
      <c r="F9" s="16" t="inlineStr">
        <is>
          <t>弱网退避调整</t>
        </is>
      </c>
      <c r="G9" s="17" t="inlineStr">
        <is>
          <t xml:space="preserve"> 提供弱网环境下采集频率按丢包率倍频退避的技术服务</t>
        </is>
      </c>
      <c r="H9" s="18" t="inlineStr">
        <is>
          <t>ILF</t>
        </is>
      </c>
      <c r="I9" s="18">
        <f>IF(H9="ILF",10,IF(H9="EIF",7,IF(H9="EI",4,IF(H9="EO",5,IF(H9="EQ",4,"")))))</f>
        <v/>
      </c>
      <c r="J9" s="18" t="inlineStr">
        <is>
          <t>低</t>
        </is>
      </c>
      <c r="K9" s="18">
        <f>IF(J9="高",0.33,IF(J9="中",0.67,IF(J9="低",1,"")))</f>
        <v/>
      </c>
      <c r="L9" s="18" t="inlineStr">
        <is>
          <t>新增</t>
        </is>
      </c>
      <c r="M9" s="18">
        <f>IF(L9="新增",1,IF(L9="修改",0.8,IF(L9="删除",0.2,"")))</f>
        <v/>
      </c>
      <c r="N9" s="18">
        <f>I9*K9*M9</f>
        <v/>
      </c>
    </row>
    <row r="10" ht="19" customHeight="1" s="1">
      <c r="B10" s="16" t="n">
        <v>5</v>
      </c>
      <c r="C10" s="16" t="inlineStr">
        <is>
          <t>时序数据采集增强中间件与基础平台服务</t>
        </is>
      </c>
      <c r="D10" s="16" t="inlineStr">
        <is>
          <t>全局参数管理</t>
        </is>
      </c>
      <c r="E10" s="16" t="inlineStr">
        <is>
          <t>采集频率参数管理</t>
        </is>
      </c>
      <c r="F10" s="16" t="inlineStr">
        <is>
          <t>频率热加载</t>
        </is>
      </c>
      <c r="G10" s="17" t="inlineStr">
        <is>
          <t xml:space="preserve"> 提供采集频率参数变更后即时热加载生效的技术服务</t>
        </is>
      </c>
      <c r="H10" s="18" t="inlineStr">
        <is>
          <t>ILF</t>
        </is>
      </c>
      <c r="I10" s="18">
        <f>IF(H10="ILF",10,IF(H10="EIF",7,IF(H10="EI",4,IF(H10="EO",5,IF(H10="EQ",4,"")))))</f>
        <v/>
      </c>
      <c r="J10" s="18" t="inlineStr">
        <is>
          <t>低</t>
        </is>
      </c>
      <c r="K10" s="18">
        <f>IF(J10="高",0.33,IF(J10="中",0.67,IF(J10="低",1,"")))</f>
        <v/>
      </c>
      <c r="L10" s="18" t="inlineStr">
        <is>
          <t>新增</t>
        </is>
      </c>
      <c r="M10" s="18">
        <f>IF(L10="新增",1,IF(L10="修改",0.8,IF(L10="删除",0.2,"")))</f>
        <v/>
      </c>
      <c r="N10" s="18">
        <f>I10*K10*M10</f>
        <v/>
      </c>
    </row>
    <row r="11" ht="19" customHeight="1" s="1">
      <c r="B11" s="16" t="n">
        <v>6</v>
      </c>
      <c r="C11" s="16" t="inlineStr">
        <is>
          <t>时序数据采集增强中间件与基础平台服务</t>
        </is>
      </c>
      <c r="D11" s="16" t="inlineStr">
        <is>
          <t>全局参数管理</t>
        </is>
      </c>
      <c r="E11" s="16" t="inlineStr">
        <is>
          <t>采集频率参数管理</t>
        </is>
      </c>
      <c r="F11" s="16" t="inlineStr">
        <is>
          <t>频率版本回滚</t>
        </is>
      </c>
      <c r="G11" s="17" t="inlineStr">
        <is>
          <t xml:space="preserve"> 提供采集频率参数版本回滚操作的技术服务</t>
        </is>
      </c>
      <c r="H11" s="18" t="inlineStr">
        <is>
          <t>ILF</t>
        </is>
      </c>
      <c r="I11" s="18">
        <f>IF(H11="ILF",10,IF(H11="EIF",7,IF(H11="EI",4,IF(H11="EO",5,IF(H11="EQ",4,"")))))</f>
        <v/>
      </c>
      <c r="J11" s="18" t="inlineStr">
        <is>
          <t>低</t>
        </is>
      </c>
      <c r="K11" s="18">
        <f>IF(J11="高",0.33,IF(J11="中",0.67,IF(J11="低",1,"")))</f>
        <v/>
      </c>
      <c r="L11" s="18" t="inlineStr">
        <is>
          <t>新增</t>
        </is>
      </c>
      <c r="M11" s="18">
        <f>IF(L11="新增",1,IF(L11="修改",0.8,IF(L11="删除",0.2,"")))</f>
        <v/>
      </c>
      <c r="N11" s="18">
        <f>I11*K11*M11</f>
        <v/>
      </c>
    </row>
    <row r="12" ht="19" customHeight="1" s="1">
      <c r="B12" s="16" t="n">
        <v>7</v>
      </c>
      <c r="C12" s="16" t="inlineStr">
        <is>
          <t>时序数据采集增强中间件与基础平台服务</t>
        </is>
      </c>
      <c r="D12" s="16" t="inlineStr">
        <is>
          <t>全局参数管理</t>
        </is>
      </c>
      <c r="E12" s="16" t="inlineStr">
        <is>
          <t>采集频率参数管理</t>
        </is>
      </c>
      <c r="F12" s="16" t="inlineStr">
        <is>
          <t>频率变更审计</t>
        </is>
      </c>
      <c r="G12" s="17" t="inlineStr">
        <is>
          <t xml:space="preserve"> 提供采集频率参数变更的审计追踪技术服务</t>
        </is>
      </c>
      <c r="H12" s="18" t="inlineStr">
        <is>
          <t>ILF</t>
        </is>
      </c>
      <c r="I12" s="18">
        <f>IF(H12="ILF",10,IF(H12="EIF",7,IF(H12="EI",4,IF(H12="EO",5,IF(H12="EQ",4,"")))))</f>
        <v/>
      </c>
      <c r="J12" s="18" t="inlineStr">
        <is>
          <t>中</t>
        </is>
      </c>
      <c r="K12" s="18">
        <f>IF(J12="高",0.33,IF(J12="中",0.67,IF(J12="低",1,"")))</f>
        <v/>
      </c>
      <c r="L12" s="18" t="inlineStr">
        <is>
          <t>新增</t>
        </is>
      </c>
      <c r="M12" s="18">
        <f>IF(L12="新增",1,IF(L12="修改",0.8,IF(L12="删除",0.2,"")))</f>
        <v/>
      </c>
      <c r="N12" s="18">
        <f>I12*K12*M12</f>
        <v/>
      </c>
    </row>
    <row r="13" ht="19" customHeight="1" s="1">
      <c r="B13" s="16" t="n">
        <v>8</v>
      </c>
      <c r="C13" s="16" t="inlineStr">
        <is>
          <t>时序数据采集增强中间件与基础平台服务</t>
        </is>
      </c>
      <c r="D13" s="16" t="inlineStr">
        <is>
          <t>全局参数管理</t>
        </is>
      </c>
      <c r="E13" s="16" t="inlineStr">
        <is>
          <t>采集频率参数管理</t>
        </is>
      </c>
      <c r="F13" s="16" t="inlineStr">
        <is>
          <t>频率配置导出</t>
        </is>
      </c>
      <c r="G13" s="17" t="inlineStr">
        <is>
          <t xml:space="preserve"> 提供采集频率配置批量导出Excel的技术服务</t>
        </is>
      </c>
      <c r="H13" s="18" t="inlineStr">
        <is>
          <t>ILF</t>
        </is>
      </c>
      <c r="I13" s="18">
        <f>IF(H13="ILF",10,IF(H13="EIF",7,IF(H13="EI",4,IF(H13="EO",5,IF(H13="EQ",4,"")))))</f>
        <v/>
      </c>
      <c r="J13" s="18" t="inlineStr">
        <is>
          <t>中</t>
        </is>
      </c>
      <c r="K13" s="18">
        <f>IF(J13="高",0.33,IF(J13="中",0.67,IF(J13="低",1,"")))</f>
        <v/>
      </c>
      <c r="L13" s="18" t="inlineStr">
        <is>
          <t>新增</t>
        </is>
      </c>
      <c r="M13" s="18">
        <f>IF(L13="新增",1,IF(L13="修改",0.8,IF(L13="删除",0.2,"")))</f>
        <v/>
      </c>
      <c r="N13" s="18">
        <f>I13*K13*M13</f>
        <v/>
      </c>
    </row>
    <row r="14" ht="19" customHeight="1" s="1">
      <c r="B14" s="16" t="n">
        <v>9</v>
      </c>
      <c r="C14" s="16" t="inlineStr">
        <is>
          <t>时序数据采集增强中间件与基础平台服务</t>
        </is>
      </c>
      <c r="D14" s="16" t="inlineStr">
        <is>
          <t>全局参数管理</t>
        </is>
      </c>
      <c r="E14" s="16" t="inlineStr">
        <is>
          <t>采集频率参数管理</t>
        </is>
      </c>
      <c r="F14" s="16" t="inlineStr">
        <is>
          <t>频率配置导入</t>
        </is>
      </c>
      <c r="G14" s="17" t="inlineStr">
        <is>
          <t xml:space="preserve"> 提供采集频率配置批量导入的技术服务</t>
        </is>
      </c>
      <c r="H14" s="18" t="inlineStr">
        <is>
          <t>ILF</t>
        </is>
      </c>
      <c r="I14" s="18">
        <f>IF(H14="ILF",10,IF(H14="EIF",7,IF(H14="EI",4,IF(H14="EO",5,IF(H14="EQ",4,"")))))</f>
        <v/>
      </c>
      <c r="J14" s="18" t="inlineStr">
        <is>
          <t>中</t>
        </is>
      </c>
      <c r="K14" s="18">
        <f>IF(J14="高",0.33,IF(J14="中",0.67,IF(J14="低",1,"")))</f>
        <v/>
      </c>
      <c r="L14" s="18" t="inlineStr">
        <is>
          <t>新增</t>
        </is>
      </c>
      <c r="M14" s="18">
        <f>IF(L14="新增",1,IF(L14="修改",0.8,IF(L14="删除",0.2,"")))</f>
        <v/>
      </c>
      <c r="N14" s="18">
        <f>I14*K14*M14</f>
        <v/>
      </c>
    </row>
    <row r="15" ht="19" customHeight="1" s="1">
      <c r="B15" s="16" t="n">
        <v>10</v>
      </c>
      <c r="C15" s="16" t="inlineStr">
        <is>
          <t>时序数据采集增强中间件与基础平台服务</t>
        </is>
      </c>
      <c r="D15" s="16" t="inlineStr">
        <is>
          <t>全局参数管理</t>
        </is>
      </c>
      <c r="E15" s="16" t="inlineStr">
        <is>
          <t>采集频率参数管理</t>
        </is>
      </c>
      <c r="F15" s="16" t="inlineStr">
        <is>
          <t>频率配置对比</t>
        </is>
      </c>
      <c r="G15" s="17" t="inlineStr">
        <is>
          <t xml:space="preserve"> 提供采集频率配置版本间差异对比的技术服务</t>
        </is>
      </c>
      <c r="H15" s="18" t="inlineStr">
        <is>
          <t>ILF</t>
        </is>
      </c>
      <c r="I15" s="18">
        <f>IF(H15="ILF",10,IF(H15="EIF",7,IF(H15="EI",4,IF(H15="EO",5,IF(H15="EQ",4,"")))))</f>
        <v/>
      </c>
      <c r="J15" s="18" t="inlineStr">
        <is>
          <t>中</t>
        </is>
      </c>
      <c r="K15" s="18">
        <f>IF(J15="高",0.33,IF(J15="中",0.67,IF(J15="低",1,"")))</f>
        <v/>
      </c>
      <c r="L15" s="18" t="inlineStr">
        <is>
          <t>新增</t>
        </is>
      </c>
      <c r="M15" s="18">
        <f>IF(L15="新增",1,IF(L15="修改",0.8,IF(L15="删除",0.2,"")))</f>
        <v/>
      </c>
      <c r="N15" s="18">
        <f>I15*K15*M15</f>
        <v/>
      </c>
    </row>
    <row r="16" ht="19" customHeight="1" s="1">
      <c r="B16" s="16" t="n">
        <v>11</v>
      </c>
      <c r="C16" s="16" t="inlineStr">
        <is>
          <t>时序数据采集增强中间件与基础平台服务</t>
        </is>
      </c>
      <c r="D16" s="16" t="inlineStr">
        <is>
          <t>全局参数管理</t>
        </is>
      </c>
      <c r="E16" s="16" t="inlineStr">
        <is>
          <t>采集频率参数管理</t>
        </is>
      </c>
      <c r="F16" s="16" t="inlineStr">
        <is>
          <t>采集窗口配置</t>
        </is>
      </c>
      <c r="G16" s="17" t="inlineStr">
        <is>
          <t xml:space="preserve"> 提供采集时间窗口和错峰调度时隙参数配置服务</t>
        </is>
      </c>
      <c r="H16" s="18" t="inlineStr">
        <is>
          <t>ILF</t>
        </is>
      </c>
      <c r="I16" s="18">
        <f>IF(H16="ILF",10,IF(H16="EIF",7,IF(H16="EI",4,IF(H16="EO",5,IF(H16="EQ",4,"")))))</f>
        <v/>
      </c>
      <c r="J16" s="18" t="inlineStr">
        <is>
          <t>中</t>
        </is>
      </c>
      <c r="K16" s="18">
        <f>IF(J16="高",0.33,IF(J16="中",0.67,IF(J16="低",1,"")))</f>
        <v/>
      </c>
      <c r="L16" s="18" t="inlineStr">
        <is>
          <t>新增</t>
        </is>
      </c>
      <c r="M16" s="18">
        <f>IF(L16="新增",1,IF(L16="修改",0.8,IF(L16="删除",0.2,"")))</f>
        <v/>
      </c>
      <c r="N16" s="18">
        <f>I16*K16*M16</f>
        <v/>
      </c>
    </row>
    <row r="17" ht="19" customHeight="1" s="1">
      <c r="B17" s="16" t="n">
        <v>12</v>
      </c>
      <c r="C17" s="16" t="inlineStr">
        <is>
          <t>时序数据采集增强中间件与基础平台服务</t>
        </is>
      </c>
      <c r="D17" s="16" t="inlineStr">
        <is>
          <t>全局参数管理</t>
        </is>
      </c>
      <c r="E17" s="16" t="inlineStr">
        <is>
          <t>采集频率参数管理</t>
        </is>
      </c>
      <c r="F17" s="16" t="inlineStr">
        <is>
          <t>休眠时段配置</t>
        </is>
      </c>
      <c r="G17" s="17" t="inlineStr">
        <is>
          <t xml:space="preserve"> 提供设备休眠时段和唤醒时间的参数配置服务</t>
        </is>
      </c>
      <c r="H17" s="18" t="inlineStr">
        <is>
          <t>ILF</t>
        </is>
      </c>
      <c r="I17" s="18">
        <f>IF(H17="ILF",10,IF(H17="EIF",7,IF(H17="EI",4,IF(H17="EO",5,IF(H17="EQ",4,"")))))</f>
        <v/>
      </c>
      <c r="J17" s="18" t="inlineStr">
        <is>
          <t>中</t>
        </is>
      </c>
      <c r="K17" s="18">
        <f>IF(J17="高",0.33,IF(J17="中",0.67,IF(J17="低",1,"")))</f>
        <v/>
      </c>
      <c r="L17" s="18" t="inlineStr">
        <is>
          <t>新增</t>
        </is>
      </c>
      <c r="M17" s="18">
        <f>IF(L17="新增",1,IF(L17="修改",0.8,IF(L17="删除",0.2,"")))</f>
        <v/>
      </c>
      <c r="N17" s="18">
        <f>I17*K17*M17</f>
        <v/>
      </c>
    </row>
    <row r="18" ht="19" customHeight="1" s="1">
      <c r="B18" s="16" t="n">
        <v>13</v>
      </c>
      <c r="C18" s="16" t="inlineStr">
        <is>
          <t>时序数据采集增强中间件与基础平台服务</t>
        </is>
      </c>
      <c r="D18" s="16" t="inlineStr">
        <is>
          <t>全局参数管理</t>
        </is>
      </c>
      <c r="E18" s="16" t="inlineStr">
        <is>
          <t>告警阈值参数管理</t>
        </is>
      </c>
      <c r="F18" s="16" t="inlineStr">
        <is>
          <t>转速阈值</t>
        </is>
      </c>
      <c r="G18" s="17" t="inlineStr">
        <is>
          <t xml:space="preserve"> 配置转速参数告警阈值技术服务</t>
        </is>
      </c>
      <c r="H18" s="18" t="inlineStr">
        <is>
          <t>ILF</t>
        </is>
      </c>
      <c r="I18" s="18">
        <f>IF(H18="ILF",10,IF(H18="EIF",7,IF(H18="EI",4,IF(H18="EO",5,IF(H18="EQ",4,"")))))</f>
        <v/>
      </c>
      <c r="J18" s="18" t="inlineStr">
        <is>
          <t>高</t>
        </is>
      </c>
      <c r="K18" s="18">
        <f>IF(J18="高",0.33,IF(J18="中",0.67,IF(J18="低",1,"")))</f>
        <v/>
      </c>
      <c r="L18" s="18" t="inlineStr">
        <is>
          <t>新增</t>
        </is>
      </c>
      <c r="M18" s="18">
        <f>IF(L18="新增",1,IF(L18="修改",0.8,IF(L18="删除",0.2,"")))</f>
        <v/>
      </c>
      <c r="N18" s="18">
        <f>I18*K18*M18</f>
        <v/>
      </c>
    </row>
    <row r="19" ht="19" customHeight="1" s="1">
      <c r="B19" s="16" t="n">
        <v>14</v>
      </c>
      <c r="C19" s="16" t="inlineStr">
        <is>
          <t>时序数据采集增强中间件与基础平台服务</t>
        </is>
      </c>
      <c r="D19" s="16" t="inlineStr">
        <is>
          <t>全局参数管理</t>
        </is>
      </c>
      <c r="E19" s="16" t="inlineStr">
        <is>
          <t>告警阈值参数管理</t>
        </is>
      </c>
      <c r="F19" s="16" t="inlineStr">
        <is>
          <t>耗电量阈值</t>
        </is>
      </c>
      <c r="G19" s="17" t="inlineStr">
        <is>
          <t xml:space="preserve"> 配置日耗电量参数告警阈值技术服务</t>
        </is>
      </c>
      <c r="H19" s="18" t="inlineStr">
        <is>
          <t>ILF</t>
        </is>
      </c>
      <c r="I19" s="18">
        <f>IF(H19="ILF",10,IF(H19="EIF",7,IF(H19="EI",4,IF(H19="EO",5,IF(H19="EQ",4,"")))))</f>
        <v/>
      </c>
      <c r="J19" s="18" t="inlineStr">
        <is>
          <t>高</t>
        </is>
      </c>
      <c r="K19" s="18">
        <f>IF(J19="高",0.33,IF(J19="中",0.67,IF(J19="低",1,"")))</f>
        <v/>
      </c>
      <c r="L19" s="18" t="inlineStr">
        <is>
          <t>新增</t>
        </is>
      </c>
      <c r="M19" s="18">
        <f>IF(L19="新增",1,IF(L19="修改",0.8,IF(L19="删除",0.2,"")))</f>
        <v/>
      </c>
      <c r="N19" s="18">
        <f>I19*K19*M19</f>
        <v/>
      </c>
    </row>
    <row r="20" ht="19" customHeight="1" s="1">
      <c r="B20" s="16" t="n">
        <v>15</v>
      </c>
      <c r="C20" s="16" t="inlineStr">
        <is>
          <t>时序数据采集增强中间件与基础平台服务</t>
        </is>
      </c>
      <c r="D20" s="16" t="inlineStr">
        <is>
          <t>全局参数管理</t>
        </is>
      </c>
      <c r="E20" s="16" t="inlineStr">
        <is>
          <t>告警阈值参数管理</t>
        </is>
      </c>
      <c r="F20" s="16" t="inlineStr">
        <is>
          <t>阈值批量配置</t>
        </is>
      </c>
      <c r="G20" s="17" t="inlineStr">
        <is>
          <t xml:space="preserve"> 提供告警阈值按设备类型批量配置的技术服务</t>
        </is>
      </c>
      <c r="H20" s="18" t="inlineStr">
        <is>
          <t>ILF</t>
        </is>
      </c>
      <c r="I20" s="18">
        <f>IF(H20="ILF",10,IF(H20="EIF",7,IF(H20="EI",4,IF(H20="EO",5,IF(H20="EQ",4,"")))))</f>
        <v/>
      </c>
      <c r="J20" s="18" t="inlineStr">
        <is>
          <t>高</t>
        </is>
      </c>
      <c r="K20" s="18">
        <f>IF(J20="高",0.33,IF(J20="中",0.67,IF(J20="低",1,"")))</f>
        <v/>
      </c>
      <c r="L20" s="18" t="inlineStr">
        <is>
          <t>新增</t>
        </is>
      </c>
      <c r="M20" s="18">
        <f>IF(L20="新增",1,IF(L20="修改",0.8,IF(L20="删除",0.2,"")))</f>
        <v/>
      </c>
      <c r="N20" s="18">
        <f>I20*K20*M20</f>
        <v/>
      </c>
    </row>
    <row r="21" ht="19" customHeight="1" s="1">
      <c r="B21" s="16" t="n">
        <v>16</v>
      </c>
      <c r="C21" s="16" t="inlineStr">
        <is>
          <t>时序数据采集增强中间件与基础平台服务</t>
        </is>
      </c>
      <c r="D21" s="16" t="inlineStr">
        <is>
          <t>全局参数管理</t>
        </is>
      </c>
      <c r="E21" s="16" t="inlineStr">
        <is>
          <t>告警阈值参数管理</t>
        </is>
      </c>
      <c r="F21" s="16" t="inlineStr">
        <is>
          <t>阈值热加载</t>
        </is>
      </c>
      <c r="G21" s="17" t="inlineStr">
        <is>
          <t xml:space="preserve"> 提供告警阈值变更后热加载生效的技术服务</t>
        </is>
      </c>
      <c r="H21" s="18" t="inlineStr">
        <is>
          <t>EI</t>
        </is>
      </c>
      <c r="I21" s="18">
        <f>IF(H21="ILF",10,IF(H21="EIF",7,IF(H21="EI",4,IF(H21="EO",5,IF(H21="EQ",4,"")))))</f>
        <v/>
      </c>
      <c r="J21" s="18" t="inlineStr">
        <is>
          <t>低</t>
        </is>
      </c>
      <c r="K21" s="18">
        <f>IF(J21="高",0.33,IF(J21="中",0.67,IF(J21="低",1,"")))</f>
        <v/>
      </c>
      <c r="L21" s="18" t="inlineStr">
        <is>
          <t>新增</t>
        </is>
      </c>
      <c r="M21" s="18">
        <f>IF(L21="新增",1,IF(L21="修改",0.8,IF(L21="删除",0.2,"")))</f>
        <v/>
      </c>
      <c r="N21" s="18">
        <f>I21*K21*M21</f>
        <v/>
      </c>
    </row>
    <row r="22" ht="19" customHeight="1" s="1">
      <c r="B22" s="16" t="n">
        <v>17</v>
      </c>
      <c r="C22" s="16" t="inlineStr">
        <is>
          <t>时序数据采集增强中间件与基础平台服务</t>
        </is>
      </c>
      <c r="D22" s="16" t="inlineStr">
        <is>
          <t>全局参数管理</t>
        </is>
      </c>
      <c r="E22" s="16" t="inlineStr">
        <is>
          <t>告警阈值参数管理</t>
        </is>
      </c>
      <c r="F22" s="16" t="inlineStr">
        <is>
          <t>阈值版本回滚</t>
        </is>
      </c>
      <c r="G22" s="17" t="inlineStr">
        <is>
          <t xml:space="preserve"> 提供告警阈值版本回滚的技术服务</t>
        </is>
      </c>
      <c r="H22" s="18" t="inlineStr">
        <is>
          <t>EI</t>
        </is>
      </c>
      <c r="I22" s="18">
        <f>IF(H22="ILF",10,IF(H22="EIF",7,IF(H22="EI",4,IF(H22="EO",5,IF(H22="EQ",4,"")))))</f>
        <v/>
      </c>
      <c r="J22" s="18" t="inlineStr">
        <is>
          <t>低</t>
        </is>
      </c>
      <c r="K22" s="18">
        <f>IF(J22="高",0.33,IF(J22="中",0.67,IF(J22="低",1,"")))</f>
        <v/>
      </c>
      <c r="L22" s="18" t="inlineStr">
        <is>
          <t>新增</t>
        </is>
      </c>
      <c r="M22" s="18">
        <f>IF(L22="新增",1,IF(L22="修改",0.8,IF(L22="删除",0.2,"")))</f>
        <v/>
      </c>
      <c r="N22" s="18">
        <f>I22*K22*M22</f>
        <v/>
      </c>
    </row>
    <row r="23" ht="19" customHeight="1" s="1">
      <c r="B23" s="16" t="n">
        <v>18</v>
      </c>
      <c r="C23" s="16" t="inlineStr">
        <is>
          <t>时序数据采集增强中间件与基础平台服务</t>
        </is>
      </c>
      <c r="D23" s="16" t="inlineStr">
        <is>
          <t>全局参数管理</t>
        </is>
      </c>
      <c r="E23" s="16" t="inlineStr">
        <is>
          <t>告警阈值参数管理</t>
        </is>
      </c>
      <c r="F23" s="16" t="inlineStr">
        <is>
          <t>阈值导出导入</t>
        </is>
      </c>
      <c r="G23" s="17" t="inlineStr">
        <is>
          <t xml:space="preserve"> 提供告警阈值配置批量导出导入的技术服务</t>
        </is>
      </c>
      <c r="H23" s="18" t="inlineStr">
        <is>
          <t>EI</t>
        </is>
      </c>
      <c r="I23" s="18">
        <f>IF(H23="ILF",10,IF(H23="EIF",7,IF(H23="EI",4,IF(H23="EO",5,IF(H23="EQ",4,"")))))</f>
        <v/>
      </c>
      <c r="J23" s="18" t="inlineStr">
        <is>
          <t>低</t>
        </is>
      </c>
      <c r="K23" s="18">
        <f>IF(J23="高",0.33,IF(J23="中",0.67,IF(J23="低",1,"")))</f>
        <v/>
      </c>
      <c r="L23" s="18" t="inlineStr">
        <is>
          <t>新增</t>
        </is>
      </c>
      <c r="M23" s="18">
        <f>IF(L23="新增",1,IF(L23="修改",0.8,IF(L23="删除",0.2,"")))</f>
        <v/>
      </c>
      <c r="N23" s="18">
        <f>I23*K23*M23</f>
        <v/>
      </c>
    </row>
    <row r="24" ht="19" customHeight="1" s="1">
      <c r="B24" s="16" t="n">
        <v>19</v>
      </c>
      <c r="C24" s="16" t="inlineStr">
        <is>
          <t>时序数据采集增强中间件与基础平台服务</t>
        </is>
      </c>
      <c r="D24" s="16" t="inlineStr">
        <is>
          <t>全局参数管理</t>
        </is>
      </c>
      <c r="E24" s="16" t="inlineStr">
        <is>
          <t>保留周期与MQTT管理</t>
        </is>
      </c>
      <c r="F24" s="16" t="inlineStr">
        <is>
          <t>热数据周期</t>
        </is>
      </c>
      <c r="G24" s="17" t="inlineStr">
        <is>
          <t xml:space="preserve"> 提供SSD热数据0-30天保留周期配置技术服务</t>
        </is>
      </c>
      <c r="H24" s="18" t="inlineStr">
        <is>
          <t>EI</t>
        </is>
      </c>
      <c r="I24" s="18">
        <f>IF(H24="ILF",10,IF(H24="EIF",7,IF(H24="EI",4,IF(H24="EO",5,IF(H24="EQ",4,"")))))</f>
        <v/>
      </c>
      <c r="J24" s="18" t="inlineStr">
        <is>
          <t>低</t>
        </is>
      </c>
      <c r="K24" s="18">
        <f>IF(J24="高",0.33,IF(J24="中",0.67,IF(J24="低",1,"")))</f>
        <v/>
      </c>
      <c r="L24" s="18" t="inlineStr">
        <is>
          <t>新增</t>
        </is>
      </c>
      <c r="M24" s="18">
        <f>IF(L24="新增",1,IF(L24="修改",0.8,IF(L24="删除",0.2,"")))</f>
        <v/>
      </c>
      <c r="N24" s="18">
        <f>I24*K24*M24</f>
        <v/>
      </c>
    </row>
    <row r="25" ht="19" customHeight="1" s="1">
      <c r="B25" s="16" t="n">
        <v>20</v>
      </c>
      <c r="C25" s="16" t="inlineStr">
        <is>
          <t>时序数据采集增强中间件与基础平台服务</t>
        </is>
      </c>
      <c r="D25" s="16" t="inlineStr">
        <is>
          <t>全局参数管理</t>
        </is>
      </c>
      <c r="E25" s="16" t="inlineStr">
        <is>
          <t>保留周期与MQTT管理</t>
        </is>
      </c>
      <c r="F25" s="16" t="inlineStr">
        <is>
          <t>温数据周期</t>
        </is>
      </c>
      <c r="G25" s="17" t="inlineStr">
        <is>
          <t xml:space="preserve"> 提供HDD温数据31天-1年保留周期配置技术服务</t>
        </is>
      </c>
      <c r="H25" s="18" t="inlineStr">
        <is>
          <t>EI</t>
        </is>
      </c>
      <c r="I25" s="18">
        <f>IF(H25="ILF",10,IF(H25="EIF",7,IF(H25="EI",4,IF(H25="EO",5,IF(H25="EQ",4,"")))))</f>
        <v/>
      </c>
      <c r="J25" s="18" t="inlineStr">
        <is>
          <t>低</t>
        </is>
      </c>
      <c r="K25" s="18">
        <f>IF(J25="高",0.33,IF(J25="中",0.67,IF(J25="低",1,"")))</f>
        <v/>
      </c>
      <c r="L25" s="18" t="inlineStr">
        <is>
          <t>新增</t>
        </is>
      </c>
      <c r="M25" s="18">
        <f>IF(L25="新增",1,IF(L25="修改",0.8,IF(L25="删除",0.2,"")))</f>
        <v/>
      </c>
      <c r="N25" s="18">
        <f>I25*K25*M25</f>
        <v/>
      </c>
    </row>
    <row r="26" ht="19" customHeight="1" s="1">
      <c r="B26" s="16" t="n">
        <v>21</v>
      </c>
      <c r="C26" s="16" t="inlineStr">
        <is>
          <t>时序数据采集增强中间件与基础平台服务</t>
        </is>
      </c>
      <c r="D26" s="16" t="inlineStr">
        <is>
          <t>全局参数管理</t>
        </is>
      </c>
      <c r="E26" s="16" t="inlineStr">
        <is>
          <t>保留周期与MQTT管理</t>
        </is>
      </c>
      <c r="F26" s="16" t="inlineStr">
        <is>
          <t>工图保留周期</t>
        </is>
      </c>
      <c r="G26" s="17" t="inlineStr">
        <is>
          <t xml:space="preserve"> 提供功图数据独立保留周期配置技术服务</t>
        </is>
      </c>
      <c r="H26" s="18" t="inlineStr">
        <is>
          <t>EI</t>
        </is>
      </c>
      <c r="I26" s="18">
        <f>IF(H26="ILF",10,IF(H26="EIF",7,IF(H26="EI",4,IF(H26="EO",5,IF(H26="EQ",4,"")))))</f>
        <v/>
      </c>
      <c r="J26" s="18" t="inlineStr">
        <is>
          <t>低</t>
        </is>
      </c>
      <c r="K26" s="18">
        <f>IF(J26="高",0.33,IF(J26="中",0.67,IF(J26="低",1,"")))</f>
        <v/>
      </c>
      <c r="L26" s="18" t="inlineStr">
        <is>
          <t>新增</t>
        </is>
      </c>
      <c r="M26" s="18">
        <f>IF(L26="新增",1,IF(L26="修改",0.8,IF(L26="删除",0.2,"")))</f>
        <v/>
      </c>
      <c r="N26" s="18">
        <f>I26*K26*M26</f>
        <v/>
      </c>
    </row>
    <row r="27" ht="19" customHeight="1" s="1">
      <c r="B27" s="16" t="n">
        <v>22</v>
      </c>
      <c r="C27" s="16" t="inlineStr">
        <is>
          <t>时序数据采集增强中间件与基础平台服务</t>
        </is>
      </c>
      <c r="D27" s="16" t="inlineStr">
        <is>
          <t>全局参数管理</t>
        </is>
      </c>
      <c r="E27" s="16" t="inlineStr">
        <is>
          <t>保留周期与MQTT管理</t>
        </is>
      </c>
      <c r="F27" s="16" t="inlineStr">
        <is>
          <t>告警保留周期</t>
        </is>
      </c>
      <c r="G27" s="17" t="inlineStr">
        <is>
          <t xml:space="preserve"> 提供告警历史数据保留周期配置技术服务</t>
        </is>
      </c>
      <c r="H27" s="18" t="inlineStr">
        <is>
          <t>EI</t>
        </is>
      </c>
      <c r="I27" s="18">
        <f>IF(H27="ILF",10,IF(H27="EIF",7,IF(H27="EI",4,IF(H27="EO",5,IF(H27="EQ",4,"")))))</f>
        <v/>
      </c>
      <c r="J27" s="18" t="inlineStr">
        <is>
          <t>低</t>
        </is>
      </c>
      <c r="K27" s="18">
        <f>IF(J27="高",0.33,IF(J27="中",0.67,IF(J27="低",1,"")))</f>
        <v/>
      </c>
      <c r="L27" s="18" t="inlineStr">
        <is>
          <t>新增</t>
        </is>
      </c>
      <c r="M27" s="18">
        <f>IF(L27="新增",1,IF(L27="修改",0.8,IF(L27="删除",0.2,"")))</f>
        <v/>
      </c>
      <c r="N27" s="18">
        <f>I27*K27*M27</f>
        <v/>
      </c>
    </row>
    <row r="28" ht="19" customHeight="1" s="1">
      <c r="B28" s="16" t="n">
        <v>23</v>
      </c>
      <c r="C28" s="16" t="inlineStr">
        <is>
          <t>时序数据采集增强中间件与基础平台服务</t>
        </is>
      </c>
      <c r="D28" s="16" t="inlineStr">
        <is>
          <t>全局参数管理</t>
        </is>
      </c>
      <c r="E28" s="16" t="inlineStr">
        <is>
          <t>保留周期与MQTT管理</t>
        </is>
      </c>
      <c r="F28" s="16" t="inlineStr">
        <is>
          <t>日志保留周期</t>
        </is>
      </c>
      <c r="G28" s="17" t="inlineStr">
        <is>
          <t xml:space="preserve"> 提供操作日志保留周期配置技术服务</t>
        </is>
      </c>
      <c r="H28" s="18" t="inlineStr">
        <is>
          <t>EI</t>
        </is>
      </c>
      <c r="I28" s="18">
        <f>IF(H28="ILF",10,IF(H28="EIF",7,IF(H28="EI",4,IF(H28="EO",5,IF(H28="EQ",4,"")))))</f>
        <v/>
      </c>
      <c r="J28" s="18" t="inlineStr">
        <is>
          <t>低</t>
        </is>
      </c>
      <c r="K28" s="18">
        <f>IF(J28="高",0.33,IF(J28="中",0.67,IF(J28="低",1,"")))</f>
        <v/>
      </c>
      <c r="L28" s="18" t="inlineStr">
        <is>
          <t>新增</t>
        </is>
      </c>
      <c r="M28" s="18">
        <f>IF(L28="新增",1,IF(L28="修改",0.8,IF(L28="删除",0.2,"")))</f>
        <v/>
      </c>
      <c r="N28" s="18">
        <f>I28*K28*M28</f>
        <v/>
      </c>
    </row>
    <row r="29" ht="19" customHeight="1" s="1">
      <c r="B29" s="16" t="n">
        <v>24</v>
      </c>
      <c r="C29" s="16" t="inlineStr">
        <is>
          <t>时序数据采集增强中间件与基础平台服务</t>
        </is>
      </c>
      <c r="D29" s="16" t="inlineStr">
        <is>
          <t>全局参数管理</t>
        </is>
      </c>
      <c r="E29" s="16" t="inlineStr">
        <is>
          <t>保留周期与MQTT管理</t>
        </is>
      </c>
      <c r="F29" s="16" t="inlineStr">
        <is>
          <t>周期变更追踪</t>
        </is>
      </c>
      <c r="G29" s="17" t="inlineStr">
        <is>
          <t xml:space="preserve"> 提供保留周期变更记录和追溯技术服务</t>
        </is>
      </c>
      <c r="H29" s="18" t="inlineStr">
        <is>
          <t>EI</t>
        </is>
      </c>
      <c r="I29" s="18">
        <f>IF(H29="ILF",10,IF(H29="EIF",7,IF(H29="EI",4,IF(H29="EO",5,IF(H29="EQ",4,"")))))</f>
        <v/>
      </c>
      <c r="J29" s="18" t="inlineStr">
        <is>
          <t>低</t>
        </is>
      </c>
      <c r="K29" s="18">
        <f>IF(J29="高",0.33,IF(J29="中",0.67,IF(J29="低",1,"")))</f>
        <v/>
      </c>
      <c r="L29" s="18" t="inlineStr">
        <is>
          <t>新增</t>
        </is>
      </c>
      <c r="M29" s="18">
        <f>IF(L29="新增",1,IF(L29="修改",0.8,IF(L29="删除",0.2,"")))</f>
        <v/>
      </c>
      <c r="N29" s="18">
        <f>I29*K29*M29</f>
        <v/>
      </c>
    </row>
    <row r="30" ht="19" customHeight="1" s="1">
      <c r="B30" s="16" t="n">
        <v>25</v>
      </c>
      <c r="C30" s="16" t="inlineStr">
        <is>
          <t>时序数据采集增强中间件与基础平台服务</t>
        </is>
      </c>
      <c r="D30" s="16" t="inlineStr">
        <is>
          <t>全局参数管理</t>
        </is>
      </c>
      <c r="E30" s="16" t="inlineStr">
        <is>
          <t>保留周期与MQTT管理</t>
        </is>
      </c>
      <c r="F30" s="16" t="inlineStr">
        <is>
          <t>告警主题配置</t>
        </is>
      </c>
      <c r="G30" s="17" t="inlineStr">
        <is>
          <t xml:space="preserve"> 提供MQTT告警推送主题命名规则配置技术服务</t>
        </is>
      </c>
      <c r="H30" s="18" t="inlineStr">
        <is>
          <t>EI</t>
        </is>
      </c>
      <c r="I30" s="18">
        <f>IF(H30="ILF",10,IF(H30="EIF",7,IF(H30="EI",4,IF(H30="EO",5,IF(H30="EQ",4,"")))))</f>
        <v/>
      </c>
      <c r="J30" s="18" t="inlineStr">
        <is>
          <t>低</t>
        </is>
      </c>
      <c r="K30" s="18">
        <f>IF(J30="高",0.33,IF(J30="中",0.67,IF(J30="低",1,"")))</f>
        <v/>
      </c>
      <c r="L30" s="18" t="inlineStr">
        <is>
          <t>新增</t>
        </is>
      </c>
      <c r="M30" s="18">
        <f>IF(L30="新增",1,IF(L30="修改",0.8,IF(L30="删除",0.2,"")))</f>
        <v/>
      </c>
      <c r="N30" s="18">
        <f>I30*K30*M30</f>
        <v/>
      </c>
    </row>
    <row r="31" ht="19" customHeight="1" s="1">
      <c r="B31" s="16" t="n">
        <v>26</v>
      </c>
      <c r="C31" s="16" t="inlineStr">
        <is>
          <t>时序数据采集增强中间件与基础平台服务</t>
        </is>
      </c>
      <c r="D31" s="16" t="inlineStr">
        <is>
          <t>全局参数管理</t>
        </is>
      </c>
      <c r="E31" s="16" t="inlineStr">
        <is>
          <t>保留周期与MQTT管理</t>
        </is>
      </c>
      <c r="F31" s="16" t="inlineStr">
        <is>
          <t>数据主题配置</t>
        </is>
      </c>
      <c r="G31" s="17" t="inlineStr">
        <is>
          <t xml:space="preserve"> 提供MQTT实时数据订阅主题配置技术服务</t>
        </is>
      </c>
      <c r="H31" s="18" t="inlineStr">
        <is>
          <t>EI</t>
        </is>
      </c>
      <c r="I31" s="18">
        <f>IF(H31="ILF",10,IF(H31="EIF",7,IF(H31="EI",4,IF(H31="EO",5,IF(H31="EQ",4,"")))))</f>
        <v/>
      </c>
      <c r="J31" s="18" t="inlineStr">
        <is>
          <t>低</t>
        </is>
      </c>
      <c r="K31" s="18">
        <f>IF(J31="高",0.33,IF(J31="中",0.67,IF(J31="低",1,"")))</f>
        <v/>
      </c>
      <c r="L31" s="18" t="inlineStr">
        <is>
          <t>新增</t>
        </is>
      </c>
      <c r="M31" s="18">
        <f>IF(L31="新增",1,IF(L31="修改",0.8,IF(L31="删除",0.2,"")))</f>
        <v/>
      </c>
      <c r="N31" s="18">
        <f>I31*K31*M31</f>
        <v/>
      </c>
    </row>
    <row r="32" ht="19" customHeight="1" s="1">
      <c r="B32" s="16" t="n">
        <v>27</v>
      </c>
      <c r="C32" s="16" t="inlineStr">
        <is>
          <t>时序数据采集增强中间件与基础平台服务</t>
        </is>
      </c>
      <c r="D32" s="16" t="inlineStr">
        <is>
          <t>全局参数管理</t>
        </is>
      </c>
      <c r="E32" s="16" t="inlineStr">
        <is>
          <t>保留周期与MQTT管理</t>
        </is>
      </c>
      <c r="F32" s="16" t="inlineStr">
        <is>
          <t>工单主题配置</t>
        </is>
      </c>
      <c r="G32" s="17" t="inlineStr">
        <is>
          <t xml:space="preserve"> 提供MQTT工单状态同步主题配置技术服务</t>
        </is>
      </c>
      <c r="H32" s="18" t="inlineStr">
        <is>
          <t>EI</t>
        </is>
      </c>
      <c r="I32" s="18">
        <f>IF(H32="ILF",10,IF(H32="EIF",7,IF(H32="EI",4,IF(H32="EO",5,IF(H32="EQ",4,"")))))</f>
        <v/>
      </c>
      <c r="J32" s="18" t="inlineStr">
        <is>
          <t>低</t>
        </is>
      </c>
      <c r="K32" s="18">
        <f>IF(J32="高",0.33,IF(J32="中",0.67,IF(J32="低",1,"")))</f>
        <v/>
      </c>
      <c r="L32" s="18" t="inlineStr">
        <is>
          <t>新增</t>
        </is>
      </c>
      <c r="M32" s="18">
        <f>IF(L32="新增",1,IF(L32="修改",0.8,IF(L32="删除",0.2,"")))</f>
        <v/>
      </c>
      <c r="N32" s="18">
        <f>I32*K32*M32</f>
        <v/>
      </c>
    </row>
    <row r="33" ht="19" customHeight="1" s="1">
      <c r="B33" s="16" t="n">
        <v>28</v>
      </c>
      <c r="C33" s="16" t="inlineStr">
        <is>
          <t>时序数据采集增强中间件与基础平台服务</t>
        </is>
      </c>
      <c r="D33" s="16" t="inlineStr">
        <is>
          <t>全局参数管理</t>
        </is>
      </c>
      <c r="E33" s="16" t="inlineStr">
        <is>
          <t>保留周期与MQTT管理</t>
        </is>
      </c>
      <c r="F33" s="16" t="inlineStr">
        <is>
          <t>状态主题配置</t>
        </is>
      </c>
      <c r="G33" s="17" t="inlineStr">
        <is>
          <t xml:space="preserve"> 提供MQTT设备状态变化主题配置技术服务</t>
        </is>
      </c>
      <c r="H33" s="18" t="inlineStr">
        <is>
          <t>EI</t>
        </is>
      </c>
      <c r="I33" s="18">
        <f>IF(H33="ILF",10,IF(H33="EIF",7,IF(H33="EI",4,IF(H33="EO",5,IF(H33="EQ",4,"")))))</f>
        <v/>
      </c>
      <c r="J33" s="18" t="inlineStr">
        <is>
          <t>低</t>
        </is>
      </c>
      <c r="K33" s="18">
        <f>IF(J33="高",0.33,IF(J33="中",0.67,IF(J33="低",1,"")))</f>
        <v/>
      </c>
      <c r="L33" s="18" t="inlineStr">
        <is>
          <t>新增</t>
        </is>
      </c>
      <c r="M33" s="18">
        <f>IF(L33="新增",1,IF(L33="修改",0.8,IF(L33="删除",0.2,"")))</f>
        <v/>
      </c>
      <c r="N33" s="18">
        <f>I33*K33*M33</f>
        <v/>
      </c>
    </row>
    <row r="34" ht="19" customHeight="1" s="1">
      <c r="B34" s="16" t="n">
        <v>29</v>
      </c>
      <c r="C34" s="16" t="inlineStr">
        <is>
          <t>时序数据采集增强中间件与基础平台服务</t>
        </is>
      </c>
      <c r="D34" s="16" t="inlineStr">
        <is>
          <t>全局参数管理</t>
        </is>
      </c>
      <c r="E34" s="16" t="inlineStr">
        <is>
          <t>保留周期与MQTT管理</t>
        </is>
      </c>
      <c r="F34" s="16" t="inlineStr">
        <is>
          <t>心跳主题配置</t>
        </is>
      </c>
      <c r="G34" s="17" t="inlineStr">
        <is>
          <t xml:space="preserve"> 提供MQTT系统心跳检测主题配置技术服务</t>
        </is>
      </c>
      <c r="H34" s="18" t="inlineStr">
        <is>
          <t>EI</t>
        </is>
      </c>
      <c r="I34" s="18">
        <f>IF(H34="ILF",10,IF(H34="EIF",7,IF(H34="EI",4,IF(H34="EO",5,IF(H34="EQ",4,"")))))</f>
        <v/>
      </c>
      <c r="J34" s="18" t="inlineStr">
        <is>
          <t>低</t>
        </is>
      </c>
      <c r="K34" s="18">
        <f>IF(J34="高",0.33,IF(J34="中",0.67,IF(J34="低",1,"")))</f>
        <v/>
      </c>
      <c r="L34" s="18" t="inlineStr">
        <is>
          <t>新增</t>
        </is>
      </c>
      <c r="M34" s="18">
        <f>IF(L34="新增",1,IF(L34="修改",0.8,IF(L34="删除",0.2,"")))</f>
        <v/>
      </c>
      <c r="N34" s="18">
        <f>I34*K34*M34</f>
        <v/>
      </c>
    </row>
    <row r="35" ht="19" customHeight="1" s="1">
      <c r="B35" s="16" t="n">
        <v>30</v>
      </c>
      <c r="C35" s="16" t="inlineStr">
        <is>
          <t>时序数据采集增强中间件与基础平台服务</t>
        </is>
      </c>
      <c r="D35" s="16" t="inlineStr">
        <is>
          <t>全局参数管理</t>
        </is>
      </c>
      <c r="E35" s="16" t="inlineStr">
        <is>
          <t>保留周期与MQTT管理</t>
        </is>
      </c>
      <c r="F35" s="16" t="inlineStr">
        <is>
          <t>QoS等级配置</t>
        </is>
      </c>
      <c r="G35" s="17" t="inlineStr">
        <is>
          <t xml:space="preserve"> 提供MQTT消息QoS等级参数配置技术服务</t>
        </is>
      </c>
      <c r="H35" s="18" t="inlineStr">
        <is>
          <t>EI</t>
        </is>
      </c>
      <c r="I35" s="18">
        <f>IF(H35="ILF",10,IF(H35="EIF",7,IF(H35="EI",4,IF(H35="EO",5,IF(H35="EQ",4,"")))))</f>
        <v/>
      </c>
      <c r="J35" s="18" t="inlineStr">
        <is>
          <t>低</t>
        </is>
      </c>
      <c r="K35" s="18">
        <f>IF(J35="高",0.33,IF(J35="中",0.67,IF(J35="低",1,"")))</f>
        <v/>
      </c>
      <c r="L35" s="18" t="inlineStr">
        <is>
          <t>新增</t>
        </is>
      </c>
      <c r="M35" s="18">
        <f>IF(L35="新增",1,IF(L35="修改",0.8,IF(L35="删除",0.2,"")))</f>
        <v/>
      </c>
      <c r="N35" s="18">
        <f>I35*K35*M35</f>
        <v/>
      </c>
    </row>
    <row r="36" ht="19" customHeight="1" s="1">
      <c r="B36" s="16" t="n">
        <v>31</v>
      </c>
      <c r="C36" s="16" t="inlineStr">
        <is>
          <t>时序数据采集增强中间件与基础平台服务</t>
        </is>
      </c>
      <c r="D36" s="16" t="inlineStr">
        <is>
          <t>全局参数管理</t>
        </is>
      </c>
      <c r="E36" s="16" t="inlineStr">
        <is>
          <t>保留周期与MQTT管理</t>
        </is>
      </c>
      <c r="F36" s="16" t="inlineStr">
        <is>
          <t>Topic权限</t>
        </is>
      </c>
      <c r="G36" s="17" t="inlineStr">
        <is>
          <t xml:space="preserve"> 提供MQTT主题访问权限控制技术服务</t>
        </is>
      </c>
      <c r="H36" s="18" t="inlineStr">
        <is>
          <t>EI</t>
        </is>
      </c>
      <c r="I36" s="18">
        <f>IF(H36="ILF",10,IF(H36="EIF",7,IF(H36="EI",4,IF(H36="EO",5,IF(H36="EQ",4,"")))))</f>
        <v/>
      </c>
      <c r="J36" s="18" t="inlineStr">
        <is>
          <t>低</t>
        </is>
      </c>
      <c r="K36" s="18">
        <f>IF(J36="高",0.33,IF(J36="中",0.67,IF(J36="低",1,"")))</f>
        <v/>
      </c>
      <c r="L36" s="18" t="inlineStr">
        <is>
          <t>新增</t>
        </is>
      </c>
      <c r="M36" s="18">
        <f>IF(L36="新增",1,IF(L36="修改",0.8,IF(L36="删除",0.2,"")))</f>
        <v/>
      </c>
      <c r="N36" s="18">
        <f>I36*K36*M36</f>
        <v/>
      </c>
    </row>
    <row r="37" ht="19" customHeight="1" s="1">
      <c r="B37" s="16" t="n">
        <v>32</v>
      </c>
      <c r="C37" s="16" t="inlineStr">
        <is>
          <t>时序数据采集增强中间件与基础平台服务</t>
        </is>
      </c>
      <c r="D37" s="16" t="inlineStr">
        <is>
          <t>生产单元建模</t>
        </is>
      </c>
      <c r="E37" s="16" t="inlineStr">
        <is>
          <t>组织架构</t>
        </is>
      </c>
      <c r="F37" s="16" t="inlineStr">
        <is>
          <t>采油厂级</t>
        </is>
      </c>
      <c r="G37" s="17" t="inlineStr">
        <is>
          <t xml:space="preserve"> 提供采油厂组织架构模型配置部署技术服务</t>
        </is>
      </c>
      <c r="H37" s="18" t="inlineStr">
        <is>
          <t>EI</t>
        </is>
      </c>
      <c r="I37" s="18">
        <f>IF(H37="ILF",10,IF(H37="EIF",7,IF(H37="EI",4,IF(H37="EO",5,IF(H37="EQ",4,"")))))</f>
        <v/>
      </c>
      <c r="J37" s="18" t="inlineStr">
        <is>
          <t>低</t>
        </is>
      </c>
      <c r="K37" s="18">
        <f>IF(J37="高",0.33,IF(J37="中",0.67,IF(J37="低",1,"")))</f>
        <v/>
      </c>
      <c r="L37" s="18" t="inlineStr">
        <is>
          <t>新增</t>
        </is>
      </c>
      <c r="M37" s="18">
        <f>IF(L37="新增",1,IF(L37="修改",0.8,IF(L37="删除",0.2,"")))</f>
        <v/>
      </c>
      <c r="N37" s="18">
        <f>I37*K37*M37</f>
        <v/>
      </c>
    </row>
    <row r="38" ht="19" customHeight="1" s="1">
      <c r="B38" s="16" t="n">
        <v>33</v>
      </c>
      <c r="C38" s="16" t="inlineStr">
        <is>
          <t>时序数据采集增强中间件与基础平台服务</t>
        </is>
      </c>
      <c r="D38" s="16" t="inlineStr">
        <is>
          <t>生产单元建模</t>
        </is>
      </c>
      <c r="E38" s="16" t="inlineStr">
        <is>
          <t>组织架构</t>
        </is>
      </c>
      <c r="F38" s="16" t="inlineStr">
        <is>
          <t>作业区级</t>
        </is>
      </c>
      <c r="G38" s="17" t="inlineStr">
        <is>
          <t xml:space="preserve"> 提供约作业区级组织架构模型配置部署技术服务</t>
        </is>
      </c>
      <c r="H38" s="18" t="inlineStr">
        <is>
          <t>EI</t>
        </is>
      </c>
      <c r="I38" s="18">
        <f>IF(H38="ILF",10,IF(H38="EIF",7,IF(H38="EI",4,IF(H38="EO",5,IF(H38="EQ",4,"")))))</f>
        <v/>
      </c>
      <c r="J38" s="18" t="inlineStr">
        <is>
          <t>低</t>
        </is>
      </c>
      <c r="K38" s="18">
        <f>IF(J38="高",0.33,IF(J38="中",0.67,IF(J38="低",1,"")))</f>
        <v/>
      </c>
      <c r="L38" s="18" t="inlineStr">
        <is>
          <t>新增</t>
        </is>
      </c>
      <c r="M38" s="18">
        <f>IF(L38="新增",1,IF(L38="修改",0.8,IF(L38="删除",0.2,"")))</f>
        <v/>
      </c>
      <c r="N38" s="18">
        <f>I38*K38*M38</f>
        <v/>
      </c>
    </row>
    <row r="39" ht="19" customHeight="1" s="1">
      <c r="B39" s="16" t="n">
        <v>34</v>
      </c>
      <c r="C39" s="16" t="inlineStr">
        <is>
          <t>时序数据采集增强中间件与基础平台服务</t>
        </is>
      </c>
      <c r="D39" s="16" t="inlineStr">
        <is>
          <t>生产单元建模</t>
        </is>
      </c>
      <c r="E39" s="16" t="inlineStr">
        <is>
          <t>组织架构</t>
        </is>
      </c>
      <c r="F39" s="16" t="inlineStr">
        <is>
          <t>站库级</t>
        </is>
      </c>
      <c r="G39" s="17" t="inlineStr">
        <is>
          <t xml:space="preserve"> 提供座站库级组织架构模型配置部署技术服务</t>
        </is>
      </c>
      <c r="H39" s="18" t="inlineStr">
        <is>
          <t>EI</t>
        </is>
      </c>
      <c r="I39" s="18">
        <f>IF(H39="ILF",10,IF(H39="EIF",7,IF(H39="EI",4,IF(H39="EO",5,IF(H39="EQ",4,"")))))</f>
        <v/>
      </c>
      <c r="J39" s="18" t="inlineStr">
        <is>
          <t>低</t>
        </is>
      </c>
      <c r="K39" s="18">
        <f>IF(J39="高",0.33,IF(J39="中",0.67,IF(J39="低",1,"")))</f>
        <v/>
      </c>
      <c r="L39" s="18" t="inlineStr">
        <is>
          <t>新增</t>
        </is>
      </c>
      <c r="M39" s="18">
        <f>IF(L39="新增",1,IF(L39="修改",0.8,IF(L39="删除",0.2,"")))</f>
        <v/>
      </c>
      <c r="N39" s="18">
        <f>I39*K39*M39</f>
        <v/>
      </c>
    </row>
    <row r="40" ht="19" customHeight="1" s="1">
      <c r="B40" s="16" t="n">
        <v>35</v>
      </c>
      <c r="C40" s="16" t="inlineStr">
        <is>
          <t>时序数据采集增强中间件与基础平台服务</t>
        </is>
      </c>
      <c r="D40" s="16" t="inlineStr">
        <is>
          <t>生产单元建模</t>
        </is>
      </c>
      <c r="E40" s="16" t="inlineStr">
        <is>
          <t>组织架构</t>
        </is>
      </c>
      <c r="F40" s="16" t="inlineStr">
        <is>
          <t>设备组级</t>
        </is>
      </c>
      <c r="G40" s="17" t="inlineStr">
        <is>
          <t xml:space="preserve"> 提供设备组级组织架构模型配置部署技术服务</t>
        </is>
      </c>
      <c r="H40" s="18" t="inlineStr">
        <is>
          <t>EI</t>
        </is>
      </c>
      <c r="I40" s="18">
        <f>IF(H40="ILF",10,IF(H40="EIF",7,IF(H40="EI",4,IF(H40="EO",5,IF(H40="EQ",4,"")))))</f>
        <v/>
      </c>
      <c r="J40" s="18" t="inlineStr">
        <is>
          <t>低</t>
        </is>
      </c>
      <c r="K40" s="18">
        <f>IF(J40="高",0.33,IF(J40="中",0.67,IF(J40="低",1,"")))</f>
        <v/>
      </c>
      <c r="L40" s="18" t="inlineStr">
        <is>
          <t>新增</t>
        </is>
      </c>
      <c r="M40" s="18">
        <f>IF(L40="新增",1,IF(L40="修改",0.8,IF(L40="删除",0.2,"")))</f>
        <v/>
      </c>
      <c r="N40" s="18">
        <f>I40*K40*M40</f>
        <v/>
      </c>
    </row>
    <row r="41" ht="19" customHeight="1" s="1">
      <c r="B41" s="16" t="n">
        <v>36</v>
      </c>
      <c r="C41" s="16" t="inlineStr">
        <is>
          <t>时序数据采集增强中间件与基础平台服务</t>
        </is>
      </c>
      <c r="D41" s="16" t="inlineStr">
        <is>
          <t>生产单元建模</t>
        </is>
      </c>
      <c r="E41" s="16" t="inlineStr">
        <is>
          <t>组织架构</t>
        </is>
      </c>
      <c r="F41" s="16" t="inlineStr">
        <is>
          <t>管理部门</t>
        </is>
      </c>
      <c r="G41" s="17" t="inlineStr">
        <is>
          <t xml:space="preserve"> 提供油田公司管理部门组织架构模型配置部署技术服务</t>
        </is>
      </c>
      <c r="H41" s="18" t="inlineStr">
        <is>
          <t>EI</t>
        </is>
      </c>
      <c r="I41" s="18">
        <f>IF(H41="ILF",10,IF(H41="EIF",7,IF(H41="EI",4,IF(H41="EO",5,IF(H41="EQ",4,"")))))</f>
        <v/>
      </c>
      <c r="J41" s="18" t="inlineStr">
        <is>
          <t>低</t>
        </is>
      </c>
      <c r="K41" s="18">
        <f>IF(J41="高",0.33,IF(J41="中",0.67,IF(J41="低",1,"")))</f>
        <v/>
      </c>
      <c r="L41" s="18" t="inlineStr">
        <is>
          <t>新增</t>
        </is>
      </c>
      <c r="M41" s="18">
        <f>IF(L41="新增",1,IF(L41="修改",0.8,IF(L41="删除",0.2,"")))</f>
        <v/>
      </c>
      <c r="N41" s="18">
        <f>I41*K41*M41</f>
        <v/>
      </c>
    </row>
    <row r="42" ht="19" customHeight="1" s="1">
      <c r="B42" s="16" t="n">
        <v>37</v>
      </c>
      <c r="C42" s="16" t="inlineStr">
        <is>
          <t>时序数据采集增强中间件与基础平台服务</t>
        </is>
      </c>
      <c r="D42" s="16" t="inlineStr">
        <is>
          <t>生产单元建模</t>
        </is>
      </c>
      <c r="E42" s="16" t="inlineStr">
        <is>
          <t>组织架构</t>
        </is>
      </c>
      <c r="F42" s="16" t="inlineStr">
        <is>
          <t>角色架构</t>
        </is>
      </c>
      <c r="G42" s="17" t="inlineStr">
        <is>
          <t xml:space="preserve"> 提供人员组织架构和角色权限模型配置部署技术服务</t>
        </is>
      </c>
      <c r="H42" s="18" t="inlineStr">
        <is>
          <t>EI</t>
        </is>
      </c>
      <c r="I42" s="18">
        <f>IF(H42="ILF",10,IF(H42="EIF",7,IF(H42="EI",4,IF(H42="EO",5,IF(H42="EQ",4,"")))))</f>
        <v/>
      </c>
      <c r="J42" s="18" t="inlineStr">
        <is>
          <t>低</t>
        </is>
      </c>
      <c r="K42" s="18">
        <f>IF(J42="高",0.33,IF(J42="中",0.67,IF(J42="低",1,"")))</f>
        <v/>
      </c>
      <c r="L42" s="18" t="inlineStr">
        <is>
          <t>新增</t>
        </is>
      </c>
      <c r="M42" s="18">
        <f>IF(L42="新增",1,IF(L42="修改",0.8,IF(L42="删除",0.2,"")))</f>
        <v/>
      </c>
      <c r="N42" s="18">
        <f>I42*K42*M42</f>
        <v/>
      </c>
    </row>
    <row r="43" ht="19" customHeight="1" s="1">
      <c r="B43" s="16" t="n">
        <v>38</v>
      </c>
      <c r="C43" s="16" t="inlineStr">
        <is>
          <t>时序数据采集增强中间件与基础平台服务</t>
        </is>
      </c>
      <c r="D43" s="16" t="inlineStr">
        <is>
          <t>生产单元建模</t>
        </is>
      </c>
      <c r="E43" s="16" t="inlineStr">
        <is>
          <t>组织架构</t>
        </is>
      </c>
      <c r="F43" s="16" t="inlineStr">
        <is>
          <t>地理区域</t>
        </is>
      </c>
      <c r="G43" s="17" t="inlineStr">
        <is>
          <t xml:space="preserve"> 提供油田地理区域划分模型配置部署技术服务</t>
        </is>
      </c>
      <c r="H43" s="18" t="inlineStr">
        <is>
          <t>EI</t>
        </is>
      </c>
      <c r="I43" s="18">
        <f>IF(H43="ILF",10,IF(H43="EIF",7,IF(H43="EI",4,IF(H43="EO",5,IF(H43="EQ",4,"")))))</f>
        <v/>
      </c>
      <c r="J43" s="18" t="inlineStr">
        <is>
          <t>低</t>
        </is>
      </c>
      <c r="K43" s="18">
        <f>IF(J43="高",0.33,IF(J43="中",0.67,IF(J43="低",1,"")))</f>
        <v/>
      </c>
      <c r="L43" s="18" t="inlineStr">
        <is>
          <t>新增</t>
        </is>
      </c>
      <c r="M43" s="18">
        <f>IF(L43="新增",1,IF(L43="修改",0.8,IF(L43="删除",0.2,"")))</f>
        <v/>
      </c>
      <c r="N43" s="18">
        <f>I43*K43*M43</f>
        <v/>
      </c>
    </row>
    <row r="44" ht="19" customHeight="1" s="1">
      <c r="B44" s="16" t="n">
        <v>39</v>
      </c>
      <c r="C44" s="16" t="inlineStr">
        <is>
          <t>时序数据采集增强中间件与基础平台服务</t>
        </is>
      </c>
      <c r="D44" s="16" t="inlineStr">
        <is>
          <t>生产单元建模</t>
        </is>
      </c>
      <c r="E44" s="16" t="inlineStr">
        <is>
          <t>组织架构</t>
        </is>
      </c>
      <c r="F44" s="16" t="inlineStr">
        <is>
          <t>层级关系</t>
        </is>
      </c>
      <c r="G44" s="17" t="inlineStr">
        <is>
          <t xml:space="preserve"> 提供管理层级和数据汇总关系模型配置部署技术服务</t>
        </is>
      </c>
      <c r="H44" s="18" t="inlineStr">
        <is>
          <t>EI</t>
        </is>
      </c>
      <c r="I44" s="18">
        <f>IF(H44="ILF",10,IF(H44="EIF",7,IF(H44="EI",4,IF(H44="EO",5,IF(H44="EQ",4,"")))))</f>
        <v/>
      </c>
      <c r="J44" s="18" t="inlineStr">
        <is>
          <t>低</t>
        </is>
      </c>
      <c r="K44" s="18">
        <f>IF(J44="高",0.33,IF(J44="中",0.67,IF(J44="低",1,"")))</f>
        <v/>
      </c>
      <c r="L44" s="18" t="inlineStr">
        <is>
          <t>新增</t>
        </is>
      </c>
      <c r="M44" s="18">
        <f>IF(L44="新增",1,IF(L44="修改",0.8,IF(L44="删除",0.2,"")))</f>
        <v/>
      </c>
      <c r="N44" s="18">
        <f>I44*K44*M44</f>
        <v/>
      </c>
    </row>
    <row r="45" ht="19" customHeight="1" s="1">
      <c r="B45" s="16" t="n">
        <v>40</v>
      </c>
      <c r="C45" s="16" t="inlineStr">
        <is>
          <t>时序数据采集增强中间件与基础平台服务</t>
        </is>
      </c>
      <c r="D45" s="16" t="inlineStr">
        <is>
          <t>生产单元建模</t>
        </is>
      </c>
      <c r="E45" s="16" t="inlineStr">
        <is>
          <t>组织架构</t>
        </is>
      </c>
      <c r="F45" s="16" t="inlineStr">
        <is>
          <t>跨厂协作</t>
        </is>
      </c>
      <c r="G45" s="17" t="inlineStr">
        <is>
          <t xml:space="preserve"> 提供跨采油厂协作组织架构配置部署技术服务</t>
        </is>
      </c>
      <c r="H45" s="18" t="inlineStr">
        <is>
          <t>EI</t>
        </is>
      </c>
      <c r="I45" s="18">
        <f>IF(H45="ILF",10,IF(H45="EIF",7,IF(H45="EI",4,IF(H45="EO",5,IF(H45="EQ",4,"")))))</f>
        <v/>
      </c>
      <c r="J45" s="18" t="inlineStr">
        <is>
          <t>低</t>
        </is>
      </c>
      <c r="K45" s="18">
        <f>IF(J45="高",0.33,IF(J45="中",0.67,IF(J45="低",1,"")))</f>
        <v/>
      </c>
      <c r="L45" s="18" t="inlineStr">
        <is>
          <t>新增</t>
        </is>
      </c>
      <c r="M45" s="18">
        <f>IF(L45="新增",1,IF(L45="修改",0.8,IF(L45="删除",0.2,"")))</f>
        <v/>
      </c>
      <c r="N45" s="18">
        <f>I45*K45*M45</f>
        <v/>
      </c>
    </row>
    <row r="46" ht="19" customHeight="1" s="1">
      <c r="B46" s="16" t="n">
        <v>41</v>
      </c>
      <c r="C46" s="16" t="inlineStr">
        <is>
          <t>时序数据采集增强中间件与基础平台服务</t>
        </is>
      </c>
      <c r="D46" s="16" t="inlineStr">
        <is>
          <t>生产单元建模</t>
        </is>
      </c>
      <c r="E46" s="16" t="inlineStr">
        <is>
          <t>组织架构</t>
        </is>
      </c>
      <c r="F46" s="16" t="inlineStr">
        <is>
          <t>组织变更</t>
        </is>
      </c>
      <c r="G46" s="17" t="inlineStr">
        <is>
          <t xml:space="preserve"> 提供组织架构变更的版本管理技术服务</t>
        </is>
      </c>
      <c r="H46" s="18" t="inlineStr">
        <is>
          <t>EI</t>
        </is>
      </c>
      <c r="I46" s="18">
        <f>IF(H46="ILF",10,IF(H46="EIF",7,IF(H46="EI",4,IF(H46="EO",5,IF(H46="EQ",4,"")))))</f>
        <v/>
      </c>
      <c r="J46" s="18" t="inlineStr">
        <is>
          <t>低</t>
        </is>
      </c>
      <c r="K46" s="18">
        <f>IF(J46="高",0.33,IF(J46="中",0.67,IF(J46="低",1,"")))</f>
        <v/>
      </c>
      <c r="L46" s="18" t="inlineStr">
        <is>
          <t>新增</t>
        </is>
      </c>
      <c r="M46" s="18">
        <f>IF(L46="新增",1,IF(L46="修改",0.8,IF(L46="删除",0.2,"")))</f>
        <v/>
      </c>
      <c r="N46" s="18">
        <f>I46*K46*M46</f>
        <v/>
      </c>
    </row>
    <row r="47" ht="19" customHeight="1" s="1">
      <c r="B47" s="16" t="n">
        <v>42</v>
      </c>
      <c r="C47" s="16" t="inlineStr">
        <is>
          <t>时序数据采集增强中间件与基础平台服务</t>
        </is>
      </c>
      <c r="D47" s="16" t="inlineStr">
        <is>
          <t>生产单元建模</t>
        </is>
      </c>
      <c r="E47" s="16" t="inlineStr">
        <is>
          <t>标识绑定</t>
        </is>
      </c>
      <c r="F47" s="16" t="inlineStr">
        <is>
          <t>A2ID绑定</t>
        </is>
      </c>
      <c r="G47" s="17" t="inlineStr">
        <is>
          <t xml:space="preserve"> 提供资产标识与组织层级绑定关系建立技术服务</t>
        </is>
      </c>
      <c r="H47" s="18" t="inlineStr">
        <is>
          <t>EI</t>
        </is>
      </c>
      <c r="I47" s="18">
        <f>IF(H47="ILF",10,IF(H47="EIF",7,IF(H47="EI",4,IF(H47="EO",5,IF(H47="EQ",4,"")))))</f>
        <v/>
      </c>
      <c r="J47" s="18" t="inlineStr">
        <is>
          <t>低</t>
        </is>
      </c>
      <c r="K47" s="18">
        <f>IF(J47="高",0.33,IF(J47="中",0.67,IF(J47="低",1,"")))</f>
        <v/>
      </c>
      <c r="L47" s="18" t="inlineStr">
        <is>
          <t>新增</t>
        </is>
      </c>
      <c r="M47" s="18">
        <f>IF(L47="新增",1,IF(L47="修改",0.8,IF(L47="删除",0.2,"")))</f>
        <v/>
      </c>
      <c r="N47" s="18">
        <f>I47*K47*M47</f>
        <v/>
      </c>
    </row>
    <row r="48" ht="19" customHeight="1" s="1">
      <c r="B48" s="16" t="n">
        <v>43</v>
      </c>
      <c r="C48" s="16" t="inlineStr">
        <is>
          <t>时序数据采集增强中间件与基础平台服务</t>
        </is>
      </c>
      <c r="D48" s="16" t="inlineStr">
        <is>
          <t>生产单元建模</t>
        </is>
      </c>
      <c r="E48" s="16" t="inlineStr">
        <is>
          <t>标识绑定</t>
        </is>
      </c>
      <c r="F48" s="16" t="inlineStr">
        <is>
          <t>A5ID绑定</t>
        </is>
      </c>
      <c r="G48" s="17" t="inlineStr">
        <is>
          <t xml:space="preserve"> 提供设备标识与组织层级绑定关系建立技术服务</t>
        </is>
      </c>
      <c r="H48" s="18" t="inlineStr">
        <is>
          <t>EI</t>
        </is>
      </c>
      <c r="I48" s="18">
        <f>IF(H48="ILF",10,IF(H48="EIF",7,IF(H48="EI",4,IF(H48="EO",5,IF(H48="EQ",4,"")))))</f>
        <v/>
      </c>
      <c r="J48" s="18" t="inlineStr">
        <is>
          <t>低</t>
        </is>
      </c>
      <c r="K48" s="18">
        <f>IF(J48="高",0.33,IF(J48="中",0.67,IF(J48="低",1,"")))</f>
        <v/>
      </c>
      <c r="L48" s="18" t="inlineStr">
        <is>
          <t>新增</t>
        </is>
      </c>
      <c r="M48" s="18">
        <f>IF(L48="新增",1,IF(L48="修改",0.8,IF(L48="删除",0.2,"")))</f>
        <v/>
      </c>
      <c r="N48" s="18">
        <f>I48*K48*M48</f>
        <v/>
      </c>
    </row>
    <row r="49" ht="19" customHeight="1" s="1">
      <c r="B49" s="16" t="n">
        <v>44</v>
      </c>
      <c r="C49" s="16" t="inlineStr">
        <is>
          <t>时序数据采集增强中间件与基础平台服务</t>
        </is>
      </c>
      <c r="D49" s="16" t="inlineStr">
        <is>
          <t>生产单元建模</t>
        </is>
      </c>
      <c r="E49" s="16" t="inlineStr">
        <is>
          <t>标识绑定</t>
        </is>
      </c>
      <c r="F49" s="16" t="inlineStr">
        <is>
          <t>DTU绑定</t>
        </is>
      </c>
      <c r="G49" s="17" t="inlineStr">
        <is>
          <t xml:space="preserve"> 提供DTU终端ID与设备绑定关系建立技术服务</t>
        </is>
      </c>
      <c r="H49" s="18" t="inlineStr">
        <is>
          <t>EI</t>
        </is>
      </c>
      <c r="I49" s="18">
        <f>IF(H49="ILF",10,IF(H49="EIF",7,IF(H49="EI",4,IF(H49="EO",5,IF(H49="EQ",4,"")))))</f>
        <v/>
      </c>
      <c r="J49" s="18" t="inlineStr">
        <is>
          <t>低</t>
        </is>
      </c>
      <c r="K49" s="18">
        <f>IF(J49="高",0.33,IF(J49="中",0.67,IF(J49="低",1,"")))</f>
        <v/>
      </c>
      <c r="L49" s="18" t="inlineStr">
        <is>
          <t>新增</t>
        </is>
      </c>
      <c r="M49" s="18">
        <f>IF(L49="新增",1,IF(L49="修改",0.8,IF(L49="删除",0.2,"")))</f>
        <v/>
      </c>
      <c r="N49" s="18">
        <f>I49*K49*M49</f>
        <v/>
      </c>
    </row>
    <row r="50" ht="19" customHeight="1" s="1">
      <c r="B50" s="16" t="n">
        <v>45</v>
      </c>
      <c r="C50" s="16" t="inlineStr">
        <is>
          <t>时序数据采集增强中间件与基础平台服务</t>
        </is>
      </c>
      <c r="D50" s="16" t="inlineStr">
        <is>
          <t>生产单元建模</t>
        </is>
      </c>
      <c r="E50" s="16" t="inlineStr">
        <is>
          <t>标识绑定</t>
        </is>
      </c>
      <c r="F50" s="16" t="inlineStr">
        <is>
          <t>IP绑定</t>
        </is>
      </c>
      <c r="G50" s="17" t="inlineStr">
        <is>
          <t xml:space="preserve"> 提供IP地址与组织层级绑定关系建立技术服务</t>
        </is>
      </c>
      <c r="H50" s="18" t="inlineStr">
        <is>
          <t>EI</t>
        </is>
      </c>
      <c r="I50" s="18">
        <f>IF(H50="ILF",10,IF(H50="EIF",7,IF(H50="EI",4,IF(H50="EO",5,IF(H50="EQ",4,"")))))</f>
        <v/>
      </c>
      <c r="J50" s="18" t="inlineStr">
        <is>
          <t>中</t>
        </is>
      </c>
      <c r="K50" s="18">
        <f>IF(J50="高",0.33,IF(J50="中",0.67,IF(J50="低",1,"")))</f>
        <v/>
      </c>
      <c r="L50" s="18" t="inlineStr">
        <is>
          <t>新增</t>
        </is>
      </c>
      <c r="M50" s="18">
        <f>IF(L50="新增",1,IF(L50="修改",0.8,IF(L50="删除",0.2,"")))</f>
        <v/>
      </c>
      <c r="N50" s="18">
        <f>I50*K50*M50</f>
        <v/>
      </c>
    </row>
    <row r="51" ht="19" customHeight="1" s="1">
      <c r="B51" s="16" t="n">
        <v>46</v>
      </c>
      <c r="C51" s="16" t="inlineStr">
        <is>
          <t>时序数据采集增强中间件与基础平台服务</t>
        </is>
      </c>
      <c r="D51" s="16" t="inlineStr">
        <is>
          <t>生产单元建模</t>
        </is>
      </c>
      <c r="E51" s="16" t="inlineStr">
        <is>
          <t>标识绑定</t>
        </is>
      </c>
      <c r="F51" s="16" t="inlineStr">
        <is>
          <t>台账绑定</t>
        </is>
      </c>
      <c r="G51" s="17" t="inlineStr">
        <is>
          <t xml:space="preserve"> 提供资产台账信息与设备绑定关系建立技术服务</t>
        </is>
      </c>
      <c r="H51" s="18" t="inlineStr">
        <is>
          <t>EI</t>
        </is>
      </c>
      <c r="I51" s="18">
        <f>IF(H51="ILF",10,IF(H51="EIF",7,IF(H51="EI",4,IF(H51="EO",5,IF(H51="EQ",4,"")))))</f>
        <v/>
      </c>
      <c r="J51" s="18" t="inlineStr">
        <is>
          <t>中</t>
        </is>
      </c>
      <c r="K51" s="18">
        <f>IF(J51="高",0.33,IF(J51="中",0.67,IF(J51="低",1,"")))</f>
        <v/>
      </c>
      <c r="L51" s="18" t="inlineStr">
        <is>
          <t>新增</t>
        </is>
      </c>
      <c r="M51" s="18">
        <f>IF(L51="新增",1,IF(L51="修改",0.8,IF(L51="删除",0.2,"")))</f>
        <v/>
      </c>
      <c r="N51" s="18">
        <f>I51*K51*M51</f>
        <v/>
      </c>
    </row>
    <row r="52" ht="19" customHeight="1" s="1">
      <c r="B52" s="16" t="n">
        <v>47</v>
      </c>
      <c r="C52" s="16" t="inlineStr">
        <is>
          <t>时序数据采集增强中间件与基础平台服务</t>
        </is>
      </c>
      <c r="D52" s="16" t="inlineStr">
        <is>
          <t>生产单元建模</t>
        </is>
      </c>
      <c r="E52" s="16" t="inlineStr">
        <is>
          <t>标识绑定</t>
        </is>
      </c>
      <c r="F52" s="16" t="inlineStr">
        <is>
          <t>位置绑定</t>
        </is>
      </c>
      <c r="G52" s="17" t="inlineStr">
        <is>
          <t xml:space="preserve"> 提供设备地理位置与层级绑定关系建立技术服务</t>
        </is>
      </c>
      <c r="H52" s="18" t="inlineStr">
        <is>
          <t>EI</t>
        </is>
      </c>
      <c r="I52" s="18">
        <f>IF(H52="ILF",10,IF(H52="EIF",7,IF(H52="EI",4,IF(H52="EO",5,IF(H52="EQ",4,"")))))</f>
        <v/>
      </c>
      <c r="J52" s="18" t="inlineStr">
        <is>
          <t>中</t>
        </is>
      </c>
      <c r="K52" s="18">
        <f>IF(J52="高",0.33,IF(J52="中",0.67,IF(J52="低",1,"")))</f>
        <v/>
      </c>
      <c r="L52" s="18" t="inlineStr">
        <is>
          <t>新增</t>
        </is>
      </c>
      <c r="M52" s="18">
        <f>IF(L52="新增",1,IF(L52="修改",0.8,IF(L52="删除",0.2,"")))</f>
        <v/>
      </c>
      <c r="N52" s="18">
        <f>I52*K52*M52</f>
        <v/>
      </c>
    </row>
    <row r="53" ht="19" customHeight="1" s="1">
      <c r="B53" s="16" t="n">
        <v>48</v>
      </c>
      <c r="C53" s="16" t="inlineStr">
        <is>
          <t>时序数据采集增强中间件与基础平台服务</t>
        </is>
      </c>
      <c r="D53" s="16" t="inlineStr">
        <is>
          <t>生产单元建模</t>
        </is>
      </c>
      <c r="E53" s="16" t="inlineStr">
        <is>
          <t>标识绑定</t>
        </is>
      </c>
      <c r="F53" s="16" t="inlineStr">
        <is>
          <t>岗位绑定</t>
        </is>
      </c>
      <c r="G53" s="17" t="inlineStr">
        <is>
          <t xml:space="preserve"> 提供人员岗位与组织层级绑定关系建立技术服务</t>
        </is>
      </c>
      <c r="H53" s="18" t="inlineStr">
        <is>
          <t>EI</t>
        </is>
      </c>
      <c r="I53" s="18">
        <f>IF(H53="ILF",10,IF(H53="EIF",7,IF(H53="EI",4,IF(H53="EO",5,IF(H53="EQ",4,"")))))</f>
        <v/>
      </c>
      <c r="J53" s="18" t="inlineStr">
        <is>
          <t>中</t>
        </is>
      </c>
      <c r="K53" s="18">
        <f>IF(J53="高",0.33,IF(J53="中",0.67,IF(J53="低",1,"")))</f>
        <v/>
      </c>
      <c r="L53" s="18" t="inlineStr">
        <is>
          <t>新增</t>
        </is>
      </c>
      <c r="M53" s="18">
        <f>IF(L53="新增",1,IF(L53="修改",0.8,IF(L53="删除",0.2,"")))</f>
        <v/>
      </c>
      <c r="N53" s="18">
        <f>I53*K53*M53</f>
        <v/>
      </c>
    </row>
    <row r="54" ht="19" customHeight="1" s="1">
      <c r="B54" s="16" t="n">
        <v>49</v>
      </c>
      <c r="C54" s="16" t="inlineStr">
        <is>
          <t>时序数据采集增强中间件与基础平台服务</t>
        </is>
      </c>
      <c r="D54" s="16" t="inlineStr">
        <is>
          <t>生产单元建模</t>
        </is>
      </c>
      <c r="E54" s="16" t="inlineStr">
        <is>
          <t>标识绑定</t>
        </is>
      </c>
      <c r="F54" s="16" t="inlineStr">
        <is>
          <t>权限绑定</t>
        </is>
      </c>
      <c r="G54" s="17" t="inlineStr">
        <is>
          <t xml:space="preserve"> 提供权限范围与组织层级绑定关系建立技术服务</t>
        </is>
      </c>
      <c r="H54" s="18" t="inlineStr">
        <is>
          <t>EI</t>
        </is>
      </c>
      <c r="I54" s="18">
        <f>IF(H54="ILF",10,IF(H54="EIF",7,IF(H54="EI",4,IF(H54="EO",5,IF(H54="EQ",4,"")))))</f>
        <v/>
      </c>
      <c r="J54" s="18" t="inlineStr">
        <is>
          <t>中</t>
        </is>
      </c>
      <c r="K54" s="18">
        <f>IF(J54="高",0.33,IF(J54="中",0.67,IF(J54="低",1,"")))</f>
        <v/>
      </c>
      <c r="L54" s="18" t="inlineStr">
        <is>
          <t>新增</t>
        </is>
      </c>
      <c r="M54" s="18">
        <f>IF(L54="新增",1,IF(L54="修改",0.8,IF(L54="删除",0.2,"")))</f>
        <v/>
      </c>
      <c r="N54" s="18">
        <f>I54*K54*M54</f>
        <v/>
      </c>
    </row>
    <row r="55" ht="19" customHeight="1" s="1">
      <c r="B55" s="16" t="n">
        <v>50</v>
      </c>
      <c r="C55" s="16" t="inlineStr">
        <is>
          <t>时序数据采集增强中间件与基础平台服务</t>
        </is>
      </c>
      <c r="D55" s="16" t="inlineStr">
        <is>
          <t>生产单元建模</t>
        </is>
      </c>
      <c r="E55" s="16" t="inlineStr">
        <is>
          <t>标识绑定</t>
        </is>
      </c>
      <c r="F55" s="16" t="inlineStr">
        <is>
          <t>策略绑定</t>
        </is>
      </c>
      <c r="G55" s="17" t="inlineStr">
        <is>
          <t xml:space="preserve"> 提供采集策略与组织层级绑定关系建立技术服务</t>
        </is>
      </c>
      <c r="H55" s="18" t="inlineStr">
        <is>
          <t>EI</t>
        </is>
      </c>
      <c r="I55" s="18">
        <f>IF(H55="ILF",10,IF(H55="EIF",7,IF(H55="EI",4,IF(H55="EO",5,IF(H55="EQ",4,"")))))</f>
        <v/>
      </c>
      <c r="J55" s="18" t="inlineStr">
        <is>
          <t>中</t>
        </is>
      </c>
      <c r="K55" s="18">
        <f>IF(J55="高",0.33,IF(J55="中",0.67,IF(J55="低",1,"")))</f>
        <v/>
      </c>
      <c r="L55" s="18" t="inlineStr">
        <is>
          <t>新增</t>
        </is>
      </c>
      <c r="M55" s="18">
        <f>IF(L55="新增",1,IF(L55="修改",0.8,IF(L55="删除",0.2,"")))</f>
        <v/>
      </c>
      <c r="N55" s="18">
        <f>I55*K55*M55</f>
        <v/>
      </c>
    </row>
    <row r="56" ht="19" customHeight="1" s="1">
      <c r="B56" s="16" t="n">
        <v>51</v>
      </c>
      <c r="C56" s="16" t="inlineStr">
        <is>
          <t>时序数据采集增强中间件与基础平台服务</t>
        </is>
      </c>
      <c r="D56" s="16" t="inlineStr">
        <is>
          <t>安全审计追溯</t>
        </is>
      </c>
      <c r="E56" s="16" t="inlineStr">
        <is>
          <t>全链路追踪</t>
        </is>
      </c>
      <c r="F56" s="16" t="inlineStr">
        <is>
          <t>采集链路</t>
        </is>
      </c>
      <c r="G56" s="17" t="inlineStr">
        <is>
          <t xml:space="preserve"> 提供从设备采集到入库的完整链路追踪技术服务</t>
        </is>
      </c>
      <c r="H56" s="18" t="inlineStr">
        <is>
          <t>EI</t>
        </is>
      </c>
      <c r="I56" s="18">
        <f>IF(H56="ILF",10,IF(H56="EIF",7,IF(H56="EI",4,IF(H56="EO",5,IF(H56="EQ",4,"")))))</f>
        <v/>
      </c>
      <c r="J56" s="18" t="inlineStr">
        <is>
          <t>中</t>
        </is>
      </c>
      <c r="K56" s="18">
        <f>IF(J56="高",0.33,IF(J56="中",0.67,IF(J56="低",1,"")))</f>
        <v/>
      </c>
      <c r="L56" s="18" t="inlineStr">
        <is>
          <t>新增</t>
        </is>
      </c>
      <c r="M56" s="18">
        <f>IF(L56="新增",1,IF(L56="修改",0.8,IF(L56="删除",0.2,"")))</f>
        <v/>
      </c>
      <c r="N56" s="18">
        <f>I56*K56*M56</f>
        <v/>
      </c>
    </row>
    <row r="57" ht="19" customHeight="1" s="1">
      <c r="B57" s="16" t="n">
        <v>52</v>
      </c>
      <c r="C57" s="16" t="inlineStr">
        <is>
          <t>时序数据采集增强中间件与基础平台服务</t>
        </is>
      </c>
      <c r="D57" s="16" t="inlineStr">
        <is>
          <t>安全审计追溯</t>
        </is>
      </c>
      <c r="E57" s="16" t="inlineStr">
        <is>
          <t>全链路追踪</t>
        </is>
      </c>
      <c r="F57" s="16" t="inlineStr">
        <is>
          <t>协议解析追踪</t>
        </is>
      </c>
      <c r="G57" s="17" t="inlineStr">
        <is>
          <t xml:space="preserve"> 提供协议解析各环节的链路追踪技术服务</t>
        </is>
      </c>
      <c r="H57" s="18" t="inlineStr">
        <is>
          <t>EI</t>
        </is>
      </c>
      <c r="I57" s="18">
        <f>IF(H57="ILF",10,IF(H57="EIF",7,IF(H57="EI",4,IF(H57="EO",5,IF(H57="EQ",4,"")))))</f>
        <v/>
      </c>
      <c r="J57" s="18" t="inlineStr">
        <is>
          <t>中</t>
        </is>
      </c>
      <c r="K57" s="18">
        <f>IF(J57="高",0.33,IF(J57="中",0.67,IF(J57="低",1,"")))</f>
        <v/>
      </c>
      <c r="L57" s="18" t="inlineStr">
        <is>
          <t>新增</t>
        </is>
      </c>
      <c r="M57" s="18">
        <f>IF(L57="新增",1,IF(L57="修改",0.8,IF(L57="删除",0.2,"")))</f>
        <v/>
      </c>
      <c r="N57" s="18">
        <f>I57*K57*M57</f>
        <v/>
      </c>
    </row>
    <row r="58" ht="19" customHeight="1" s="1">
      <c r="B58" s="16" t="n">
        <v>53</v>
      </c>
      <c r="C58" s="16" t="inlineStr">
        <is>
          <t>时序数据采集增强中间件与基础平台服务</t>
        </is>
      </c>
      <c r="D58" s="16" t="inlineStr">
        <is>
          <t>安全审计追溯</t>
        </is>
      </c>
      <c r="E58" s="16" t="inlineStr">
        <is>
          <t>全链路追踪</t>
        </is>
      </c>
      <c r="F58" s="16" t="inlineStr">
        <is>
          <t>物模型追踪</t>
        </is>
      </c>
      <c r="G58" s="17" t="inlineStr">
        <is>
          <t xml:space="preserve"> 提供物模型转换环节的链路追踪技术服务</t>
        </is>
      </c>
      <c r="H58" s="18" t="inlineStr">
        <is>
          <t>EI</t>
        </is>
      </c>
      <c r="I58" s="18">
        <f>IF(H58="ILF",10,IF(H58="EIF",7,IF(H58="EI",4,IF(H58="EO",5,IF(H58="EQ",4,"")))))</f>
        <v/>
      </c>
      <c r="J58" s="18" t="inlineStr">
        <is>
          <t>中</t>
        </is>
      </c>
      <c r="K58" s="18">
        <f>IF(J58="高",0.33,IF(J58="中",0.67,IF(J58="低",1,"")))</f>
        <v/>
      </c>
      <c r="L58" s="18" t="inlineStr">
        <is>
          <t>新增</t>
        </is>
      </c>
      <c r="M58" s="18">
        <f>IF(L58="新增",1,IF(L58="修改",0.8,IF(L58="删除",0.2,"")))</f>
        <v/>
      </c>
      <c r="N58" s="18">
        <f>I58*K58*M58</f>
        <v/>
      </c>
    </row>
    <row r="59" ht="19" customHeight="1" s="1">
      <c r="B59" s="16" t="n">
        <v>54</v>
      </c>
      <c r="C59" s="16" t="inlineStr">
        <is>
          <t>时序数据采集增强中间件与基础平台服务</t>
        </is>
      </c>
      <c r="D59" s="16" t="inlineStr">
        <is>
          <t>安全审计追溯</t>
        </is>
      </c>
      <c r="E59" s="16" t="inlineStr">
        <is>
          <t>全链路追踪</t>
        </is>
      </c>
      <c r="F59" s="16" t="inlineStr">
        <is>
          <t>流式计算追踪</t>
        </is>
      </c>
      <c r="G59" s="17" t="inlineStr">
        <is>
          <t xml:space="preserve"> 提供流式计算各环节处理的链路追踪技术服务</t>
        </is>
      </c>
      <c r="H59" s="18" t="inlineStr">
        <is>
          <t>EI</t>
        </is>
      </c>
      <c r="I59" s="18">
        <f>IF(H59="ILF",10,IF(H59="EIF",7,IF(H59="EI",4,IF(H59="EO",5,IF(H59="EQ",4,"")))))</f>
        <v/>
      </c>
      <c r="J59" s="18" t="inlineStr">
        <is>
          <t>中</t>
        </is>
      </c>
      <c r="K59" s="18">
        <f>IF(J59="高",0.33,IF(J59="中",0.67,IF(J59="低",1,"")))</f>
        <v/>
      </c>
      <c r="L59" s="18" t="inlineStr">
        <is>
          <t>新增</t>
        </is>
      </c>
      <c r="M59" s="18">
        <f>IF(L59="新增",1,IF(L59="修改",0.8,IF(L59="删除",0.2,"")))</f>
        <v/>
      </c>
      <c r="N59" s="18">
        <f>I59*K59*M59</f>
        <v/>
      </c>
    </row>
    <row r="60" ht="19" customHeight="1" s="1">
      <c r="B60" s="16" t="n">
        <v>55</v>
      </c>
      <c r="C60" s="16" t="inlineStr">
        <is>
          <t>时序数据采集增强中间件与基础平台服务</t>
        </is>
      </c>
      <c r="D60" s="16" t="inlineStr">
        <is>
          <t>安全审计追溯</t>
        </is>
      </c>
      <c r="E60" s="16" t="inlineStr">
        <is>
          <t>全链路追踪</t>
        </is>
      </c>
      <c r="F60" s="16" t="inlineStr">
        <is>
          <t>告警追踪</t>
        </is>
      </c>
      <c r="G60" s="17" t="inlineStr">
        <is>
          <t xml:space="preserve"> 提供告警触发的完整链路追踪技术服务</t>
        </is>
      </c>
      <c r="H60" s="18" t="inlineStr">
        <is>
          <t>EI</t>
        </is>
      </c>
      <c r="I60" s="18">
        <f>IF(H60="ILF",10,IF(H60="EIF",7,IF(H60="EI",4,IF(H60="EO",5,IF(H60="EQ",4,"")))))</f>
        <v/>
      </c>
      <c r="J60" s="18" t="inlineStr">
        <is>
          <t>中</t>
        </is>
      </c>
      <c r="K60" s="18">
        <f>IF(J60="高",0.33,IF(J60="中",0.67,IF(J60="低",1,"")))</f>
        <v/>
      </c>
      <c r="L60" s="18" t="inlineStr">
        <is>
          <t>新增</t>
        </is>
      </c>
      <c r="M60" s="18">
        <f>IF(L60="新增",1,IF(L60="修改",0.8,IF(L60="删除",0.2,"")))</f>
        <v/>
      </c>
      <c r="N60" s="18">
        <f>I60*K60*M60</f>
        <v/>
      </c>
    </row>
    <row r="61" ht="19" customHeight="1" s="1">
      <c r="B61" s="16" t="n">
        <v>56</v>
      </c>
      <c r="C61" s="16" t="inlineStr">
        <is>
          <t>时序数据采集增强中间件与基础平台服务</t>
        </is>
      </c>
      <c r="D61" s="16" t="inlineStr">
        <is>
          <t>安全审计追溯</t>
        </is>
      </c>
      <c r="E61" s="16" t="inlineStr">
        <is>
          <t>全链路追踪</t>
        </is>
      </c>
      <c r="F61" s="16" t="inlineStr">
        <is>
          <t>工单追踪</t>
        </is>
      </c>
      <c r="G61" s="17" t="inlineStr">
        <is>
          <t xml:space="preserve"> 提供工单处置各环节的链路追踪技术服务</t>
        </is>
      </c>
      <c r="H61" s="18" t="inlineStr">
        <is>
          <t>EI</t>
        </is>
      </c>
      <c r="I61" s="18">
        <f>IF(H61="ILF",10,IF(H61="EIF",7,IF(H61="EI",4,IF(H61="EO",5,IF(H61="EQ",4,"")))))</f>
        <v/>
      </c>
      <c r="J61" s="18" t="inlineStr">
        <is>
          <t>中</t>
        </is>
      </c>
      <c r="K61" s="18">
        <f>IF(J61="高",0.33,IF(J61="中",0.67,IF(J61="低",1,"")))</f>
        <v/>
      </c>
      <c r="L61" s="18" t="inlineStr">
        <is>
          <t>新增</t>
        </is>
      </c>
      <c r="M61" s="18">
        <f>IF(L61="新增",1,IF(L61="修改",0.8,IF(L61="删除",0.2,"")))</f>
        <v/>
      </c>
      <c r="N61" s="18">
        <f>I61*K61*M61</f>
        <v/>
      </c>
    </row>
    <row r="62" ht="19" customHeight="1" s="1">
      <c r="B62" s="16" t="n">
        <v>57</v>
      </c>
      <c r="C62" s="16" t="inlineStr">
        <is>
          <t>时序数据采集增强中间件与基础平台服务</t>
        </is>
      </c>
      <c r="D62" s="16" t="inlineStr">
        <is>
          <t>安全审计追溯</t>
        </is>
      </c>
      <c r="E62" s="16" t="inlineStr">
        <is>
          <t>全链路追踪</t>
        </is>
      </c>
      <c r="F62" s="16" t="inlineStr">
        <is>
          <t>存储追踪</t>
        </is>
      </c>
      <c r="G62" s="17" t="inlineStr">
        <is>
          <t xml:space="preserve"> 提供数据存储写入的链路追踪技术服务</t>
        </is>
      </c>
      <c r="H62" s="18" t="inlineStr">
        <is>
          <t>EI</t>
        </is>
      </c>
      <c r="I62" s="18">
        <f>IF(H62="ILF",10,IF(H62="EIF",7,IF(H62="EI",4,IF(H62="EO",5,IF(H62="EQ",4,"")))))</f>
        <v/>
      </c>
      <c r="J62" s="18" t="inlineStr">
        <is>
          <t>中</t>
        </is>
      </c>
      <c r="K62" s="18">
        <f>IF(J62="高",0.33,IF(J62="中",0.67,IF(J62="低",1,"")))</f>
        <v/>
      </c>
      <c r="L62" s="18" t="inlineStr">
        <is>
          <t>新增</t>
        </is>
      </c>
      <c r="M62" s="18">
        <f>IF(L62="新增",1,IF(L62="修改",0.8,IF(L62="删除",0.2,"")))</f>
        <v/>
      </c>
      <c r="N62" s="18">
        <f>I62*K62*M62</f>
        <v/>
      </c>
    </row>
    <row r="63" ht="19" customHeight="1" s="1">
      <c r="B63" s="16" t="n">
        <v>58</v>
      </c>
      <c r="C63" s="16" t="inlineStr">
        <is>
          <t>时序数据采集增强中间件与基础平台服务</t>
        </is>
      </c>
      <c r="D63" s="16" t="inlineStr">
        <is>
          <t>安全审计追溯</t>
        </is>
      </c>
      <c r="E63" s="16" t="inlineStr">
        <is>
          <t>全链路追踪</t>
        </is>
      </c>
      <c r="F63" s="16" t="inlineStr">
        <is>
          <t>API调用追踪</t>
        </is>
      </c>
      <c r="G63" s="17" t="inlineStr">
        <is>
          <t xml:space="preserve"> 提供API调用全过程的链路追踪技术服务</t>
        </is>
      </c>
      <c r="H63" s="18" t="inlineStr">
        <is>
          <t>EI</t>
        </is>
      </c>
      <c r="I63" s="18">
        <f>IF(H63="ILF",10,IF(H63="EIF",7,IF(H63="EI",4,IF(H63="EO",5,IF(H63="EQ",4,"")))))</f>
        <v/>
      </c>
      <c r="J63" s="18" t="inlineStr">
        <is>
          <t>中</t>
        </is>
      </c>
      <c r="K63" s="18">
        <f>IF(J63="高",0.33,IF(J63="中",0.67,IF(J63="低",1,"")))</f>
        <v/>
      </c>
      <c r="L63" s="18" t="inlineStr">
        <is>
          <t>新增</t>
        </is>
      </c>
      <c r="M63" s="18">
        <f>IF(L63="新增",1,IF(L63="修改",0.8,IF(L63="删除",0.2,"")))</f>
        <v/>
      </c>
      <c r="N63" s="18">
        <f>I63*K63*M63</f>
        <v/>
      </c>
    </row>
    <row r="64" ht="19" customHeight="1" s="1">
      <c r="B64" s="16" t="n">
        <v>59</v>
      </c>
      <c r="C64" s="16" t="inlineStr">
        <is>
          <t>时序数据采集增强中间件与基础平台服务</t>
        </is>
      </c>
      <c r="D64" s="16" t="inlineStr">
        <is>
          <t>安全审计追溯</t>
        </is>
      </c>
      <c r="E64" s="16" t="inlineStr">
        <is>
          <t>全链路追踪</t>
        </is>
      </c>
      <c r="F64" s="16" t="inlineStr">
        <is>
          <t>MQTT追踪</t>
        </is>
      </c>
      <c r="G64" s="17" t="inlineStr">
        <is>
          <t xml:space="preserve"> 提供MQTT消息推送链路追踪技术服务</t>
        </is>
      </c>
      <c r="H64" s="18" t="inlineStr">
        <is>
          <t>EI</t>
        </is>
      </c>
      <c r="I64" s="18">
        <f>IF(H64="ILF",10,IF(H64="EIF",7,IF(H64="EI",4,IF(H64="EO",5,IF(H64="EQ",4,"")))))</f>
        <v/>
      </c>
      <c r="J64" s="18" t="inlineStr">
        <is>
          <t>中</t>
        </is>
      </c>
      <c r="K64" s="18">
        <f>IF(J64="高",0.33,IF(J64="中",0.67,IF(J64="低",1,"")))</f>
        <v/>
      </c>
      <c r="L64" s="18" t="inlineStr">
        <is>
          <t>新增</t>
        </is>
      </c>
      <c r="M64" s="18">
        <f>IF(L64="新增",1,IF(L64="修改",0.8,IF(L64="删除",0.2,"")))</f>
        <v/>
      </c>
      <c r="N64" s="18">
        <f>I64*K64*M64</f>
        <v/>
      </c>
    </row>
    <row r="65" ht="19" customHeight="1" s="1">
      <c r="B65" s="16" t="n">
        <v>60</v>
      </c>
      <c r="C65" s="16" t="inlineStr">
        <is>
          <t>时序数据采集增强中间件与基础平台服务</t>
        </is>
      </c>
      <c r="D65" s="16" t="inlineStr">
        <is>
          <t>安全审计追溯</t>
        </is>
      </c>
      <c r="E65" s="16" t="inlineStr">
        <is>
          <t>全链路追踪</t>
        </is>
      </c>
      <c r="F65" s="16" t="inlineStr">
        <is>
          <t>跨系统追踪</t>
        </is>
      </c>
      <c r="G65" s="17" t="inlineStr">
        <is>
          <t xml:space="preserve"> 提供跨系统数据调用的链路追踪技术服务</t>
        </is>
      </c>
      <c r="H65" s="18" t="inlineStr">
        <is>
          <t>EI</t>
        </is>
      </c>
      <c r="I65" s="18">
        <f>IF(H65="ILF",10,IF(H65="EIF",7,IF(H65="EI",4,IF(H65="EO",5,IF(H65="EQ",4,"")))))</f>
        <v/>
      </c>
      <c r="J65" s="18" t="inlineStr">
        <is>
          <t>中</t>
        </is>
      </c>
      <c r="K65" s="18">
        <f>IF(J65="高",0.33,IF(J65="中",0.67,IF(J65="低",1,"")))</f>
        <v/>
      </c>
      <c r="L65" s="18" t="inlineStr">
        <is>
          <t>新增</t>
        </is>
      </c>
      <c r="M65" s="18">
        <f>IF(L65="新增",1,IF(L65="修改",0.8,IF(L65="删除",0.2,"")))</f>
        <v/>
      </c>
      <c r="N65" s="18">
        <f>I65*K65*M65</f>
        <v/>
      </c>
    </row>
    <row r="66" ht="19" customHeight="1" s="1">
      <c r="B66" s="16" t="n">
        <v>61</v>
      </c>
      <c r="C66" s="16" t="inlineStr">
        <is>
          <t>时序数据采集增强中间件与基础平台服务</t>
        </is>
      </c>
      <c r="D66" s="16" t="inlineStr">
        <is>
          <t>安全审计追溯</t>
        </is>
      </c>
      <c r="E66" s="16" t="inlineStr">
        <is>
          <t>RBAC权限</t>
        </is>
      </c>
      <c r="F66" s="16" t="inlineStr">
        <is>
          <t>角色管理</t>
        </is>
      </c>
      <c r="G66" s="17" t="inlineStr">
        <is>
          <t xml:space="preserve"> 提供用户角色创建/修改/删除的权限管控技术服务</t>
        </is>
      </c>
      <c r="H66" s="18" t="inlineStr">
        <is>
          <t>EI</t>
        </is>
      </c>
      <c r="I66" s="18">
        <f>IF(H66="ILF",10,IF(H66="EIF",7,IF(H66="EI",4,IF(H66="EO",5,IF(H66="EQ",4,"")))))</f>
        <v/>
      </c>
      <c r="J66" s="18" t="inlineStr">
        <is>
          <t>中</t>
        </is>
      </c>
      <c r="K66" s="18">
        <f>IF(J66="高",0.33,IF(J66="中",0.67,IF(J66="低",1,"")))</f>
        <v/>
      </c>
      <c r="L66" s="18" t="inlineStr">
        <is>
          <t>新增</t>
        </is>
      </c>
      <c r="M66" s="18">
        <f>IF(L66="新增",1,IF(L66="修改",0.8,IF(L66="删除",0.2,"")))</f>
        <v/>
      </c>
      <c r="N66" s="18">
        <f>I66*K66*M66</f>
        <v/>
      </c>
    </row>
    <row r="67" ht="19" customHeight="1" s="1">
      <c r="B67" s="16" t="n">
        <v>62</v>
      </c>
      <c r="C67" s="16" t="inlineStr">
        <is>
          <t>时序数据采集增强中间件与基础平台服务</t>
        </is>
      </c>
      <c r="D67" s="16" t="inlineStr">
        <is>
          <t>安全审计追溯</t>
        </is>
      </c>
      <c r="E67" s="16" t="inlineStr">
        <is>
          <t>RBAC权限</t>
        </is>
      </c>
      <c r="F67" s="16" t="inlineStr">
        <is>
          <t>权限分配</t>
        </is>
      </c>
      <c r="G67" s="17" t="inlineStr">
        <is>
          <t xml:space="preserve"> 提供按角色分配系统服务和数据权限的技术服务</t>
        </is>
      </c>
      <c r="H67" s="18" t="inlineStr">
        <is>
          <t>EI</t>
        </is>
      </c>
      <c r="I67" s="18">
        <f>IF(H67="ILF",10,IF(H67="EIF",7,IF(H67="EI",4,IF(H67="EO",5,IF(H67="EQ",4,"")))))</f>
        <v/>
      </c>
      <c r="J67" s="18" t="inlineStr">
        <is>
          <t>中</t>
        </is>
      </c>
      <c r="K67" s="18">
        <f>IF(J67="高",0.33,IF(J67="中",0.67,IF(J67="低",1,"")))</f>
        <v/>
      </c>
      <c r="L67" s="18" t="inlineStr">
        <is>
          <t>新增</t>
        </is>
      </c>
      <c r="M67" s="18">
        <f>IF(L67="新增",1,IF(L67="修改",0.8,IF(L67="删除",0.2,"")))</f>
        <v/>
      </c>
      <c r="N67" s="18">
        <f>I67*K67*M67</f>
        <v/>
      </c>
    </row>
    <row r="68" ht="19" customHeight="1" s="1">
      <c r="B68" s="16" t="n">
        <v>63</v>
      </c>
      <c r="C68" s="16" t="inlineStr">
        <is>
          <t>时序数据采集增强中间件与基础平台服务</t>
        </is>
      </c>
      <c r="D68" s="16" t="inlineStr">
        <is>
          <t>安全审计追溯</t>
        </is>
      </c>
      <c r="E68" s="16" t="inlineStr">
        <is>
          <t>RBAC权限</t>
        </is>
      </c>
      <c r="F68" s="16" t="inlineStr">
        <is>
          <t>变更管理</t>
        </is>
      </c>
      <c r="G68" s="17" t="inlineStr">
        <is>
          <t xml:space="preserve"> 提供权限回收和变更管理的技术服务</t>
        </is>
      </c>
      <c r="H68" s="18" t="inlineStr">
        <is>
          <t>EI</t>
        </is>
      </c>
      <c r="I68" s="18">
        <f>IF(H68="ILF",10,IF(H68="EIF",7,IF(H68="EI",4,IF(H68="EO",5,IF(H68="EQ",4,"")))))</f>
        <v/>
      </c>
      <c r="J68" s="18" t="inlineStr">
        <is>
          <t>中</t>
        </is>
      </c>
      <c r="K68" s="18">
        <f>IF(J68="高",0.33,IF(J68="中",0.67,IF(J68="低",1,"")))</f>
        <v/>
      </c>
      <c r="L68" s="18" t="inlineStr">
        <is>
          <t>新增</t>
        </is>
      </c>
      <c r="M68" s="18">
        <f>IF(L68="新增",1,IF(L68="修改",0.8,IF(L68="删除",0.2,"")))</f>
        <v/>
      </c>
      <c r="N68" s="18">
        <f>I68*K68*M68</f>
        <v/>
      </c>
    </row>
    <row r="69" ht="19" customHeight="1" s="1">
      <c r="B69" s="16" t="n">
        <v>64</v>
      </c>
      <c r="C69" s="16" t="inlineStr">
        <is>
          <t>时序数据采集增强中间件与基础平台服务</t>
        </is>
      </c>
      <c r="D69" s="16" t="inlineStr">
        <is>
          <t>安全审计追溯</t>
        </is>
      </c>
      <c r="E69" s="16" t="inlineStr">
        <is>
          <t>RBAC权限</t>
        </is>
      </c>
      <c r="F69" s="16" t="inlineStr">
        <is>
          <t>临时授权</t>
        </is>
      </c>
      <c r="G69" s="17" t="inlineStr">
        <is>
          <t xml:space="preserve"> 提供临时权限授予和到期自动回收的技术服务</t>
        </is>
      </c>
      <c r="H69" s="18" t="inlineStr">
        <is>
          <t>EI</t>
        </is>
      </c>
      <c r="I69" s="18">
        <f>IF(H69="ILF",10,IF(H69="EIF",7,IF(H69="EI",4,IF(H69="EO",5,IF(H69="EQ",4,"")))))</f>
        <v/>
      </c>
      <c r="J69" s="18" t="inlineStr">
        <is>
          <t>中</t>
        </is>
      </c>
      <c r="K69" s="18">
        <f>IF(J69="高",0.33,IF(J69="中",0.67,IF(J69="低",1,"")))</f>
        <v/>
      </c>
      <c r="L69" s="18" t="inlineStr">
        <is>
          <t>新增</t>
        </is>
      </c>
      <c r="M69" s="18">
        <f>IF(L69="新增",1,IF(L69="修改",0.8,IF(L69="删除",0.2,"")))</f>
        <v/>
      </c>
      <c r="N69" s="18">
        <f>I69*K69*M69</f>
        <v/>
      </c>
    </row>
    <row r="70" ht="19" customHeight="1" s="1">
      <c r="B70" s="16" t="n">
        <v>65</v>
      </c>
      <c r="C70" s="16" t="inlineStr">
        <is>
          <t>时序数据采集增强中间件与基础平台服务</t>
        </is>
      </c>
      <c r="D70" s="16" t="inlineStr">
        <is>
          <t>安全审计追溯</t>
        </is>
      </c>
      <c r="E70" s="16" t="inlineStr">
        <is>
          <t>RBAC权限</t>
        </is>
      </c>
      <c r="F70" s="16" t="inlineStr">
        <is>
          <t>权限审计</t>
        </is>
      </c>
      <c r="G70" s="17" t="inlineStr">
        <is>
          <t xml:space="preserve"> 提供权限使用情况的审计服务技术服务</t>
        </is>
      </c>
      <c r="H70" s="18" t="inlineStr">
        <is>
          <t>EI</t>
        </is>
      </c>
      <c r="I70" s="18">
        <f>IF(H70="ILF",10,IF(H70="EIF",7,IF(H70="EI",4,IF(H70="EO",5,IF(H70="EQ",4,"")))))</f>
        <v/>
      </c>
      <c r="J70" s="18" t="inlineStr">
        <is>
          <t>中</t>
        </is>
      </c>
      <c r="K70" s="18">
        <f>IF(J70="高",0.33,IF(J70="中",0.67,IF(J70="低",1,"")))</f>
        <v/>
      </c>
      <c r="L70" s="18" t="inlineStr">
        <is>
          <t>新增</t>
        </is>
      </c>
      <c r="M70" s="18">
        <f>IF(L70="新增",1,IF(L70="修改",0.8,IF(L70="删除",0.2,"")))</f>
        <v/>
      </c>
      <c r="N70" s="18">
        <f>I70*K70*M70</f>
        <v/>
      </c>
    </row>
    <row r="71" ht="19" customHeight="1" s="1">
      <c r="B71" s="16" t="n">
        <v>66</v>
      </c>
      <c r="C71" s="16" t="inlineStr">
        <is>
          <t>时序数据采集增强中间件与基础平台服务</t>
        </is>
      </c>
      <c r="D71" s="16" t="inlineStr">
        <is>
          <t>安全审计追溯</t>
        </is>
      </c>
      <c r="E71" s="16" t="inlineStr">
        <is>
          <t>RBAC权限</t>
        </is>
      </c>
      <c r="F71" s="16" t="inlineStr">
        <is>
          <t>最小权限</t>
        </is>
      </c>
      <c r="G71" s="17" t="inlineStr">
        <is>
          <t xml:space="preserve"> 提供权限分配是否符合最小权限原则的审查技术服务</t>
        </is>
      </c>
      <c r="H71" s="18" t="inlineStr">
        <is>
          <t>EI</t>
        </is>
      </c>
      <c r="I71" s="18">
        <f>IF(H71="ILF",10,IF(H71="EIF",7,IF(H71="EI",4,IF(H71="EO",5,IF(H71="EQ",4,"")))))</f>
        <v/>
      </c>
      <c r="J71" s="18" t="inlineStr">
        <is>
          <t>中</t>
        </is>
      </c>
      <c r="K71" s="18">
        <f>IF(J71="高",0.33,IF(J71="中",0.67,IF(J71="低",1,"")))</f>
        <v/>
      </c>
      <c r="L71" s="18" t="inlineStr">
        <is>
          <t>新增</t>
        </is>
      </c>
      <c r="M71" s="18">
        <f>IF(L71="新增",1,IF(L71="修改",0.8,IF(L71="删除",0.2,"")))</f>
        <v/>
      </c>
      <c r="N71" s="18">
        <f>I71*K71*M71</f>
        <v/>
      </c>
    </row>
    <row r="72" ht="19" customHeight="1" s="1">
      <c r="B72" s="16" t="n">
        <v>67</v>
      </c>
      <c r="C72" s="16" t="inlineStr">
        <is>
          <t>时序数据采集增强中间件与基础平台服务</t>
        </is>
      </c>
      <c r="D72" s="16" t="inlineStr">
        <is>
          <t>安全审计追溯</t>
        </is>
      </c>
      <c r="E72" s="16" t="inlineStr">
        <is>
          <t>RBAC权限</t>
        </is>
      </c>
      <c r="F72" s="16" t="inlineStr">
        <is>
          <t>角色继承</t>
        </is>
      </c>
      <c r="G72" s="17" t="inlineStr">
        <is>
          <t xml:space="preserve"> 提供角色继承关系的管理技术服务</t>
        </is>
      </c>
      <c r="H72" s="18" t="inlineStr">
        <is>
          <t>EI</t>
        </is>
      </c>
      <c r="I72" s="18">
        <f>IF(H72="ILF",10,IF(H72="EIF",7,IF(H72="EI",4,IF(H72="EO",5,IF(H72="EQ",4,"")))))</f>
        <v/>
      </c>
      <c r="J72" s="18" t="inlineStr">
        <is>
          <t>中</t>
        </is>
      </c>
      <c r="K72" s="18">
        <f>IF(J72="高",0.33,IF(J72="中",0.67,IF(J72="低",1,"")))</f>
        <v/>
      </c>
      <c r="L72" s="18" t="inlineStr">
        <is>
          <t>新增</t>
        </is>
      </c>
      <c r="M72" s="18">
        <f>IF(L72="新增",1,IF(L72="修改",0.8,IF(L72="删除",0.2,"")))</f>
        <v/>
      </c>
      <c r="N72" s="18">
        <f>I72*K72*M72</f>
        <v/>
      </c>
    </row>
    <row r="73" ht="19" customHeight="1" s="1">
      <c r="B73" s="16" t="n">
        <v>68</v>
      </c>
      <c r="C73" s="16" t="inlineStr">
        <is>
          <t>时序数据采集增强中间件与基础平台服务</t>
        </is>
      </c>
      <c r="D73" s="16" t="inlineStr">
        <is>
          <t>安全审计追溯</t>
        </is>
      </c>
      <c r="E73" s="16" t="inlineStr">
        <is>
          <t>RBAC权限</t>
        </is>
      </c>
      <c r="F73" s="16" t="inlineStr">
        <is>
          <t>跨组织授权</t>
        </is>
      </c>
      <c r="G73" s="17" t="inlineStr">
        <is>
          <t xml:space="preserve"> 提供跨组织的权限授予和访问控制技术服务</t>
        </is>
      </c>
      <c r="H73" s="18" t="inlineStr">
        <is>
          <t>EI</t>
        </is>
      </c>
      <c r="I73" s="18">
        <f>IF(H73="ILF",10,IF(H73="EIF",7,IF(H73="EI",4,IF(H73="EO",5,IF(H73="EQ",4,"")))))</f>
        <v/>
      </c>
      <c r="J73" s="18" t="inlineStr">
        <is>
          <t>中</t>
        </is>
      </c>
      <c r="K73" s="18">
        <f>IF(J73="高",0.33,IF(J73="中",0.67,IF(J73="低",1,"")))</f>
        <v/>
      </c>
      <c r="L73" s="18" t="inlineStr">
        <is>
          <t>新增</t>
        </is>
      </c>
      <c r="M73" s="18">
        <f>IF(L73="新增",1,IF(L73="修改",0.8,IF(L73="删除",0.2,"")))</f>
        <v/>
      </c>
      <c r="N73" s="18">
        <f>I73*K73*M73</f>
        <v/>
      </c>
    </row>
    <row r="74" ht="19" customHeight="1" s="1">
      <c r="B74" s="16" t="n">
        <v>69</v>
      </c>
      <c r="C74" s="16" t="inlineStr">
        <is>
          <t>时序数据采集增强中间件与基础平台服务</t>
        </is>
      </c>
      <c r="D74" s="16" t="inlineStr">
        <is>
          <t>安全审计追溯</t>
        </is>
      </c>
      <c r="E74" s="16" t="inlineStr">
        <is>
          <t>RBAC权限</t>
        </is>
      </c>
      <c r="F74" s="16" t="inlineStr">
        <is>
          <t>数据权限</t>
        </is>
      </c>
      <c r="G74" s="17" t="inlineStr">
        <is>
          <t xml:space="preserve"> 提供数据表级细粒度权限控制技术服务</t>
        </is>
      </c>
      <c r="H74" s="18" t="inlineStr">
        <is>
          <t>EI</t>
        </is>
      </c>
      <c r="I74" s="18">
        <f>IF(H74="ILF",10,IF(H74="EIF",7,IF(H74="EI",4,IF(H74="EO",5,IF(H74="EQ",4,"")))))</f>
        <v/>
      </c>
      <c r="J74" s="18" t="inlineStr">
        <is>
          <t>中</t>
        </is>
      </c>
      <c r="K74" s="18">
        <f>IF(J74="高",0.33,IF(J74="中",0.67,IF(J74="低",1,"")))</f>
        <v/>
      </c>
      <c r="L74" s="18" t="inlineStr">
        <is>
          <t>新增</t>
        </is>
      </c>
      <c r="M74" s="18">
        <f>IF(L74="新增",1,IF(L74="修改",0.8,IF(L74="删除",0.2,"")))</f>
        <v/>
      </c>
      <c r="N74" s="18">
        <f>I74*K74*M74</f>
        <v/>
      </c>
    </row>
    <row r="75" ht="19" customHeight="1" s="1">
      <c r="B75" s="16" t="n">
        <v>70</v>
      </c>
      <c r="C75" s="16" t="inlineStr">
        <is>
          <t>时序数据采集增强中间件与基础平台服务</t>
        </is>
      </c>
      <c r="D75" s="16" t="inlineStr">
        <is>
          <t>安全审计追溯</t>
        </is>
      </c>
      <c r="E75" s="16" t="inlineStr">
        <is>
          <t>RBAC权限</t>
        </is>
      </c>
      <c r="F75" s="16" t="inlineStr">
        <is>
          <t>API权限</t>
        </is>
      </c>
      <c r="G75" s="17" t="inlineStr">
        <is>
          <t xml:space="preserve"> 提供API端点级权限控制技术服务</t>
        </is>
      </c>
      <c r="H75" s="18" t="inlineStr">
        <is>
          <t>EI</t>
        </is>
      </c>
      <c r="I75" s="18">
        <f>IF(H75="ILF",10,IF(H75="EIF",7,IF(H75="EI",4,IF(H75="EO",5,IF(H75="EQ",4,"")))))</f>
        <v/>
      </c>
      <c r="J75" s="18" t="inlineStr">
        <is>
          <t>中</t>
        </is>
      </c>
      <c r="K75" s="18">
        <f>IF(J75="高",0.33,IF(J75="中",0.67,IF(J75="低",1,"")))</f>
        <v/>
      </c>
      <c r="L75" s="18" t="inlineStr">
        <is>
          <t>新增</t>
        </is>
      </c>
      <c r="M75" s="18">
        <f>IF(L75="新增",1,IF(L75="修改",0.8,IF(L75="删除",0.2,"")))</f>
        <v/>
      </c>
      <c r="N75" s="18">
        <f>I75*K75*M75</f>
        <v/>
      </c>
    </row>
    <row r="76" ht="19" customHeight="1" s="1">
      <c r="B76" s="16" t="n">
        <v>71</v>
      </c>
      <c r="C76" s="16" t="inlineStr">
        <is>
          <t>时序数据采集增强中间件与基础平台服务</t>
        </is>
      </c>
      <c r="D76" s="16" t="inlineStr">
        <is>
          <t>安全审计追溯</t>
        </is>
      </c>
      <c r="E76" s="16" t="inlineStr">
        <is>
          <t>RBAC权限</t>
        </is>
      </c>
      <c r="F76" s="16" t="inlineStr">
        <is>
          <t>菜单权限</t>
        </is>
      </c>
      <c r="G76" s="17" t="inlineStr">
        <is>
          <t xml:space="preserve"> 提供系统菜单访问权限控制技术服务</t>
        </is>
      </c>
      <c r="H76" s="18" t="inlineStr">
        <is>
          <t>EI</t>
        </is>
      </c>
      <c r="I76" s="18">
        <f>IF(H76="ILF",10,IF(H76="EIF",7,IF(H76="EI",4,IF(H76="EO",5,IF(H76="EQ",4,"")))))</f>
        <v/>
      </c>
      <c r="J76" s="18" t="inlineStr">
        <is>
          <t>中</t>
        </is>
      </c>
      <c r="K76" s="18">
        <f>IF(J76="高",0.33,IF(J76="中",0.67,IF(J76="低",1,"")))</f>
        <v/>
      </c>
      <c r="L76" s="18" t="inlineStr">
        <is>
          <t>新增</t>
        </is>
      </c>
      <c r="M76" s="18">
        <f>IF(L76="新增",1,IF(L76="修改",0.8,IF(L76="删除",0.2,"")))</f>
        <v/>
      </c>
      <c r="N76" s="18">
        <f>I76*K76*M76</f>
        <v/>
      </c>
    </row>
    <row r="77" ht="19" customHeight="1" s="1">
      <c r="B77" s="16" t="n">
        <v>72</v>
      </c>
      <c r="C77" s="16" t="inlineStr">
        <is>
          <t>时序数据采集增强中间件与基础平台服务</t>
        </is>
      </c>
      <c r="D77" s="16" t="inlineStr">
        <is>
          <t>安全审计追溯</t>
        </is>
      </c>
      <c r="E77" s="16" t="inlineStr">
        <is>
          <t>审计日志</t>
        </is>
      </c>
      <c r="F77" s="16" t="inlineStr">
        <is>
          <t>操作日志</t>
        </is>
      </c>
      <c r="G77" s="17" t="inlineStr">
        <is>
          <t xml:space="preserve"> 提供用户操作的系统日志记录技术服务</t>
        </is>
      </c>
      <c r="H77" s="18" t="inlineStr">
        <is>
          <t>EI</t>
        </is>
      </c>
      <c r="I77" s="18">
        <f>IF(H77="ILF",10,IF(H77="EIF",7,IF(H77="EI",4,IF(H77="EO",5,IF(H77="EQ",4,"")))))</f>
        <v/>
      </c>
      <c r="J77" s="18" t="inlineStr">
        <is>
          <t>中</t>
        </is>
      </c>
      <c r="K77" s="18">
        <f>IF(J77="高",0.33,IF(J77="中",0.67,IF(J77="低",1,"")))</f>
        <v/>
      </c>
      <c r="L77" s="18" t="inlineStr">
        <is>
          <t>新增</t>
        </is>
      </c>
      <c r="M77" s="18">
        <f>IF(L77="新增",1,IF(L77="修改",0.8,IF(L77="删除",0.2,"")))</f>
        <v/>
      </c>
      <c r="N77" s="18">
        <f>I77*K77*M77</f>
        <v/>
      </c>
    </row>
    <row r="78" ht="19" customHeight="1" s="1">
      <c r="B78" s="16" t="n">
        <v>73</v>
      </c>
      <c r="C78" s="16" t="inlineStr">
        <is>
          <t>时序数据采集增强中间件与基础平台服务</t>
        </is>
      </c>
      <c r="D78" s="16" t="inlineStr">
        <is>
          <t>安全审计追溯</t>
        </is>
      </c>
      <c r="E78" s="16" t="inlineStr">
        <is>
          <t>审计日志</t>
        </is>
      </c>
      <c r="F78" s="16" t="inlineStr">
        <is>
          <t>日志存储</t>
        </is>
      </c>
      <c r="G78" s="17" t="inlineStr">
        <is>
          <t xml:space="preserve"> 提供审计日志存储和归档管理技术服务</t>
        </is>
      </c>
      <c r="H78" s="18" t="inlineStr">
        <is>
          <t>EI</t>
        </is>
      </c>
      <c r="I78" s="18">
        <f>IF(H78="ILF",10,IF(H78="EIF",7,IF(H78="EI",4,IF(H78="EO",5,IF(H78="EQ",4,"")))))</f>
        <v/>
      </c>
      <c r="J78" s="18" t="inlineStr">
        <is>
          <t>中</t>
        </is>
      </c>
      <c r="K78" s="18">
        <f>IF(J78="高",0.33,IF(J78="中",0.67,IF(J78="低",1,"")))</f>
        <v/>
      </c>
      <c r="L78" s="18" t="inlineStr">
        <is>
          <t>新增</t>
        </is>
      </c>
      <c r="M78" s="18">
        <f>IF(L78="新增",1,IF(L78="修改",0.8,IF(L78="删除",0.2,"")))</f>
        <v/>
      </c>
      <c r="N78" s="18">
        <f>I78*K78*M78</f>
        <v/>
      </c>
    </row>
    <row r="79" ht="19" customHeight="1" s="1">
      <c r="B79" s="16" t="n">
        <v>74</v>
      </c>
      <c r="C79" s="16" t="inlineStr">
        <is>
          <t>时序数据采集增强中间件与基础平台服务</t>
        </is>
      </c>
      <c r="D79" s="16" t="inlineStr">
        <is>
          <t>安全审计追溯</t>
        </is>
      </c>
      <c r="E79" s="16" t="inlineStr">
        <is>
          <t>审计日志</t>
        </is>
      </c>
      <c r="F79" s="16" t="inlineStr">
        <is>
          <t>日志导出</t>
        </is>
      </c>
      <c r="G79" s="17" t="inlineStr">
        <is>
          <t xml:space="preserve"> 提供审计日志导出服务技术服务</t>
        </is>
      </c>
      <c r="H79" s="18" t="inlineStr">
        <is>
          <t>EI</t>
        </is>
      </c>
      <c r="I79" s="18">
        <f>IF(H79="ILF",10,IF(H79="EIF",7,IF(H79="EI",4,IF(H79="EO",5,IF(H79="EQ",4,"")))))</f>
        <v/>
      </c>
      <c r="J79" s="18" t="inlineStr">
        <is>
          <t>中</t>
        </is>
      </c>
      <c r="K79" s="18">
        <f>IF(J79="高",0.33,IF(J79="中",0.67,IF(J79="低",1,"")))</f>
        <v/>
      </c>
      <c r="L79" s="18" t="inlineStr">
        <is>
          <t>新增</t>
        </is>
      </c>
      <c r="M79" s="18">
        <f>IF(L79="新增",1,IF(L79="修改",0.8,IF(L79="删除",0.2,"")))</f>
        <v/>
      </c>
      <c r="N79" s="18">
        <f>I79*K79*M79</f>
        <v/>
      </c>
    </row>
    <row r="80" ht="19" customHeight="1" s="1">
      <c r="B80" s="16" t="n">
        <v>75</v>
      </c>
      <c r="C80" s="16" t="inlineStr">
        <is>
          <t>时序数据采集增强中间件与基础平台服务</t>
        </is>
      </c>
      <c r="D80" s="16" t="inlineStr">
        <is>
          <t>安全审计追溯</t>
        </is>
      </c>
      <c r="E80" s="16" t="inlineStr">
        <is>
          <t>审计日志</t>
        </is>
      </c>
      <c r="F80" s="16" t="inlineStr">
        <is>
          <t>日志轮转</t>
        </is>
      </c>
      <c r="G80" s="17" t="inlineStr">
        <is>
          <t xml:space="preserve"> 提供审计日志自动轮转和清理的技术服务</t>
        </is>
      </c>
      <c r="H80" s="18" t="inlineStr">
        <is>
          <t>EI</t>
        </is>
      </c>
      <c r="I80" s="18">
        <f>IF(H80="ILF",10,IF(H80="EIF",7,IF(H80="EI",4,IF(H80="EO",5,IF(H80="EQ",4,"")))))</f>
        <v/>
      </c>
      <c r="J80" s="18" t="inlineStr">
        <is>
          <t>中</t>
        </is>
      </c>
      <c r="K80" s="18">
        <f>IF(J80="高",0.33,IF(J80="中",0.67,IF(J80="低",1,"")))</f>
        <v/>
      </c>
      <c r="L80" s="18" t="inlineStr">
        <is>
          <t>新增</t>
        </is>
      </c>
      <c r="M80" s="18">
        <f>IF(L80="新增",1,IF(L80="修改",0.8,IF(L80="删除",0.2,"")))</f>
        <v/>
      </c>
      <c r="N80" s="18">
        <f>I80*K80*M80</f>
        <v/>
      </c>
    </row>
    <row r="81" ht="19" customHeight="1" s="1">
      <c r="B81" s="16" t="n">
        <v>76</v>
      </c>
      <c r="C81" s="16" t="inlineStr">
        <is>
          <t>时序数据采集增强中间件与基础平台服务</t>
        </is>
      </c>
      <c r="D81" s="16" t="inlineStr">
        <is>
          <t>安全审计追溯</t>
        </is>
      </c>
      <c r="E81" s="16" t="inlineStr">
        <is>
          <t>审计日志</t>
        </is>
      </c>
      <c r="F81" s="16" t="inlineStr">
        <is>
          <t>异常操作告警</t>
        </is>
      </c>
      <c r="G81" s="17" t="inlineStr">
        <is>
          <t xml:space="preserve"> 提供检测异常操作行为并触发告警的技术服务</t>
        </is>
      </c>
      <c r="H81" s="18" t="inlineStr">
        <is>
          <t>EI</t>
        </is>
      </c>
      <c r="I81" s="18">
        <f>IF(H81="ILF",10,IF(H81="EIF",7,IF(H81="EI",4,IF(H81="EO",5,IF(H81="EQ",4,"")))))</f>
        <v/>
      </c>
      <c r="J81" s="18" t="inlineStr">
        <is>
          <t>中</t>
        </is>
      </c>
      <c r="K81" s="18">
        <f>IF(J81="高",0.33,IF(J81="中",0.67,IF(J81="低",1,"")))</f>
        <v/>
      </c>
      <c r="L81" s="18" t="inlineStr">
        <is>
          <t>新增</t>
        </is>
      </c>
      <c r="M81" s="18">
        <f>IF(L81="新增",1,IF(L81="修改",0.8,IF(L81="删除",0.2,"")))</f>
        <v/>
      </c>
      <c r="N81" s="18">
        <f>I81*K81*M81</f>
        <v/>
      </c>
    </row>
    <row r="82" ht="19" customHeight="1" s="1">
      <c r="B82" s="16" t="n">
        <v>77</v>
      </c>
      <c r="C82" s="16" t="inlineStr">
        <is>
          <t>时序数据采集增强中间件与基础平台服务</t>
        </is>
      </c>
      <c r="D82" s="16" t="inlineStr">
        <is>
          <t>安全审计追溯</t>
        </is>
      </c>
      <c r="E82" s="16" t="inlineStr">
        <is>
          <t>审计日志</t>
        </is>
      </c>
      <c r="F82" s="16" t="inlineStr">
        <is>
          <t>日志完整性</t>
        </is>
      </c>
      <c r="G82" s="17" t="inlineStr">
        <is>
          <t xml:space="preserve"> 提供审计日志完整性校验的技术服务</t>
        </is>
      </c>
      <c r="H82" s="18" t="inlineStr">
        <is>
          <t>EI</t>
        </is>
      </c>
      <c r="I82" s="18">
        <f>IF(H82="ILF",10,IF(H82="EIF",7,IF(H82="EI",4,IF(H82="EO",5,IF(H82="EQ",4,"")))))</f>
        <v/>
      </c>
      <c r="J82" s="18" t="inlineStr">
        <is>
          <t>中</t>
        </is>
      </c>
      <c r="K82" s="18">
        <f>IF(J82="高",0.33,IF(J82="中",0.67,IF(J82="低",1,"")))</f>
        <v/>
      </c>
      <c r="L82" s="18" t="inlineStr">
        <is>
          <t>新增</t>
        </is>
      </c>
      <c r="M82" s="18">
        <f>IF(L82="新增",1,IF(L82="修改",0.8,IF(L82="删除",0.2,"")))</f>
        <v/>
      </c>
      <c r="N82" s="18">
        <f>I82*K82*M82</f>
        <v/>
      </c>
    </row>
    <row r="83" ht="19" customHeight="1" s="1">
      <c r="B83" s="16" t="n">
        <v>78</v>
      </c>
      <c r="C83" s="16" t="inlineStr">
        <is>
          <t>时序数据采集增强中间件与基础平台服务</t>
        </is>
      </c>
      <c r="D83" s="16" t="inlineStr">
        <is>
          <t>安全审计追溯</t>
        </is>
      </c>
      <c r="E83" s="16" t="inlineStr">
        <is>
          <t>审计日志</t>
        </is>
      </c>
      <c r="F83" s="16" t="inlineStr">
        <is>
          <t>审计报告</t>
        </is>
      </c>
      <c r="G83" s="17" t="inlineStr">
        <is>
          <t xml:space="preserve"> 提供自动生成审计报告的技术服务</t>
        </is>
      </c>
      <c r="H83" s="18" t="inlineStr">
        <is>
          <t>EI</t>
        </is>
      </c>
      <c r="I83" s="18">
        <f>IF(H83="ILF",10,IF(H83="EIF",7,IF(H83="EI",4,IF(H83="EO",5,IF(H83="EQ",4,"")))))</f>
        <v/>
      </c>
      <c r="J83" s="18" t="inlineStr">
        <is>
          <t>中</t>
        </is>
      </c>
      <c r="K83" s="18">
        <f>IF(J83="高",0.33,IF(J83="中",0.67,IF(J83="低",1,"")))</f>
        <v/>
      </c>
      <c r="L83" s="18" t="inlineStr">
        <is>
          <t>新增</t>
        </is>
      </c>
      <c r="M83" s="18">
        <f>IF(L83="新增",1,IF(L83="修改",0.8,IF(L83="删除",0.2,"")))</f>
        <v/>
      </c>
      <c r="N83" s="18">
        <f>I83*K83*M83</f>
        <v/>
      </c>
    </row>
    <row r="84" ht="19" customHeight="1" s="1">
      <c r="B84" s="16" t="n">
        <v>79</v>
      </c>
      <c r="C84" s="16" t="inlineStr">
        <is>
          <t>时序数据采集增强中间件与基础平台服务</t>
        </is>
      </c>
      <c r="D84" s="16" t="inlineStr">
        <is>
          <t>安全审计追溯</t>
        </is>
      </c>
      <c r="E84" s="16" t="inlineStr">
        <is>
          <t>审计日志</t>
        </is>
      </c>
      <c r="F84" s="16" t="inlineStr">
        <is>
          <t>日志备份</t>
        </is>
      </c>
      <c r="G84" s="17" t="inlineStr">
        <is>
          <t xml:space="preserve"> 提供审计日志备份和灾难恢复技术服务</t>
        </is>
      </c>
      <c r="H84" s="18" t="inlineStr">
        <is>
          <t>EI</t>
        </is>
      </c>
      <c r="I84" s="18">
        <f>IF(H84="ILF",10,IF(H84="EIF",7,IF(H84="EI",4,IF(H84="EO",5,IF(H84="EQ",4,"")))))</f>
        <v/>
      </c>
      <c r="J84" s="18" t="inlineStr">
        <is>
          <t>中</t>
        </is>
      </c>
      <c r="K84" s="18">
        <f>IF(J84="高",0.33,IF(J84="中",0.67,IF(J84="低",1,"")))</f>
        <v/>
      </c>
      <c r="L84" s="18" t="inlineStr">
        <is>
          <t>新增</t>
        </is>
      </c>
      <c r="M84" s="18">
        <f>IF(L84="新增",1,IF(L84="修改",0.8,IF(L84="删除",0.2,"")))</f>
        <v/>
      </c>
      <c r="N84" s="18">
        <f>I84*K84*M84</f>
        <v/>
      </c>
    </row>
    <row r="85" ht="19" customHeight="1" s="1">
      <c r="B85" s="16" t="n">
        <v>80</v>
      </c>
      <c r="C85" s="16" t="inlineStr">
        <is>
          <t>时序数据采集增强中间件与基础平台服务</t>
        </is>
      </c>
      <c r="D85" s="16" t="inlineStr">
        <is>
          <t>全局参数管理</t>
        </is>
      </c>
      <c r="E85" s="16" t="inlineStr">
        <is>
          <t>扩展参数配置</t>
        </is>
      </c>
      <c r="F85" s="16" t="inlineStr">
        <is>
          <t>冗余链路配置</t>
        </is>
      </c>
      <c r="G85" s="17" t="inlineStr">
        <is>
          <t xml:space="preserve"> 提供采集链路冗余配置保证高可用性的技术服务</t>
        </is>
      </c>
      <c r="H85" s="18" t="inlineStr">
        <is>
          <t>EI</t>
        </is>
      </c>
      <c r="I85" s="18">
        <f>IF(H85="ILF",10,IF(H85="EIF",7,IF(H85="EI",4,IF(H85="EO",5,IF(H85="EQ",4,"")))))</f>
        <v/>
      </c>
      <c r="J85" s="18" t="inlineStr">
        <is>
          <t>中</t>
        </is>
      </c>
      <c r="K85" s="18">
        <f>IF(J85="高",0.33,IF(J85="中",0.67,IF(J85="低",1,"")))</f>
        <v/>
      </c>
      <c r="L85" s="18" t="inlineStr">
        <is>
          <t>新增</t>
        </is>
      </c>
      <c r="M85" s="18">
        <f>IF(L85="新增",1,IF(L85="修改",0.8,IF(L85="删除",0.2,"")))</f>
        <v/>
      </c>
      <c r="N85" s="18">
        <f>I85*K85*M85</f>
        <v/>
      </c>
    </row>
    <row r="86" ht="19" customHeight="1" s="1">
      <c r="B86" s="16" t="n">
        <v>81</v>
      </c>
      <c r="C86" s="16" t="inlineStr">
        <is>
          <t>时序数据采集增强中间件与基础平台服务</t>
        </is>
      </c>
      <c r="D86" s="16" t="inlineStr">
        <is>
          <t>全局参数管理</t>
        </is>
      </c>
      <c r="E86" s="16" t="inlineStr">
        <is>
          <t>扩展参数配置</t>
        </is>
      </c>
      <c r="F86" s="16" t="inlineStr">
        <is>
          <t>主备切换策略</t>
        </is>
      </c>
      <c r="G86" s="17" t="inlineStr">
        <is>
          <t xml:space="preserve"> 提供采集链路主备自动切换策略配置服务</t>
        </is>
      </c>
      <c r="H86" s="18" t="inlineStr">
        <is>
          <t>EO</t>
        </is>
      </c>
      <c r="I86" s="18">
        <f>IF(H86="ILF",10,IF(H86="EIF",7,IF(H86="EI",4,IF(H86="EO",5,IF(H86="EQ",4,"")))))</f>
        <v/>
      </c>
      <c r="J86" s="18" t="inlineStr">
        <is>
          <t>低</t>
        </is>
      </c>
      <c r="K86" s="18">
        <f>IF(J86="高",0.33,IF(J86="中",0.67,IF(J86="低",1,"")))</f>
        <v/>
      </c>
      <c r="L86" s="18" t="inlineStr">
        <is>
          <t>新增</t>
        </is>
      </c>
      <c r="M86" s="18">
        <f>IF(L86="新增",1,IF(L86="修改",0.8,IF(L86="删除",0.2,"")))</f>
        <v/>
      </c>
      <c r="N86" s="18">
        <f>I86*K86*M86</f>
        <v/>
      </c>
    </row>
    <row r="87" ht="19" customHeight="1" s="1">
      <c r="B87" s="16" t="n">
        <v>82</v>
      </c>
      <c r="C87" s="16" t="inlineStr">
        <is>
          <t>时序数据采集增强中间件与基础平台服务</t>
        </is>
      </c>
      <c r="D87" s="16" t="inlineStr">
        <is>
          <t>全局参数管理</t>
        </is>
      </c>
      <c r="E87" s="16" t="inlineStr">
        <is>
          <t>扩展参数配置</t>
        </is>
      </c>
      <c r="F87" s="16" t="inlineStr">
        <is>
          <t>断线重连策略</t>
        </is>
      </c>
      <c r="G87" s="17" t="inlineStr">
        <is>
          <t xml:space="preserve"> 提供设备断线后重连策略配置服务</t>
        </is>
      </c>
      <c r="H87" s="18" t="inlineStr">
        <is>
          <t>EO</t>
        </is>
      </c>
      <c r="I87" s="18">
        <f>IF(H87="ILF",10,IF(H87="EIF",7,IF(H87="EI",4,IF(H87="EO",5,IF(H87="EQ",4,"")))))</f>
        <v/>
      </c>
      <c r="J87" s="18" t="inlineStr">
        <is>
          <t>低</t>
        </is>
      </c>
      <c r="K87" s="18">
        <f>IF(J87="高",0.33,IF(J87="中",0.67,IF(J87="低",1,"")))</f>
        <v/>
      </c>
      <c r="L87" s="18" t="inlineStr">
        <is>
          <t>新增</t>
        </is>
      </c>
      <c r="M87" s="18">
        <f>IF(L87="新增",1,IF(L87="修改",0.8,IF(L87="删除",0.2,"")))</f>
        <v/>
      </c>
      <c r="N87" s="18">
        <f>I87*K87*M87</f>
        <v/>
      </c>
    </row>
    <row r="88" ht="19" customHeight="1" s="1">
      <c r="B88" s="16" t="n">
        <v>83</v>
      </c>
      <c r="C88" s="16" t="inlineStr">
        <is>
          <t>时序数据采集增强中间件与基础平台服务</t>
        </is>
      </c>
      <c r="D88" s="16" t="inlineStr">
        <is>
          <t>全局参数管理</t>
        </is>
      </c>
      <c r="E88" s="16" t="inlineStr">
        <is>
          <t>扩展参数配置</t>
        </is>
      </c>
      <c r="F88" s="16" t="inlineStr">
        <is>
          <t>采集优先级配置</t>
        </is>
      </c>
      <c r="G88" s="17" t="inlineStr">
        <is>
          <t xml:space="preserve"> 提供设备采集优先级参数配置服务</t>
        </is>
      </c>
      <c r="H88" s="18" t="inlineStr">
        <is>
          <t>EO</t>
        </is>
      </c>
      <c r="I88" s="18">
        <f>IF(H88="ILF",10,IF(H88="EIF",7,IF(H88="EI",4,IF(H88="EO",5,IF(H88="EQ",4,"")))))</f>
        <v/>
      </c>
      <c r="J88" s="18" t="inlineStr">
        <is>
          <t>低</t>
        </is>
      </c>
      <c r="K88" s="18">
        <f>IF(J88="高",0.33,IF(J88="中",0.67,IF(J88="低",1,"")))</f>
        <v/>
      </c>
      <c r="L88" s="18" t="inlineStr">
        <is>
          <t>新增</t>
        </is>
      </c>
      <c r="M88" s="18">
        <f>IF(L88="新增",1,IF(L88="修改",0.8,IF(L88="删除",0.2,"")))</f>
        <v/>
      </c>
      <c r="N88" s="18">
        <f>I88*K88*M88</f>
        <v/>
      </c>
    </row>
    <row r="89" ht="19" customHeight="1" s="1">
      <c r="B89" s="16" t="n">
        <v>84</v>
      </c>
      <c r="C89" s="16" t="inlineStr">
        <is>
          <t>时序数据采集增强中间件与基础平台服务</t>
        </is>
      </c>
      <c r="D89" s="16" t="inlineStr">
        <is>
          <t>全局参数管理</t>
        </is>
      </c>
      <c r="E89" s="16" t="inlineStr">
        <is>
          <t>扩展参数配置</t>
        </is>
      </c>
      <c r="F89" s="16" t="inlineStr">
        <is>
          <t>并发限制配置</t>
        </is>
      </c>
      <c r="G89" s="17" t="inlineStr">
        <is>
          <t xml:space="preserve"> 提供并发采集连接数限制配置服务</t>
        </is>
      </c>
      <c r="H89" s="18" t="inlineStr">
        <is>
          <t>EO</t>
        </is>
      </c>
      <c r="I89" s="18">
        <f>IF(H89="ILF",10,IF(H89="EIF",7,IF(H89="EI",4,IF(H89="EO",5,IF(H89="EQ",4,"")))))</f>
        <v/>
      </c>
      <c r="J89" s="18" t="inlineStr">
        <is>
          <t>中</t>
        </is>
      </c>
      <c r="K89" s="18">
        <f>IF(J89="高",0.33,IF(J89="中",0.67,IF(J89="低",1,"")))</f>
        <v/>
      </c>
      <c r="L89" s="18" t="inlineStr">
        <is>
          <t>新增</t>
        </is>
      </c>
      <c r="M89" s="18">
        <f>IF(L89="新增",1,IF(L89="修改",0.8,IF(L89="删除",0.2,"")))</f>
        <v/>
      </c>
      <c r="N89" s="18">
        <f>I89*K89*M89</f>
        <v/>
      </c>
    </row>
    <row r="90" ht="19" customHeight="1" s="1">
      <c r="B90" s="16" t="n">
        <v>85</v>
      </c>
      <c r="C90" s="16" t="inlineStr">
        <is>
          <t>时序数据采集增强中间件与基础平台服务</t>
        </is>
      </c>
      <c r="D90" s="16" t="inlineStr">
        <is>
          <t>全局参数管理</t>
        </is>
      </c>
      <c r="E90" s="16" t="inlineStr">
        <is>
          <t>扩展参数配置</t>
        </is>
      </c>
      <c r="F90" s="16" t="inlineStr">
        <is>
          <t>采集超时配置</t>
        </is>
      </c>
      <c r="G90" s="17" t="inlineStr">
        <is>
          <t xml:space="preserve"> 提供单次采集超时时间参数配置服务</t>
        </is>
      </c>
      <c r="H90" s="18" t="inlineStr">
        <is>
          <t>EO</t>
        </is>
      </c>
      <c r="I90" s="18">
        <f>IF(H90="ILF",10,IF(H90="EIF",7,IF(H90="EI",4,IF(H90="EO",5,IF(H90="EQ",4,"")))))</f>
        <v/>
      </c>
      <c r="J90" s="18" t="inlineStr">
        <is>
          <t>中</t>
        </is>
      </c>
      <c r="K90" s="18">
        <f>IF(J90="高",0.33,IF(J90="中",0.67,IF(J90="低",1,"")))</f>
        <v/>
      </c>
      <c r="L90" s="18" t="inlineStr">
        <is>
          <t>新增</t>
        </is>
      </c>
      <c r="M90" s="18">
        <f>IF(L90="新增",1,IF(L90="修改",0.8,IF(L90="删除",0.2,"")))</f>
        <v/>
      </c>
      <c r="N90" s="18">
        <f>I90*K90*M90</f>
        <v/>
      </c>
    </row>
    <row r="91" ht="19" customHeight="1" s="1">
      <c r="B91" s="16" t="n">
        <v>86</v>
      </c>
      <c r="C91" s="16" t="inlineStr">
        <is>
          <t>时序数据采集增强中间件与基础平台服务</t>
        </is>
      </c>
      <c r="D91" s="16" t="inlineStr">
        <is>
          <t>全局参数管理</t>
        </is>
      </c>
      <c r="E91" s="16" t="inlineStr">
        <is>
          <t>扩展参数配置</t>
        </is>
      </c>
      <c r="F91" s="16" t="inlineStr">
        <is>
          <t>数据校验配置</t>
        </is>
      </c>
      <c r="G91" s="17" t="inlineStr">
        <is>
          <t xml:space="preserve"> 提供采集数据校验参数配置服务</t>
        </is>
      </c>
      <c r="H91" s="18" t="inlineStr">
        <is>
          <t>EO</t>
        </is>
      </c>
      <c r="I91" s="18">
        <f>IF(H91="ILF",10,IF(H91="EIF",7,IF(H91="EI",4,IF(H91="EO",5,IF(H91="EQ",4,"")))))</f>
        <v/>
      </c>
      <c r="J91" s="18" t="inlineStr">
        <is>
          <t>中</t>
        </is>
      </c>
      <c r="K91" s="18">
        <f>IF(J91="高",0.33,IF(J91="中",0.67,IF(J91="低",1,"")))</f>
        <v/>
      </c>
      <c r="L91" s="18" t="inlineStr">
        <is>
          <t>新增</t>
        </is>
      </c>
      <c r="M91" s="18">
        <f>IF(L91="新增",1,IF(L91="修改",0.8,IF(L91="删除",0.2,"")))</f>
        <v/>
      </c>
      <c r="N91" s="18">
        <f>I91*K91*M91</f>
        <v/>
      </c>
    </row>
    <row r="92" ht="19" customHeight="1" s="1">
      <c r="B92" s="16" t="n">
        <v>87</v>
      </c>
      <c r="C92" s="16" t="inlineStr">
        <is>
          <t>时序数据采集增强中间件与基础平台服务</t>
        </is>
      </c>
      <c r="D92" s="16" t="inlineStr">
        <is>
          <t>全局参数管理</t>
        </is>
      </c>
      <c r="E92" s="16" t="inlineStr">
        <is>
          <t>扩展参数配置</t>
        </is>
      </c>
      <c r="F92" s="16" t="inlineStr">
        <is>
          <t>数据去重配置</t>
        </is>
      </c>
      <c r="G92" s="17" t="inlineStr">
        <is>
          <t xml:space="preserve"> 提供采集数据去重策略配置服务</t>
        </is>
      </c>
      <c r="H92" s="18" t="inlineStr">
        <is>
          <t>EO</t>
        </is>
      </c>
      <c r="I92" s="18">
        <f>IF(H92="ILF",10,IF(H92="EIF",7,IF(H92="EI",4,IF(H92="EO",5,IF(H92="EQ",4,"")))))</f>
        <v/>
      </c>
      <c r="J92" s="18" t="inlineStr">
        <is>
          <t>中</t>
        </is>
      </c>
      <c r="K92" s="18">
        <f>IF(J92="高",0.33,IF(J92="中",0.67,IF(J92="低",1,"")))</f>
        <v/>
      </c>
      <c r="L92" s="18" t="inlineStr">
        <is>
          <t>新增</t>
        </is>
      </c>
      <c r="M92" s="18">
        <f>IF(L92="新增",1,IF(L92="修改",0.8,IF(L92="删除",0.2,"")))</f>
        <v/>
      </c>
      <c r="N92" s="18">
        <f>I92*K92*M92</f>
        <v/>
      </c>
    </row>
    <row r="93" ht="19" customHeight="1" s="1">
      <c r="B93" s="16" t="n">
        <v>88</v>
      </c>
      <c r="C93" s="16" t="inlineStr">
        <is>
          <t>时序数据采集增强中间件与基础平台服务</t>
        </is>
      </c>
      <c r="D93" s="16" t="inlineStr">
        <is>
          <t>全局参数管理</t>
        </is>
      </c>
      <c r="E93" s="16" t="inlineStr">
        <is>
          <t>扩展参数配置</t>
        </is>
      </c>
      <c r="F93" s="16" t="inlineStr">
        <is>
          <t>数据压缩配置</t>
        </is>
      </c>
      <c r="G93" s="17" t="inlineStr">
        <is>
          <t xml:space="preserve"> 提供采集数据传输压缩策略配置服务</t>
        </is>
      </c>
      <c r="H93" s="18" t="inlineStr">
        <is>
          <t>EO</t>
        </is>
      </c>
      <c r="I93" s="18">
        <f>IF(H93="ILF",10,IF(H93="EIF",7,IF(H93="EI",4,IF(H93="EO",5,IF(H93="EQ",4,"")))))</f>
        <v/>
      </c>
      <c r="J93" s="18" t="inlineStr">
        <is>
          <t>中</t>
        </is>
      </c>
      <c r="K93" s="18">
        <f>IF(J93="高",0.33,IF(J93="中",0.67,IF(J93="低",1,"")))</f>
        <v/>
      </c>
      <c r="L93" s="18" t="inlineStr">
        <is>
          <t>新增</t>
        </is>
      </c>
      <c r="M93" s="18">
        <f>IF(L93="新增",1,IF(L93="修改",0.8,IF(L93="删除",0.2,"")))</f>
        <v/>
      </c>
      <c r="N93" s="18">
        <f>I93*K93*M93</f>
        <v/>
      </c>
    </row>
    <row r="94" ht="19" customHeight="1" s="1">
      <c r="B94" s="16" t="n">
        <v>89</v>
      </c>
      <c r="C94" s="16" t="inlineStr">
        <is>
          <t>时序数据采集增强中间件与基础平台服务</t>
        </is>
      </c>
      <c r="D94" s="16" t="inlineStr">
        <is>
          <t>全局参数管理</t>
        </is>
      </c>
      <c r="E94" s="16" t="inlineStr">
        <is>
          <t>扩展参数配置</t>
        </is>
      </c>
      <c r="F94" s="16" t="inlineStr">
        <is>
          <t>数据加密配置</t>
        </is>
      </c>
      <c r="G94" s="17" t="inlineStr">
        <is>
          <t xml:space="preserve"> 提供采集数据传输加密策略配置服务</t>
        </is>
      </c>
      <c r="H94" s="18" t="inlineStr">
        <is>
          <t>EQ</t>
        </is>
      </c>
      <c r="I94" s="18">
        <f>IF(H94="ILF",10,IF(H94="EIF",7,IF(H94="EI",4,IF(H94="EO",5,IF(H94="EQ",4,"")))))</f>
        <v/>
      </c>
      <c r="J94" s="18" t="inlineStr">
        <is>
          <t>低</t>
        </is>
      </c>
      <c r="K94" s="18">
        <f>IF(J94="高",0.33,IF(J94="中",0.67,IF(J94="低",1,"")))</f>
        <v/>
      </c>
      <c r="L94" s="18" t="inlineStr">
        <is>
          <t>新增</t>
        </is>
      </c>
      <c r="M94" s="18">
        <f>IF(L94="新增",1,IF(L94="修改",0.8,IF(L94="删除",0.2,"")))</f>
        <v/>
      </c>
      <c r="N94" s="18">
        <f>I94*K94*M94</f>
        <v/>
      </c>
    </row>
    <row r="95" ht="19" customHeight="1" s="1">
      <c r="B95" s="16" t="n">
        <v>90</v>
      </c>
      <c r="C95" s="16" t="inlineStr">
        <is>
          <t>时序数据采集增强中间件与基础平台服务</t>
        </is>
      </c>
      <c r="D95" s="16" t="inlineStr">
        <is>
          <t>全局参数管理</t>
        </is>
      </c>
      <c r="E95" s="16" t="inlineStr">
        <is>
          <t>扩展参数配置</t>
        </is>
      </c>
      <c r="F95" s="16" t="inlineStr">
        <is>
          <t>日志级别配置</t>
        </is>
      </c>
      <c r="G95" s="17" t="inlineStr">
        <is>
          <t xml:space="preserve"> 提供系统日志级别参数配置服务</t>
        </is>
      </c>
      <c r="H95" s="18" t="inlineStr">
        <is>
          <t>EQ</t>
        </is>
      </c>
      <c r="I95" s="18">
        <f>IF(H95="ILF",10,IF(H95="EIF",7,IF(H95="EI",4,IF(H95="EO",5,IF(H95="EQ",4,"")))))</f>
        <v/>
      </c>
      <c r="J95" s="18" t="inlineStr">
        <is>
          <t>低</t>
        </is>
      </c>
      <c r="K95" s="18">
        <f>IF(J95="高",0.33,IF(J95="中",0.67,IF(J95="低",1,"")))</f>
        <v/>
      </c>
      <c r="L95" s="18" t="inlineStr">
        <is>
          <t>新增</t>
        </is>
      </c>
      <c r="M95" s="18">
        <f>IF(L95="新增",1,IF(L95="修改",0.8,IF(L95="删除",0.2,"")))</f>
        <v/>
      </c>
      <c r="N95" s="18">
        <f>I95*K95*M95</f>
        <v/>
      </c>
    </row>
    <row r="96" ht="19" customHeight="1" s="1">
      <c r="B96" s="16" t="n">
        <v>91</v>
      </c>
      <c r="C96" s="16" t="inlineStr">
        <is>
          <t>时序数据采集增强中间件与基础平台服务</t>
        </is>
      </c>
      <c r="D96" s="16" t="inlineStr">
        <is>
          <t>全局参数管理</t>
        </is>
      </c>
      <c r="E96" s="16" t="inlineStr">
        <is>
          <t>扩展参数配置</t>
        </is>
      </c>
      <c r="F96" s="16" t="inlineStr">
        <is>
          <t>日志格式配置</t>
        </is>
      </c>
      <c r="G96" s="17" t="inlineStr">
        <is>
          <t xml:space="preserve"> 提供系统日志输出格式配置服务</t>
        </is>
      </c>
      <c r="H96" s="18" t="inlineStr">
        <is>
          <t>EQ</t>
        </is>
      </c>
      <c r="I96" s="18">
        <f>IF(H96="ILF",10,IF(H96="EIF",7,IF(H96="EI",4,IF(H96="EO",5,IF(H96="EQ",4,"")))))</f>
        <v/>
      </c>
      <c r="J96" s="18" t="inlineStr">
        <is>
          <t>低</t>
        </is>
      </c>
      <c r="K96" s="18">
        <f>IF(J96="高",0.33,IF(J96="中",0.67,IF(J96="低",1,"")))</f>
        <v/>
      </c>
      <c r="L96" s="18" t="inlineStr">
        <is>
          <t>新增</t>
        </is>
      </c>
      <c r="M96" s="18">
        <f>IF(L96="新增",1,IF(L96="修改",0.8,IF(L96="删除",0.2,"")))</f>
        <v/>
      </c>
      <c r="N96" s="18">
        <f>I96*K96*M96</f>
        <v/>
      </c>
    </row>
    <row r="97" ht="19" customHeight="1" s="1">
      <c r="B97" s="16" t="n">
        <v>92</v>
      </c>
      <c r="C97" s="16" t="inlineStr">
        <is>
          <t>时序数据采集增强中间件与基础平台服务</t>
        </is>
      </c>
      <c r="D97" s="16" t="inlineStr">
        <is>
          <t>全局参数管理</t>
        </is>
      </c>
      <c r="E97" s="16" t="inlineStr">
        <is>
          <t>扩展参数配置</t>
        </is>
      </c>
      <c r="F97" s="16" t="inlineStr">
        <is>
          <t>告警抑制配置</t>
        </is>
      </c>
      <c r="G97" s="17" t="inlineStr">
        <is>
          <t xml:space="preserve"> 提供告警抑制时长参数配置服务</t>
        </is>
      </c>
      <c r="H97" s="18" t="inlineStr">
        <is>
          <t>EQ</t>
        </is>
      </c>
      <c r="I97" s="18">
        <f>IF(H97="ILF",10,IF(H97="EIF",7,IF(H97="EI",4,IF(H97="EO",5,IF(H97="EQ",4,"")))))</f>
        <v/>
      </c>
      <c r="J97" s="18" t="inlineStr">
        <is>
          <t>低</t>
        </is>
      </c>
      <c r="K97" s="18">
        <f>IF(J97="高",0.33,IF(J97="中",0.67,IF(J97="低",1,"")))</f>
        <v/>
      </c>
      <c r="L97" s="18" t="inlineStr">
        <is>
          <t>新增</t>
        </is>
      </c>
      <c r="M97" s="18">
        <f>IF(L97="新增",1,IF(L97="修改",0.8,IF(L97="删除",0.2,"")))</f>
        <v/>
      </c>
      <c r="N97" s="18">
        <f>I97*K97*M97</f>
        <v/>
      </c>
    </row>
    <row r="98" ht="19" customHeight="1" s="1">
      <c r="B98" s="16" t="n">
        <v>93</v>
      </c>
      <c r="C98" s="16" t="inlineStr">
        <is>
          <t>时序数据采集增强中间件与基础平台服务</t>
        </is>
      </c>
      <c r="D98" s="16" t="inlineStr">
        <is>
          <t>全局参数管理</t>
        </is>
      </c>
      <c r="E98" s="16" t="inlineStr">
        <is>
          <t>扩展参数配置</t>
        </is>
      </c>
      <c r="F98" s="16" t="inlineStr">
        <is>
          <t>告警聚合配置</t>
        </is>
      </c>
      <c r="G98" s="17" t="inlineStr">
        <is>
          <t xml:space="preserve"> 提供告警聚合窗口参数配置服务</t>
        </is>
      </c>
      <c r="H98" s="18" t="inlineStr">
        <is>
          <t>EQ</t>
        </is>
      </c>
      <c r="I98" s="18">
        <f>IF(H98="ILF",10,IF(H98="EIF",7,IF(H98="EI",4,IF(H98="EO",5,IF(H98="EQ",4,"")))))</f>
        <v/>
      </c>
      <c r="J98" s="18" t="inlineStr">
        <is>
          <t>低</t>
        </is>
      </c>
      <c r="K98" s="18">
        <f>IF(J98="高",0.33,IF(J98="中",0.67,IF(J98="低",1,"")))</f>
        <v/>
      </c>
      <c r="L98" s="18" t="inlineStr">
        <is>
          <t>新增</t>
        </is>
      </c>
      <c r="M98" s="18">
        <f>IF(L98="新增",1,IF(L98="修改",0.8,IF(L98="删除",0.2,"")))</f>
        <v/>
      </c>
      <c r="N98" s="18">
        <f>I98*K98*M98</f>
        <v/>
      </c>
    </row>
    <row r="99" ht="19" customHeight="1" s="1">
      <c r="B99" s="16" t="n">
        <v>94</v>
      </c>
      <c r="C99" s="16" t="inlineStr">
        <is>
          <t>时序数据采集增强中间件与基础平台服务</t>
        </is>
      </c>
      <c r="D99" s="16" t="inlineStr">
        <is>
          <t>全局参数管理</t>
        </is>
      </c>
      <c r="E99" s="16" t="inlineStr">
        <is>
          <t>扩展参数配置</t>
        </is>
      </c>
      <c r="F99" s="16" t="inlineStr">
        <is>
          <t>数据源配置</t>
        </is>
      </c>
      <c r="G99" s="17" t="inlineStr">
        <is>
          <t xml:space="preserve"> 提供数据源连接参数配置服务</t>
        </is>
      </c>
      <c r="H99" s="18" t="inlineStr">
        <is>
          <t>EQ</t>
        </is>
      </c>
      <c r="I99" s="18">
        <f>IF(H99="ILF",10,IF(H99="EIF",7,IF(H99="EI",4,IF(H99="EO",5,IF(H99="EQ",4,"")))))</f>
        <v/>
      </c>
      <c r="J99" s="18" t="inlineStr">
        <is>
          <t>低</t>
        </is>
      </c>
      <c r="K99" s="18">
        <f>IF(J99="高",0.33,IF(J99="中",0.67,IF(J99="低",1,"")))</f>
        <v/>
      </c>
      <c r="L99" s="18" t="inlineStr">
        <is>
          <t>新增</t>
        </is>
      </c>
      <c r="M99" s="18">
        <f>IF(L99="新增",1,IF(L99="修改",0.8,IF(L99="删除",0.2,"")))</f>
        <v/>
      </c>
      <c r="N99" s="18">
        <f>I99*K99*M99</f>
        <v/>
      </c>
    </row>
    <row r="100" ht="19" customHeight="1" s="1">
      <c r="B100" s="16" t="n">
        <v>95</v>
      </c>
      <c r="C100" s="16" t="inlineStr">
        <is>
          <t>时序数据采集增强中间件与基础平台服务</t>
        </is>
      </c>
      <c r="D100" s="16" t="inlineStr">
        <is>
          <t>全局参数管理</t>
        </is>
      </c>
      <c r="E100" s="16" t="inlineStr">
        <is>
          <t>扩展参数配置</t>
        </is>
      </c>
      <c r="F100" s="16" t="inlineStr">
        <is>
          <t>任务调度配置</t>
        </is>
      </c>
      <c r="G100" s="17" t="inlineStr">
        <is>
          <t xml:space="preserve"> 提供定时任务调度参数配置服务</t>
        </is>
      </c>
      <c r="H100" s="18" t="inlineStr">
        <is>
          <t>EQ</t>
        </is>
      </c>
      <c r="I100" s="18">
        <f>IF(H100="ILF",10,IF(H100="EIF",7,IF(H100="EI",4,IF(H100="EO",5,IF(H100="EQ",4,"")))))</f>
        <v/>
      </c>
      <c r="J100" s="18" t="inlineStr">
        <is>
          <t>低</t>
        </is>
      </c>
      <c r="K100" s="18">
        <f>IF(J100="高",0.33,IF(J100="中",0.67,IF(J100="低",1,"")))</f>
        <v/>
      </c>
      <c r="L100" s="18" t="inlineStr">
        <is>
          <t>新增</t>
        </is>
      </c>
      <c r="M100" s="18">
        <f>IF(L100="新增",1,IF(L100="修改",0.8,IF(L100="删除",0.2,"")))</f>
        <v/>
      </c>
      <c r="N100" s="18">
        <f>I100*K100*M100</f>
        <v/>
      </c>
    </row>
    <row r="101" ht="19" customHeight="1" s="1">
      <c r="B101" s="16" t="n">
        <v>96</v>
      </c>
      <c r="C101" s="16" t="inlineStr">
        <is>
          <t>时序数据采集增强中间件与基础平台服务</t>
        </is>
      </c>
      <c r="D101" s="16" t="inlineStr">
        <is>
          <t>全局参数管理</t>
        </is>
      </c>
      <c r="E101" s="16" t="inlineStr">
        <is>
          <t>扩展参数配置</t>
        </is>
      </c>
      <c r="F101" s="16" t="inlineStr">
        <is>
          <t>备份窗口配置</t>
        </is>
      </c>
      <c r="G101" s="17" t="inlineStr">
        <is>
          <t xml:space="preserve"> 提供数据备份时间窗口配置服务</t>
        </is>
      </c>
      <c r="H101" s="18" t="inlineStr">
        <is>
          <t>EQ</t>
        </is>
      </c>
      <c r="I101" s="18">
        <f>IF(H101="ILF",10,IF(H101="EIF",7,IF(H101="EI",4,IF(H101="EO",5,IF(H101="EQ",4,"")))))</f>
        <v/>
      </c>
      <c r="J101" s="18" t="inlineStr">
        <is>
          <t>中</t>
        </is>
      </c>
      <c r="K101" s="18">
        <f>IF(J101="高",0.33,IF(J101="中",0.67,IF(J101="低",1,"")))</f>
        <v/>
      </c>
      <c r="L101" s="18" t="inlineStr">
        <is>
          <t>新增</t>
        </is>
      </c>
      <c r="M101" s="18">
        <f>IF(L101="新增",1,IF(L101="修改",0.8,IF(L101="删除",0.2,"")))</f>
        <v/>
      </c>
      <c r="N101" s="18">
        <f>I101*K101*M101</f>
        <v/>
      </c>
    </row>
    <row r="102" ht="19" customHeight="1" s="1">
      <c r="B102" s="16" t="n">
        <v>97</v>
      </c>
      <c r="C102" s="16" t="inlineStr">
        <is>
          <t>时序数据采集增强中间件与基础平台服务</t>
        </is>
      </c>
      <c r="D102" s="16" t="inlineStr">
        <is>
          <t>全局参数管理</t>
        </is>
      </c>
      <c r="E102" s="16" t="inlineStr">
        <is>
          <t>扩展参数配置</t>
        </is>
      </c>
      <c r="F102" s="16" t="inlineStr">
        <is>
          <t>监控阈值配置</t>
        </is>
      </c>
      <c r="G102" s="17" t="inlineStr">
        <is>
          <t xml:space="preserve"> 提供系统监控指标告警阈值配置服务</t>
        </is>
      </c>
      <c r="H102" s="18" t="inlineStr">
        <is>
          <t>EQ</t>
        </is>
      </c>
      <c r="I102" s="18">
        <f>IF(H102="ILF",10,IF(H102="EIF",7,IF(H102="EI",4,IF(H102="EO",5,IF(H102="EQ",4,"")))))</f>
        <v/>
      </c>
      <c r="J102" s="18" t="inlineStr">
        <is>
          <t>中</t>
        </is>
      </c>
      <c r="K102" s="18">
        <f>IF(J102="高",0.33,IF(J102="中",0.67,IF(J102="低",1,"")))</f>
        <v/>
      </c>
      <c r="L102" s="18" t="inlineStr">
        <is>
          <t>新增</t>
        </is>
      </c>
      <c r="M102" s="18">
        <f>IF(L102="新增",1,IF(L102="修改",0.8,IF(L102="删除",0.2,"")))</f>
        <v/>
      </c>
      <c r="N102" s="18">
        <f>I102*K102*M102</f>
        <v/>
      </c>
    </row>
    <row r="103" ht="19" customHeight="1" s="1">
      <c r="B103" s="16" t="n">
        <v>98</v>
      </c>
      <c r="C103" s="16" t="inlineStr">
        <is>
          <t>时序数据采集增强中间件与基础平台服务</t>
        </is>
      </c>
      <c r="D103" s="16" t="inlineStr">
        <is>
          <t>全局参数管理</t>
        </is>
      </c>
      <c r="E103" s="16" t="inlineStr">
        <is>
          <t>扩展参数配置</t>
        </is>
      </c>
      <c r="F103" s="16" t="inlineStr">
        <is>
          <t>健康检查配置</t>
        </is>
      </c>
      <c r="G103" s="17" t="inlineStr">
        <is>
          <t xml:space="preserve"> 提供系统健康检查周期参数配置服务</t>
        </is>
      </c>
      <c r="H103" s="18" t="inlineStr">
        <is>
          <t>EQ</t>
        </is>
      </c>
      <c r="I103" s="18">
        <f>IF(H103="ILF",10,IF(H103="EIF",7,IF(H103="EI",4,IF(H103="EO",5,IF(H103="EQ",4,"")))))</f>
        <v/>
      </c>
      <c r="J103" s="18" t="inlineStr">
        <is>
          <t>中</t>
        </is>
      </c>
      <c r="K103" s="18">
        <f>IF(J103="高",0.33,IF(J103="中",0.67,IF(J103="低",1,"")))</f>
        <v/>
      </c>
      <c r="L103" s="18" t="inlineStr">
        <is>
          <t>新增</t>
        </is>
      </c>
      <c r="M103" s="18">
        <f>IF(L103="新增",1,IF(L103="修改",0.8,IF(L103="删除",0.2,"")))</f>
        <v/>
      </c>
      <c r="N103" s="18">
        <f>I103*K103*M103</f>
        <v/>
      </c>
    </row>
    <row r="104" ht="19" customHeight="1" s="1">
      <c r="B104" s="16" t="n">
        <v>99</v>
      </c>
      <c r="C104" s="16" t="inlineStr">
        <is>
          <t>时序数据采集增强中间件与基础平台服务</t>
        </is>
      </c>
      <c r="D104" s="16" t="inlineStr">
        <is>
          <t>全局参数管理</t>
        </is>
      </c>
      <c r="E104" s="16" t="inlineStr">
        <is>
          <t>扩展参数配置</t>
        </is>
      </c>
      <c r="F104" s="16" t="inlineStr">
        <is>
          <t>心跳间隔配置</t>
        </is>
      </c>
      <c r="G104" s="17" t="inlineStr">
        <is>
          <t xml:space="preserve"> 提供服务心跳间隔参数配置服务</t>
        </is>
      </c>
      <c r="H104" s="18" t="inlineStr">
        <is>
          <t>EQ</t>
        </is>
      </c>
      <c r="I104" s="18">
        <f>IF(H104="ILF",10,IF(H104="EIF",7,IF(H104="EI",4,IF(H104="EO",5,IF(H104="EQ",4,"")))))</f>
        <v/>
      </c>
      <c r="J104" s="18" t="inlineStr">
        <is>
          <t>中</t>
        </is>
      </c>
      <c r="K104" s="18">
        <f>IF(J104="高",0.33,IF(J104="中",0.67,IF(J104="低",1,"")))</f>
        <v/>
      </c>
      <c r="L104" s="18" t="inlineStr">
        <is>
          <t>新增</t>
        </is>
      </c>
      <c r="M104" s="18">
        <f>IF(L104="新增",1,IF(L104="修改",0.8,IF(L104="删除",0.2,"")))</f>
        <v/>
      </c>
      <c r="N104" s="18">
        <f>I104*K104*M104</f>
        <v/>
      </c>
    </row>
    <row r="105" ht="19" customHeight="1" s="1">
      <c r="B105" s="16" t="n">
        <v>100</v>
      </c>
      <c r="C105" s="16" t="inlineStr">
        <is>
          <t>时序数据采集增强中间件与基础平台服务</t>
        </is>
      </c>
      <c r="D105" s="16" t="inlineStr">
        <is>
          <t>全局参数管理</t>
        </is>
      </c>
      <c r="E105" s="16" t="inlineStr">
        <is>
          <t>扩展参数配置</t>
        </is>
      </c>
      <c r="F105" s="16" t="inlineStr">
        <is>
          <t>超时熔断配置</t>
        </is>
      </c>
      <c r="G105" s="17" t="inlineStr">
        <is>
          <t xml:space="preserve"> 提供服务调用超时熔断参数配置服务</t>
        </is>
      </c>
      <c r="H105" s="18" t="inlineStr">
        <is>
          <t>EQ</t>
        </is>
      </c>
      <c r="I105" s="18">
        <f>IF(H105="ILF",10,IF(H105="EIF",7,IF(H105="EI",4,IF(H105="EO",5,IF(H105="EQ",4,"")))))</f>
        <v/>
      </c>
      <c r="J105" s="18" t="inlineStr">
        <is>
          <t>中</t>
        </is>
      </c>
      <c r="K105" s="18">
        <f>IF(J105="高",0.33,IF(J105="中",0.67,IF(J105="低",1,"")))</f>
        <v/>
      </c>
      <c r="L105" s="18" t="inlineStr">
        <is>
          <t>新增</t>
        </is>
      </c>
      <c r="M105" s="18">
        <f>IF(L105="新增",1,IF(L105="修改",0.8,IF(L105="删除",0.2,"")))</f>
        <v/>
      </c>
      <c r="N105" s="18">
        <f>I105*K105*M105</f>
        <v/>
      </c>
    </row>
    <row r="106" ht="19" customHeight="1" s="1">
      <c r="B106" s="16" t="n">
        <v>101</v>
      </c>
      <c r="C106" s="16" t="inlineStr">
        <is>
          <t>时序数据采集增强中间件与基础平台服务</t>
        </is>
      </c>
      <c r="D106" s="16" t="inlineStr">
        <is>
          <t>全局参数管理</t>
        </is>
      </c>
      <c r="E106" s="16" t="inlineStr">
        <is>
          <t>扩展参数配置</t>
        </is>
      </c>
      <c r="F106" s="16" t="inlineStr">
        <is>
          <t>限流阈值配置</t>
        </is>
      </c>
      <c r="G106" s="17" t="inlineStr">
        <is>
          <t xml:space="preserve"> 提供API调用限流阈值配置服务</t>
        </is>
      </c>
      <c r="H106" s="18" t="inlineStr">
        <is>
          <t>EQ</t>
        </is>
      </c>
      <c r="I106" s="18">
        <f>IF(H106="ILF",10,IF(H106="EIF",7,IF(H106="EI",4,IF(H106="EO",5,IF(H106="EQ",4,"")))))</f>
        <v/>
      </c>
      <c r="J106" s="18" t="inlineStr">
        <is>
          <t>中</t>
        </is>
      </c>
      <c r="K106" s="18">
        <f>IF(J106="高",0.33,IF(J106="中",0.67,IF(J106="低",1,"")))</f>
        <v/>
      </c>
      <c r="L106" s="18" t="inlineStr">
        <is>
          <t>新增</t>
        </is>
      </c>
      <c r="M106" s="18">
        <f>IF(L106="新增",1,IF(L106="修改",0.8,IF(L106="删除",0.2,"")))</f>
        <v/>
      </c>
      <c r="N106" s="18">
        <f>I106*K106*M106</f>
        <v/>
      </c>
    </row>
    <row r="107" ht="19" customHeight="1" s="1">
      <c r="B107" s="16" t="n">
        <v>102</v>
      </c>
      <c r="C107" s="16" t="inlineStr">
        <is>
          <t>时序数据采集增强中间件与基础平台服务</t>
        </is>
      </c>
      <c r="D107" s="16" t="inlineStr">
        <is>
          <t>全局参数管理</t>
        </is>
      </c>
      <c r="E107" s="16" t="inlineStr">
        <is>
          <t>扩展参数配置</t>
        </is>
      </c>
      <c r="F107" s="16" t="inlineStr">
        <is>
          <t>降级策略配置</t>
        </is>
      </c>
      <c r="G107" s="17" t="inlineStr">
        <is>
          <t xml:space="preserve"> 提供服务降级策略参数配置服务</t>
        </is>
      </c>
      <c r="H107" s="18" t="inlineStr">
        <is>
          <t>EQ</t>
        </is>
      </c>
      <c r="I107" s="18">
        <f>IF(H107="ILF",10,IF(H107="EIF",7,IF(H107="EI",4,IF(H107="EO",5,IF(H107="EQ",4,"")))))</f>
        <v/>
      </c>
      <c r="J107" s="18" t="inlineStr">
        <is>
          <t>中</t>
        </is>
      </c>
      <c r="K107" s="18">
        <f>IF(J107="高",0.33,IF(J107="中",0.67,IF(J107="低",1,"")))</f>
        <v/>
      </c>
      <c r="L107" s="18" t="inlineStr">
        <is>
          <t>新增</t>
        </is>
      </c>
      <c r="M107" s="18">
        <f>IF(L107="新增",1,IF(L107="修改",0.8,IF(L107="删除",0.2,"")))</f>
        <v/>
      </c>
      <c r="N107" s="18">
        <f>I107*K107*M107</f>
        <v/>
      </c>
    </row>
    <row r="108" ht="19" customHeight="1" s="1">
      <c r="B108" s="16" t="n">
        <v>103</v>
      </c>
      <c r="C108" s="16" t="inlineStr">
        <is>
          <t>时序数据采集增强中间件与基础平台服务</t>
        </is>
      </c>
      <c r="D108" s="16" t="inlineStr">
        <is>
          <t>全局参数管理</t>
        </is>
      </c>
      <c r="E108" s="16" t="inlineStr">
        <is>
          <t>系统配置服务</t>
        </is>
      </c>
      <c r="F108" s="16" t="inlineStr">
        <is>
          <t>系统参数备份恢复</t>
        </is>
      </c>
      <c r="G108" s="17" t="inlineStr">
        <is>
          <t xml:space="preserve"> 提供系统配置参数的备份与恢复服务</t>
        </is>
      </c>
      <c r="H108" s="18" t="inlineStr">
        <is>
          <t>EQ</t>
        </is>
      </c>
      <c r="I108" s="18">
        <f>IF(H108="ILF",10,IF(H108="EIF",7,IF(H108="EI",4,IF(H108="EO",5,IF(H108="EQ",4,"")))))</f>
        <v/>
      </c>
      <c r="J108" s="18" t="inlineStr">
        <is>
          <t>中</t>
        </is>
      </c>
      <c r="K108" s="18">
        <f>IF(J108="高",0.33,IF(J108="中",0.67,IF(J108="低",1,"")))</f>
        <v/>
      </c>
      <c r="L108" s="18" t="inlineStr">
        <is>
          <t>新增</t>
        </is>
      </c>
      <c r="M108" s="18">
        <f>IF(L108="新增",1,IF(L108="修改",0.8,IF(L108="删除",0.2,"")))</f>
        <v/>
      </c>
      <c r="N108" s="18">
        <f>I108*K108*M108</f>
        <v/>
      </c>
    </row>
    <row r="109" ht="19" customHeight="1" s="1">
      <c r="B109" s="16" t="n">
        <v>104</v>
      </c>
      <c r="C109" s="16" t="inlineStr">
        <is>
          <t>时序数据采集增强中间件与基础平台服务</t>
        </is>
      </c>
      <c r="D109" s="16" t="inlineStr">
        <is>
          <t>全局参数管理</t>
        </is>
      </c>
      <c r="E109" s="16" t="inlineStr">
        <is>
          <t>系统配置服务</t>
        </is>
      </c>
      <c r="F109" s="16" t="inlineStr">
        <is>
          <t>系统参数迁移</t>
        </is>
      </c>
      <c r="G109" s="17" t="inlineStr">
        <is>
          <t xml:space="preserve"> 提供系统参数跨环境迁移服务</t>
        </is>
      </c>
      <c r="H109" s="18" t="inlineStr">
        <is>
          <t>EQ</t>
        </is>
      </c>
      <c r="I109" s="18">
        <f>IF(H109="ILF",10,IF(H109="EIF",7,IF(H109="EI",4,IF(H109="EO",5,IF(H109="EQ",4,"")))))</f>
        <v/>
      </c>
      <c r="J109" s="18" t="inlineStr">
        <is>
          <t>中</t>
        </is>
      </c>
      <c r="K109" s="18">
        <f>IF(J109="高",0.33,IF(J109="中",0.67,IF(J109="低",1,"")))</f>
        <v/>
      </c>
      <c r="L109" s="18" t="inlineStr">
        <is>
          <t>新增</t>
        </is>
      </c>
      <c r="M109" s="18">
        <f>IF(L109="新增",1,IF(L109="修改",0.8,IF(L109="删除",0.2,"")))</f>
        <v/>
      </c>
      <c r="N109" s="18">
        <f>I109*K109*M109</f>
        <v/>
      </c>
    </row>
    <row r="110" ht="19" customHeight="1" s="1">
      <c r="B110" s="16" t="n">
        <v>105</v>
      </c>
      <c r="C110" s="16" t="inlineStr">
        <is>
          <t>时序数据采集增强中间件与基础平台服务</t>
        </is>
      </c>
      <c r="D110" s="16" t="inlineStr">
        <is>
          <t>全局参数管理</t>
        </is>
      </c>
      <c r="E110" s="16" t="inlineStr">
        <is>
          <t>系统配置服务</t>
        </is>
      </c>
      <c r="F110" s="16" t="inlineStr">
        <is>
          <t>系统参数对比</t>
        </is>
      </c>
      <c r="G110" s="17" t="inlineStr">
        <is>
          <t xml:space="preserve"> 提供系统参数版本差异对比服务</t>
        </is>
      </c>
      <c r="H110" s="18" t="inlineStr">
        <is>
          <t>EQ</t>
        </is>
      </c>
      <c r="I110" s="18">
        <f>IF(H110="ILF",10,IF(H110="EIF",7,IF(H110="EI",4,IF(H110="EO",5,IF(H110="EQ",4,"")))))</f>
        <v/>
      </c>
      <c r="J110" s="18" t="inlineStr">
        <is>
          <t>中</t>
        </is>
      </c>
      <c r="K110" s="18">
        <f>IF(J110="高",0.33,IF(J110="中",0.67,IF(J110="低",1,"")))</f>
        <v/>
      </c>
      <c r="L110" s="18" t="inlineStr">
        <is>
          <t>新增</t>
        </is>
      </c>
      <c r="M110" s="18">
        <f>IF(L110="新增",1,IF(L110="修改",0.8,IF(L110="删除",0.2,"")))</f>
        <v/>
      </c>
      <c r="N110" s="18">
        <f>I110*K110*M110</f>
        <v/>
      </c>
    </row>
    <row r="111" ht="19" customHeight="1" s="1">
      <c r="B111" s="16" t="n">
        <v>106</v>
      </c>
      <c r="C111" s="16" t="inlineStr">
        <is>
          <t>时序数据采集增强中间件与基础平台服务</t>
        </is>
      </c>
      <c r="D111" s="16" t="inlineStr">
        <is>
          <t>全局参数管理</t>
        </is>
      </c>
      <c r="E111" s="16" t="inlineStr">
        <is>
          <t>运行维护服务</t>
        </is>
      </c>
      <c r="F111" s="16" t="inlineStr">
        <is>
          <t>系统运行日志采集</t>
        </is>
      </c>
      <c r="G111" s="17" t="inlineStr">
        <is>
          <t xml:space="preserve"> 提供系统运行日志采集服务</t>
        </is>
      </c>
      <c r="H111" s="18" t="inlineStr">
        <is>
          <t>EQ</t>
        </is>
      </c>
      <c r="I111" s="18">
        <f>IF(H111="ILF",10,IF(H111="EIF",7,IF(H111="EI",4,IF(H111="EO",5,IF(H111="EQ",4,"")))))</f>
        <v/>
      </c>
      <c r="J111" s="18" t="inlineStr">
        <is>
          <t>中</t>
        </is>
      </c>
      <c r="K111" s="18">
        <f>IF(J111="高",0.33,IF(J111="中",0.67,IF(J111="低",1,"")))</f>
        <v/>
      </c>
      <c r="L111" s="18" t="inlineStr">
        <is>
          <t>新增</t>
        </is>
      </c>
      <c r="M111" s="18">
        <f>IF(L111="新增",1,IF(L111="修改",0.8,IF(L111="删除",0.2,"")))</f>
        <v/>
      </c>
      <c r="N111" s="18">
        <f>I111*K111*M111</f>
        <v/>
      </c>
    </row>
    <row r="112" ht="19" customHeight="1" s="1">
      <c r="B112" s="16" t="n">
        <v>107</v>
      </c>
      <c r="C112" s="16" t="inlineStr">
        <is>
          <t>时序数据采集增强中间件与基础平台服务</t>
        </is>
      </c>
      <c r="D112" s="16" t="inlineStr">
        <is>
          <t>全局参数管理</t>
        </is>
      </c>
      <c r="E112" s="16" t="inlineStr">
        <is>
          <t>运行维护服务</t>
        </is>
      </c>
      <c r="F112" s="16" t="inlineStr">
        <is>
          <t>系统运行指标采集</t>
        </is>
      </c>
      <c r="G112" s="17" t="inlineStr">
        <is>
          <t xml:space="preserve"> 提供系统运行指标采集服务</t>
        </is>
      </c>
      <c r="H112" s="18" t="inlineStr">
        <is>
          <t>EQ</t>
        </is>
      </c>
      <c r="I112" s="18">
        <f>IF(H112="ILF",10,IF(H112="EIF",7,IF(H112="EI",4,IF(H112="EO",5,IF(H112="EQ",4,"")))))</f>
        <v/>
      </c>
      <c r="J112" s="18" t="inlineStr">
        <is>
          <t>中</t>
        </is>
      </c>
      <c r="K112" s="18">
        <f>IF(J112="高",0.33,IF(J112="中",0.67,IF(J112="低",1,"")))</f>
        <v/>
      </c>
      <c r="L112" s="18" t="inlineStr">
        <is>
          <t>新增</t>
        </is>
      </c>
      <c r="M112" s="18">
        <f>IF(L112="新增",1,IF(L112="修改",0.8,IF(L112="删除",0.2,"")))</f>
        <v/>
      </c>
      <c r="N112" s="18">
        <f>I112*K112*M112</f>
        <v/>
      </c>
    </row>
    <row r="113" ht="19" customHeight="1" s="1">
      <c r="B113" s="16" t="n">
        <v>108</v>
      </c>
      <c r="C113" s="16" t="inlineStr">
        <is>
          <t>时序数据采集增强中间件与基础平台服务</t>
        </is>
      </c>
      <c r="D113" s="16" t="inlineStr">
        <is>
          <t>全局参数管理</t>
        </is>
      </c>
      <c r="E113" s="16" t="inlineStr">
        <is>
          <t>采集频率参数管理</t>
        </is>
      </c>
      <c r="F113" s="16" t="inlineStr">
        <is>
          <t>采油厂默认频率</t>
        </is>
      </c>
      <c r="G113" s="17" t="inlineStr">
        <is>
          <t xml:space="preserve"> 提供各采油厂默认采集频率参数配置技术服务</t>
        </is>
      </c>
      <c r="H113" s="18" t="inlineStr">
        <is>
          <t>EQ</t>
        </is>
      </c>
      <c r="I113" s="18">
        <f>IF(H113="ILF",10,IF(H113="EIF",7,IF(H113="EI",4,IF(H113="EO",5,IF(H113="EQ",4,"")))))</f>
        <v/>
      </c>
      <c r="J113" s="18" t="inlineStr">
        <is>
          <t>中</t>
        </is>
      </c>
      <c r="K113" s="18">
        <f>IF(J113="高",0.33,IF(J113="中",0.67,IF(J113="低",1,"")))</f>
        <v/>
      </c>
      <c r="L113" s="18" t="inlineStr">
        <is>
          <t>新增</t>
        </is>
      </c>
      <c r="M113" s="18">
        <f>IF(L113="新增",1,IF(L113="修改",0.8,IF(L113="删除",0.2,"")))</f>
        <v/>
      </c>
      <c r="N113" s="18">
        <f>I113*K113*M113</f>
        <v/>
      </c>
    </row>
    <row r="114" ht="19" customHeight="1" s="1">
      <c r="B114" s="16" t="n">
        <v>109</v>
      </c>
      <c r="C114" s="16" t="inlineStr">
        <is>
          <t>油气生产设备物模型与测点标准化管理服务</t>
        </is>
      </c>
      <c r="D114" s="16" t="inlineStr">
        <is>
          <t>设备物模型配置</t>
        </is>
      </c>
      <c r="E114" s="16" t="inlineStr">
        <is>
          <t>G2组电参</t>
        </is>
      </c>
      <c r="F114" s="16" t="inlineStr">
        <is>
          <t>G2寄存器映射</t>
        </is>
      </c>
      <c r="G114" s="17" t="inlineStr">
        <is>
          <t xml:space="preserve"> 提供G2组Modbus寄存器40351-40379地址映射技术服务</t>
        </is>
      </c>
      <c r="H114" s="18" t="inlineStr">
        <is>
          <t>ILF</t>
        </is>
      </c>
      <c r="I114" s="18">
        <f>IF(H114="ILF",10,IF(H114="EIF",7,IF(H114="EI",4,IF(H114="EO",5,IF(H114="EQ",4,"")))))</f>
        <v/>
      </c>
      <c r="J114" s="18" t="inlineStr">
        <is>
          <t>低</t>
        </is>
      </c>
      <c r="K114" s="18">
        <f>IF(J114="高",0.33,IF(J114="中",0.67,IF(J114="低",1,"")))</f>
        <v/>
      </c>
      <c r="L114" s="18" t="inlineStr">
        <is>
          <t>新增</t>
        </is>
      </c>
      <c r="M114" s="18">
        <f>IF(L114="新增",1,IF(L114="修改",0.8,IF(L114="删除",0.2,"")))</f>
        <v/>
      </c>
      <c r="N114" s="18">
        <f>I114*K114*M114</f>
        <v/>
      </c>
    </row>
    <row r="115" ht="19" customHeight="1" s="1">
      <c r="B115" s="16" t="n">
        <v>110</v>
      </c>
      <c r="C115" s="16" t="inlineStr">
        <is>
          <t>油气生产设备物模型与测点标准化管理服务</t>
        </is>
      </c>
      <c r="D115" s="16" t="inlineStr">
        <is>
          <t>设备物模型配置</t>
        </is>
      </c>
      <c r="E115" s="16" t="inlineStr">
        <is>
          <t>G3~G8组</t>
        </is>
      </c>
      <c r="F115" s="16" t="inlineStr">
        <is>
          <t>G3变频模型</t>
        </is>
      </c>
      <c r="G115" s="17" t="inlineStr">
        <is>
          <t xml:space="preserve"> 提供G3变频分组5个参数物模型配置技术服务</t>
        </is>
      </c>
      <c r="H115" s="18" t="inlineStr">
        <is>
          <t>ILF</t>
        </is>
      </c>
      <c r="I115" s="18">
        <f>IF(H115="ILF",10,IF(H115="EIF",7,IF(H115="EI",4,IF(H115="EO",5,IF(H115="EQ",4,"")))))</f>
        <v/>
      </c>
      <c r="J115" s="18" t="inlineStr">
        <is>
          <t>低</t>
        </is>
      </c>
      <c r="K115" s="18">
        <f>IF(J115="高",0.33,IF(J115="中",0.67,IF(J115="低",1,"")))</f>
        <v/>
      </c>
      <c r="L115" s="18" t="inlineStr">
        <is>
          <t>新增</t>
        </is>
      </c>
      <c r="M115" s="18">
        <f>IF(L115="新增",1,IF(L115="修改",0.8,IF(L115="删除",0.2,"")))</f>
        <v/>
      </c>
      <c r="N115" s="18">
        <f>I115*K115*M115</f>
        <v/>
      </c>
    </row>
    <row r="116" ht="19" customHeight="1" s="1">
      <c r="B116" s="16" t="n">
        <v>111</v>
      </c>
      <c r="C116" s="16" t="inlineStr">
        <is>
          <t>油气生产设备物模型与测点标准化管理服务</t>
        </is>
      </c>
      <c r="D116" s="16" t="inlineStr">
        <is>
          <t>设备物模型配置</t>
        </is>
      </c>
      <c r="E116" s="16" t="inlineStr">
        <is>
          <t>G2组电参</t>
        </is>
      </c>
      <c r="F116" s="16" t="inlineStr">
        <is>
          <t>G2电参物模型</t>
        </is>
      </c>
      <c r="G116" s="17" t="inlineStr">
        <is>
          <t xml:space="preserve"> 提供G2电参分组15个参数物模型配置技术服务</t>
        </is>
      </c>
      <c r="H116" s="18" t="inlineStr">
        <is>
          <t>ILF</t>
        </is>
      </c>
      <c r="I116" s="18">
        <f>IF(H116="ILF",10,IF(H116="EIF",7,IF(H116="EI",4,IF(H116="EO",5,IF(H116="EQ",4,"")))))</f>
        <v/>
      </c>
      <c r="J116" s="18" t="inlineStr">
        <is>
          <t>低</t>
        </is>
      </c>
      <c r="K116" s="18">
        <f>IF(J116="高",0.33,IF(J116="中",0.67,IF(J116="低",1,"")))</f>
        <v/>
      </c>
      <c r="L116" s="18" t="inlineStr">
        <is>
          <t>新增</t>
        </is>
      </c>
      <c r="M116" s="18">
        <f>IF(L116="新增",1,IF(L116="修改",0.8,IF(L116="删除",0.2,"")))</f>
        <v/>
      </c>
      <c r="N116" s="18">
        <f>I116*K116*M116</f>
        <v/>
      </c>
    </row>
    <row r="117" ht="19" customHeight="1" s="1">
      <c r="B117" s="16" t="n">
        <v>112</v>
      </c>
      <c r="C117" s="16" t="inlineStr">
        <is>
          <t>油气生产设备物模型与测点标准化管理服务</t>
        </is>
      </c>
      <c r="D117" s="16" t="inlineStr">
        <is>
          <t>设备物模型配置</t>
        </is>
      </c>
      <c r="E117" s="16" t="inlineStr">
        <is>
          <t>G2组电参</t>
        </is>
      </c>
      <c r="F117" s="16" t="inlineStr">
        <is>
          <t>G2A相电流</t>
        </is>
      </c>
      <c r="G117" s="17" t="inlineStr">
        <is>
          <t xml:space="preserve"> 提供G2组A相电流参数属性定义技术服务</t>
        </is>
      </c>
      <c r="H117" s="18" t="inlineStr">
        <is>
          <t>ILF</t>
        </is>
      </c>
      <c r="I117" s="18">
        <f>IF(H117="ILF",10,IF(H117="EIF",7,IF(H117="EI",4,IF(H117="EO",5,IF(H117="EQ",4,"")))))</f>
        <v/>
      </c>
      <c r="J117" s="18" t="inlineStr">
        <is>
          <t>低</t>
        </is>
      </c>
      <c r="K117" s="18">
        <f>IF(J117="高",0.33,IF(J117="中",0.67,IF(J117="低",1,"")))</f>
        <v/>
      </c>
      <c r="L117" s="18" t="inlineStr">
        <is>
          <t>新增</t>
        </is>
      </c>
      <c r="M117" s="18">
        <f>IF(L117="新增",1,IF(L117="修改",0.8,IF(L117="删除",0.2,"")))</f>
        <v/>
      </c>
      <c r="N117" s="18">
        <f>I117*K117*M117</f>
        <v/>
      </c>
    </row>
    <row r="118" ht="19" customHeight="1" s="1">
      <c r="B118" s="16" t="n">
        <v>113</v>
      </c>
      <c r="C118" s="16" t="inlineStr">
        <is>
          <t>油气生产设备物模型与测点标准化管理服务</t>
        </is>
      </c>
      <c r="D118" s="16" t="inlineStr">
        <is>
          <t>设备物模型配置</t>
        </is>
      </c>
      <c r="E118" s="16" t="inlineStr">
        <is>
          <t>G2组电参</t>
        </is>
      </c>
      <c r="F118" s="16" t="inlineStr">
        <is>
          <t>G2B相电流</t>
        </is>
      </c>
      <c r="G118" s="17" t="inlineStr">
        <is>
          <t xml:space="preserve"> 提供G2组B相电流参数属性定义技术服务</t>
        </is>
      </c>
      <c r="H118" s="18" t="inlineStr">
        <is>
          <t>ILF</t>
        </is>
      </c>
      <c r="I118" s="18">
        <f>IF(H118="ILF",10,IF(H118="EIF",7,IF(H118="EI",4,IF(H118="EO",5,IF(H118="EQ",4,"")))))</f>
        <v/>
      </c>
      <c r="J118" s="18" t="inlineStr">
        <is>
          <t>低</t>
        </is>
      </c>
      <c r="K118" s="18">
        <f>IF(J118="高",0.33,IF(J118="中",0.67,IF(J118="低",1,"")))</f>
        <v/>
      </c>
      <c r="L118" s="18" t="inlineStr">
        <is>
          <t>新增</t>
        </is>
      </c>
      <c r="M118" s="18">
        <f>IF(L118="新增",1,IF(L118="修改",0.8,IF(L118="删除",0.2,"")))</f>
        <v/>
      </c>
      <c r="N118" s="18">
        <f>I118*K118*M118</f>
        <v/>
      </c>
    </row>
    <row r="119" ht="19" customHeight="1" s="1">
      <c r="B119" s="16" t="n">
        <v>114</v>
      </c>
      <c r="C119" s="16" t="inlineStr">
        <is>
          <t>油气生产设备物模型与测点标准化管理服务</t>
        </is>
      </c>
      <c r="D119" s="16" t="inlineStr">
        <is>
          <t>设备物模型配置</t>
        </is>
      </c>
      <c r="E119" s="16" t="inlineStr">
        <is>
          <t>G2组电参</t>
        </is>
      </c>
      <c r="F119" s="16" t="inlineStr">
        <is>
          <t>G2C相电流</t>
        </is>
      </c>
      <c r="G119" s="17" t="inlineStr">
        <is>
          <t xml:space="preserve"> 提供G2组C相电流参数属性定义技术服务</t>
        </is>
      </c>
      <c r="H119" s="18" t="inlineStr">
        <is>
          <t>ILF</t>
        </is>
      </c>
      <c r="I119" s="18">
        <f>IF(H119="ILF",10,IF(H119="EIF",7,IF(H119="EI",4,IF(H119="EO",5,IF(H119="EQ",4,"")))))</f>
        <v/>
      </c>
      <c r="J119" s="18" t="inlineStr">
        <is>
          <t>低</t>
        </is>
      </c>
      <c r="K119" s="18">
        <f>IF(J119="高",0.33,IF(J119="中",0.67,IF(J119="低",1,"")))</f>
        <v/>
      </c>
      <c r="L119" s="18" t="inlineStr">
        <is>
          <t>新增</t>
        </is>
      </c>
      <c r="M119" s="18">
        <f>IF(L119="新增",1,IF(L119="修改",0.8,IF(L119="删除",0.2,"")))</f>
        <v/>
      </c>
      <c r="N119" s="18">
        <f>I119*K119*M119</f>
        <v/>
      </c>
    </row>
    <row r="120" ht="19" customHeight="1" s="1">
      <c r="B120" s="16" t="n">
        <v>115</v>
      </c>
      <c r="C120" s="16" t="inlineStr">
        <is>
          <t>油气生产设备物模型与测点标准化管理服务</t>
        </is>
      </c>
      <c r="D120" s="16" t="inlineStr">
        <is>
          <t>设备物模型配置</t>
        </is>
      </c>
      <c r="E120" s="16" t="inlineStr">
        <is>
          <t>G2组电参</t>
        </is>
      </c>
      <c r="F120" s="16" t="inlineStr">
        <is>
          <t>G2A相电压</t>
        </is>
      </c>
      <c r="G120" s="17" t="inlineStr">
        <is>
          <t xml:space="preserve"> 提供G2组A相电压参数属性定义技术服务</t>
        </is>
      </c>
      <c r="H120" s="18" t="inlineStr">
        <is>
          <t>ILF</t>
        </is>
      </c>
      <c r="I120" s="18">
        <f>IF(H120="ILF",10,IF(H120="EIF",7,IF(H120="EI",4,IF(H120="EO",5,IF(H120="EQ",4,"")))))</f>
        <v/>
      </c>
      <c r="J120" s="18" t="inlineStr">
        <is>
          <t>低</t>
        </is>
      </c>
      <c r="K120" s="18">
        <f>IF(J120="高",0.33,IF(J120="中",0.67,IF(J120="低",1,"")))</f>
        <v/>
      </c>
      <c r="L120" s="18" t="inlineStr">
        <is>
          <t>新增</t>
        </is>
      </c>
      <c r="M120" s="18">
        <f>IF(L120="新增",1,IF(L120="修改",0.8,IF(L120="删除",0.2,"")))</f>
        <v/>
      </c>
      <c r="N120" s="18">
        <f>I120*K120*M120</f>
        <v/>
      </c>
    </row>
    <row r="121" ht="19" customHeight="1" s="1">
      <c r="B121" s="16" t="n">
        <v>116</v>
      </c>
      <c r="C121" s="16" t="inlineStr">
        <is>
          <t>油气生产设备物模型与测点标准化管理服务</t>
        </is>
      </c>
      <c r="D121" s="16" t="inlineStr">
        <is>
          <t>设备物模型配置</t>
        </is>
      </c>
      <c r="E121" s="16" t="inlineStr">
        <is>
          <t>G2组电参</t>
        </is>
      </c>
      <c r="F121" s="16" t="inlineStr">
        <is>
          <t>G2B相电压</t>
        </is>
      </c>
      <c r="G121" s="17" t="inlineStr">
        <is>
          <t xml:space="preserve"> 提供G2组B相电压参数属性定义技术服务</t>
        </is>
      </c>
      <c r="H121" s="18" t="inlineStr">
        <is>
          <t>ILF</t>
        </is>
      </c>
      <c r="I121" s="18">
        <f>IF(H121="ILF",10,IF(H121="EIF",7,IF(H121="EI",4,IF(H121="EO",5,IF(H121="EQ",4,"")))))</f>
        <v/>
      </c>
      <c r="J121" s="18" t="inlineStr">
        <is>
          <t>低</t>
        </is>
      </c>
      <c r="K121" s="18">
        <f>IF(J121="高",0.33,IF(J121="中",0.67,IF(J121="低",1,"")))</f>
        <v/>
      </c>
      <c r="L121" s="18" t="inlineStr">
        <is>
          <t>新增</t>
        </is>
      </c>
      <c r="M121" s="18">
        <f>IF(L121="新增",1,IF(L121="修改",0.8,IF(L121="删除",0.2,"")))</f>
        <v/>
      </c>
      <c r="N121" s="18">
        <f>I121*K121*M121</f>
        <v/>
      </c>
    </row>
    <row r="122" ht="19" customHeight="1" s="1">
      <c r="B122" s="16" t="n">
        <v>117</v>
      </c>
      <c r="C122" s="16" t="inlineStr">
        <is>
          <t>油气生产设备物模型与测点标准化管理服务</t>
        </is>
      </c>
      <c r="D122" s="16" t="inlineStr">
        <is>
          <t>设备物模型配置</t>
        </is>
      </c>
      <c r="E122" s="16" t="inlineStr">
        <is>
          <t>G2组电参</t>
        </is>
      </c>
      <c r="F122" s="16" t="inlineStr">
        <is>
          <t>G2C相电压</t>
        </is>
      </c>
      <c r="G122" s="17" t="inlineStr">
        <is>
          <t xml:space="preserve"> 提供G2组C相电压参数属性定义技术服务</t>
        </is>
      </c>
      <c r="H122" s="18" t="inlineStr">
        <is>
          <t>ILF</t>
        </is>
      </c>
      <c r="I122" s="18">
        <f>IF(H122="ILF",10,IF(H122="EIF",7,IF(H122="EI",4,IF(H122="EO",5,IF(H122="EQ",4,"")))))</f>
        <v/>
      </c>
      <c r="J122" s="18" t="inlineStr">
        <is>
          <t>低</t>
        </is>
      </c>
      <c r="K122" s="18">
        <f>IF(J122="高",0.33,IF(J122="中",0.67,IF(J122="低",1,"")))</f>
        <v/>
      </c>
      <c r="L122" s="18" t="inlineStr">
        <is>
          <t>新增</t>
        </is>
      </c>
      <c r="M122" s="18">
        <f>IF(L122="新增",1,IF(L122="修改",0.8,IF(L122="删除",0.2,"")))</f>
        <v/>
      </c>
      <c r="N122" s="18">
        <f>I122*K122*M122</f>
        <v/>
      </c>
    </row>
    <row r="123" ht="19" customHeight="1" s="1">
      <c r="B123" s="16" t="n">
        <v>118</v>
      </c>
      <c r="C123" s="16" t="inlineStr">
        <is>
          <t>油气生产设备物模型与测点标准化管理服务</t>
        </is>
      </c>
      <c r="D123" s="16" t="inlineStr">
        <is>
          <t>设备物模型配置</t>
        </is>
      </c>
      <c r="E123" s="16" t="inlineStr">
        <is>
          <t>G2组电参</t>
        </is>
      </c>
      <c r="F123" s="16" t="inlineStr">
        <is>
          <t>G2有功功率</t>
        </is>
      </c>
      <c r="G123" s="17" t="inlineStr">
        <is>
          <t xml:space="preserve"> 提供G2组有功功率参数属性定义技术服务</t>
        </is>
      </c>
      <c r="H123" s="18" t="inlineStr">
        <is>
          <t>ILF</t>
        </is>
      </c>
      <c r="I123" s="18">
        <f>IF(H123="ILF",10,IF(H123="EIF",7,IF(H123="EI",4,IF(H123="EO",5,IF(H123="EQ",4,"")))))</f>
        <v/>
      </c>
      <c r="J123" s="18" t="inlineStr">
        <is>
          <t>低</t>
        </is>
      </c>
      <c r="K123" s="18">
        <f>IF(J123="高",0.33,IF(J123="中",0.67,IF(J123="低",1,"")))</f>
        <v/>
      </c>
      <c r="L123" s="18" t="inlineStr">
        <is>
          <t>新增</t>
        </is>
      </c>
      <c r="M123" s="18">
        <f>IF(L123="新增",1,IF(L123="修改",0.8,IF(L123="删除",0.2,"")))</f>
        <v/>
      </c>
      <c r="N123" s="18">
        <f>I123*K123*M123</f>
        <v/>
      </c>
    </row>
    <row r="124" ht="19" customHeight="1" s="1">
      <c r="B124" s="16" t="n">
        <v>119</v>
      </c>
      <c r="C124" s="16" t="inlineStr">
        <is>
          <t>油气生产设备物模型与测点标准化管理服务</t>
        </is>
      </c>
      <c r="D124" s="16" t="inlineStr">
        <is>
          <t>设备物模型配置</t>
        </is>
      </c>
      <c r="E124" s="16" t="inlineStr">
        <is>
          <t>G2组电参</t>
        </is>
      </c>
      <c r="F124" s="16" t="inlineStr">
        <is>
          <t>G2无功功率</t>
        </is>
      </c>
      <c r="G124" s="17" t="inlineStr">
        <is>
          <t xml:space="preserve"> 提供G2组无功功率参数属性定义技术服务</t>
        </is>
      </c>
      <c r="H124" s="18" t="inlineStr">
        <is>
          <t>ILF</t>
        </is>
      </c>
      <c r="I124" s="18">
        <f>IF(H124="ILF",10,IF(H124="EIF",7,IF(H124="EI",4,IF(H124="EO",5,IF(H124="EQ",4,"")))))</f>
        <v/>
      </c>
      <c r="J124" s="18" t="inlineStr">
        <is>
          <t>低</t>
        </is>
      </c>
      <c r="K124" s="18">
        <f>IF(J124="高",0.33,IF(J124="中",0.67,IF(J124="低",1,"")))</f>
        <v/>
      </c>
      <c r="L124" s="18" t="inlineStr">
        <is>
          <t>新增</t>
        </is>
      </c>
      <c r="M124" s="18">
        <f>IF(L124="新增",1,IF(L124="修改",0.8,IF(L124="删除",0.2,"")))</f>
        <v/>
      </c>
      <c r="N124" s="18">
        <f>I124*K124*M124</f>
        <v/>
      </c>
    </row>
    <row r="125" ht="19" customHeight="1" s="1">
      <c r="B125" s="16" t="n">
        <v>120</v>
      </c>
      <c r="C125" s="16" t="inlineStr">
        <is>
          <t>油气生产设备物模型与测点标准化管理服务</t>
        </is>
      </c>
      <c r="D125" s="16" t="inlineStr">
        <is>
          <t>设备物模型配置</t>
        </is>
      </c>
      <c r="E125" s="16" t="inlineStr">
        <is>
          <t>G2组电参</t>
        </is>
      </c>
      <c r="F125" s="16" t="inlineStr">
        <is>
          <t>G2功率因数</t>
        </is>
      </c>
      <c r="G125" s="17" t="inlineStr">
        <is>
          <t xml:space="preserve"> 提供G2组功率因数参数属性定义技术服务</t>
        </is>
      </c>
      <c r="H125" s="18" t="inlineStr">
        <is>
          <t>ILF</t>
        </is>
      </c>
      <c r="I125" s="18">
        <f>IF(H125="ILF",10,IF(H125="EIF",7,IF(H125="EI",4,IF(H125="EO",5,IF(H125="EQ",4,"")))))</f>
        <v/>
      </c>
      <c r="J125" s="18" t="inlineStr">
        <is>
          <t>中</t>
        </is>
      </c>
      <c r="K125" s="18">
        <f>IF(J125="高",0.33,IF(J125="中",0.67,IF(J125="低",1,"")))</f>
        <v/>
      </c>
      <c r="L125" s="18" t="inlineStr">
        <is>
          <t>新增</t>
        </is>
      </c>
      <c r="M125" s="18">
        <f>IF(L125="新增",1,IF(L125="修改",0.8,IF(L125="删除",0.2,"")))</f>
        <v/>
      </c>
      <c r="N125" s="18">
        <f>I125*K125*M125</f>
        <v/>
      </c>
    </row>
    <row r="126" ht="19" customHeight="1" s="1">
      <c r="B126" s="16" t="n">
        <v>121</v>
      </c>
      <c r="C126" s="16" t="inlineStr">
        <is>
          <t>油气生产设备物模型与测点标准化管理服务</t>
        </is>
      </c>
      <c r="D126" s="16" t="inlineStr">
        <is>
          <t>设备物模型配置</t>
        </is>
      </c>
      <c r="E126" s="16" t="inlineStr">
        <is>
          <t>G2组电参</t>
        </is>
      </c>
      <c r="F126" s="16" t="inlineStr">
        <is>
          <t>G2日耗电量</t>
        </is>
      </c>
      <c r="G126" s="17" t="inlineStr">
        <is>
          <t xml:space="preserve"> 提供G2组日耗电量参数属性定义技术服务</t>
        </is>
      </c>
      <c r="H126" s="18" t="inlineStr">
        <is>
          <t>ILF</t>
        </is>
      </c>
      <c r="I126" s="18">
        <f>IF(H126="ILF",10,IF(H126="EIF",7,IF(H126="EI",4,IF(H126="EO",5,IF(H126="EQ",4,"")))))</f>
        <v/>
      </c>
      <c r="J126" s="18" t="inlineStr">
        <is>
          <t>中</t>
        </is>
      </c>
      <c r="K126" s="18">
        <f>IF(J126="高",0.33,IF(J126="中",0.67,IF(J126="低",1,"")))</f>
        <v/>
      </c>
      <c r="L126" s="18" t="inlineStr">
        <is>
          <t>新增</t>
        </is>
      </c>
      <c r="M126" s="18">
        <f>IF(L126="新增",1,IF(L126="修改",0.8,IF(L126="删除",0.2,"")))</f>
        <v/>
      </c>
      <c r="N126" s="18">
        <f>I126*K126*M126</f>
        <v/>
      </c>
    </row>
    <row r="127" ht="19" customHeight="1" s="1">
      <c r="B127" s="16" t="n">
        <v>122</v>
      </c>
      <c r="C127" s="16" t="inlineStr">
        <is>
          <t>油气生产设备物模型与测点标准化管理服务</t>
        </is>
      </c>
      <c r="D127" s="16" t="inlineStr">
        <is>
          <t>设备物模型配置</t>
        </is>
      </c>
      <c r="E127" s="16" t="inlineStr">
        <is>
          <t>G2组电参</t>
        </is>
      </c>
      <c r="F127" s="16" t="inlineStr">
        <is>
          <t>G2寄存器映射</t>
        </is>
      </c>
      <c r="G127" s="17" t="inlineStr">
        <is>
          <t xml:space="preserve"> 提供G2组Modbus寄存器40351-40379地址映射技术服务</t>
        </is>
      </c>
      <c r="H127" s="18" t="inlineStr">
        <is>
          <t>ILF</t>
        </is>
      </c>
      <c r="I127" s="18">
        <f>IF(H127="ILF",10,IF(H127="EIF",7,IF(H127="EI",4,IF(H127="EO",5,IF(H127="EQ",4,"")))))</f>
        <v/>
      </c>
      <c r="J127" s="18" t="inlineStr">
        <is>
          <t>中</t>
        </is>
      </c>
      <c r="K127" s="18">
        <f>IF(J127="高",0.33,IF(J127="中",0.67,IF(J127="低",1,"")))</f>
        <v/>
      </c>
      <c r="L127" s="18" t="inlineStr">
        <is>
          <t>新增</t>
        </is>
      </c>
      <c r="M127" s="18">
        <f>IF(L127="新增",1,IF(L127="修改",0.8,IF(L127="删除",0.2,"")))</f>
        <v/>
      </c>
      <c r="N127" s="18">
        <f>I127*K127*M127</f>
        <v/>
      </c>
    </row>
    <row r="128" ht="19" customHeight="1" s="1">
      <c r="B128" s="16" t="n">
        <v>123</v>
      </c>
      <c r="C128" s="16" t="inlineStr">
        <is>
          <t>油气生产设备物模型与测点标准化管理服务</t>
        </is>
      </c>
      <c r="D128" s="16" t="inlineStr">
        <is>
          <t>设备物模型配置</t>
        </is>
      </c>
      <c r="E128" s="16" t="inlineStr">
        <is>
          <t>G3~G8组</t>
        </is>
      </c>
      <c r="F128" s="16" t="inlineStr">
        <is>
          <t>G3变频模型</t>
        </is>
      </c>
      <c r="G128" s="17" t="inlineStr">
        <is>
          <t xml:space="preserve"> 提供G3变频分组5个参数物模型配置技术服务</t>
        </is>
      </c>
      <c r="H128" s="18" t="inlineStr">
        <is>
          <t>ILF</t>
        </is>
      </c>
      <c r="I128" s="18">
        <f>IF(H128="ILF",10,IF(H128="EIF",7,IF(H128="EI",4,IF(H128="EO",5,IF(H128="EQ",4,"")))))</f>
        <v/>
      </c>
      <c r="J128" s="18" t="inlineStr">
        <is>
          <t>中</t>
        </is>
      </c>
      <c r="K128" s="18">
        <f>IF(J128="高",0.33,IF(J128="中",0.67,IF(J128="低",1,"")))</f>
        <v/>
      </c>
      <c r="L128" s="18" t="inlineStr">
        <is>
          <t>新增</t>
        </is>
      </c>
      <c r="M128" s="18">
        <f>IF(L128="新增",1,IF(L128="修改",0.8,IF(L128="删除",0.2,"")))</f>
        <v/>
      </c>
      <c r="N128" s="18">
        <f>I128*K128*M128</f>
        <v/>
      </c>
    </row>
    <row r="129" ht="19" customHeight="1" s="1">
      <c r="B129" s="16" t="n">
        <v>124</v>
      </c>
      <c r="C129" s="16" t="inlineStr">
        <is>
          <t>油气生产设备物模型与测点标准化管理服务</t>
        </is>
      </c>
      <c r="D129" s="16" t="inlineStr">
        <is>
          <t>设备物模型配置</t>
        </is>
      </c>
      <c r="E129" s="16" t="inlineStr">
        <is>
          <t>G3~G8组</t>
        </is>
      </c>
      <c r="F129" s="16" t="inlineStr">
        <is>
          <t>G3寄存器</t>
        </is>
      </c>
      <c r="G129" s="17" t="inlineStr">
        <is>
          <t xml:space="preserve"> 提供G3组寄存器40400-40406地址映射技术服务</t>
        </is>
      </c>
      <c r="H129" s="18" t="inlineStr">
        <is>
          <t>ILF</t>
        </is>
      </c>
      <c r="I129" s="18">
        <f>IF(H129="ILF",10,IF(H129="EIF",7,IF(H129="EI",4,IF(H129="EO",5,IF(H129="EQ",4,"")))))</f>
        <v/>
      </c>
      <c r="J129" s="18" t="inlineStr">
        <is>
          <t>高</t>
        </is>
      </c>
      <c r="K129" s="18">
        <f>IF(J129="高",0.33,IF(J129="中",0.67,IF(J129="低",1,"")))</f>
        <v/>
      </c>
      <c r="L129" s="18" t="inlineStr">
        <is>
          <t>新增</t>
        </is>
      </c>
      <c r="M129" s="18">
        <f>IF(L129="新增",1,IF(L129="修改",0.8,IF(L129="删除",0.2,"")))</f>
        <v/>
      </c>
      <c r="N129" s="18">
        <f>I129*K129*M129</f>
        <v/>
      </c>
    </row>
    <row r="130" ht="19" customHeight="1" s="1">
      <c r="B130" s="16" t="n">
        <v>125</v>
      </c>
      <c r="C130" s="16" t="inlineStr">
        <is>
          <t>油气生产设备物模型与测点标准化管理服务</t>
        </is>
      </c>
      <c r="D130" s="16" t="inlineStr">
        <is>
          <t>设备物模型配置</t>
        </is>
      </c>
      <c r="E130" s="16" t="inlineStr">
        <is>
          <t>G3~G8组</t>
        </is>
      </c>
      <c r="F130" s="16" t="inlineStr">
        <is>
          <t>G4抽油机</t>
        </is>
      </c>
      <c r="G130" s="17" t="inlineStr">
        <is>
          <t xml:space="preserve"> 提供G4分组冲次/冲程参数物模型配置技术服务</t>
        </is>
      </c>
      <c r="H130" s="18" t="inlineStr">
        <is>
          <t>EI</t>
        </is>
      </c>
      <c r="I130" s="18">
        <f>IF(H130="ILF",10,IF(H130="EIF",7,IF(H130="EI",4,IF(H130="EO",5,IF(H130="EQ",4,"")))))</f>
        <v/>
      </c>
      <c r="J130" s="18" t="inlineStr">
        <is>
          <t>低</t>
        </is>
      </c>
      <c r="K130" s="18">
        <f>IF(J130="高",0.33,IF(J130="中",0.67,IF(J130="低",1,"")))</f>
        <v/>
      </c>
      <c r="L130" s="18" t="inlineStr">
        <is>
          <t>新增</t>
        </is>
      </c>
      <c r="M130" s="18">
        <f>IF(L130="新增",1,IF(L130="修改",0.8,IF(L130="删除",0.2,"")))</f>
        <v/>
      </c>
      <c r="N130" s="18">
        <f>I130*K130*M130</f>
        <v/>
      </c>
    </row>
    <row r="131" ht="19" customHeight="1" s="1">
      <c r="B131" s="16" t="n">
        <v>126</v>
      </c>
      <c r="C131" s="16" t="inlineStr">
        <is>
          <t>油气生产设备物模型与测点标准化管理服务</t>
        </is>
      </c>
      <c r="D131" s="16" t="inlineStr">
        <is>
          <t>设备物模型配置</t>
        </is>
      </c>
      <c r="E131" s="16" t="inlineStr">
        <is>
          <t>G3~G8组</t>
        </is>
      </c>
      <c r="F131" s="16" t="inlineStr">
        <is>
          <t>G5螺杆泵</t>
        </is>
      </c>
      <c r="G131" s="17" t="inlineStr">
        <is>
          <t xml:space="preserve"> 提供G5分组转速/扭矩参数物模型配置技术服务</t>
        </is>
      </c>
      <c r="H131" s="18" t="inlineStr">
        <is>
          <t>EI</t>
        </is>
      </c>
      <c r="I131" s="18">
        <f>IF(H131="ILF",10,IF(H131="EIF",7,IF(H131="EI",4,IF(H131="EO",5,IF(H131="EQ",4,"")))))</f>
        <v/>
      </c>
      <c r="J131" s="18" t="inlineStr">
        <is>
          <t>低</t>
        </is>
      </c>
      <c r="K131" s="18">
        <f>IF(J131="高",0.33,IF(J131="中",0.67,IF(J131="低",1,"")))</f>
        <v/>
      </c>
      <c r="L131" s="18" t="inlineStr">
        <is>
          <t>新增</t>
        </is>
      </c>
      <c r="M131" s="18">
        <f>IF(L131="新增",1,IF(L131="修改",0.8,IF(L131="删除",0.2,"")))</f>
        <v/>
      </c>
      <c r="N131" s="18">
        <f>I131*K131*M131</f>
        <v/>
      </c>
    </row>
    <row r="132" ht="19" customHeight="1" s="1">
      <c r="B132" s="16" t="n">
        <v>127</v>
      </c>
      <c r="C132" s="16" t="inlineStr">
        <is>
          <t>油气生产设备物模型与测点标准化管理服务</t>
        </is>
      </c>
      <c r="D132" s="16" t="inlineStr">
        <is>
          <t>设备物模型配置</t>
        </is>
      </c>
      <c r="E132" s="16" t="inlineStr">
        <is>
          <t>G3~G8组</t>
        </is>
      </c>
      <c r="F132" s="16" t="inlineStr">
        <is>
          <t>G6报警诊断</t>
        </is>
      </c>
      <c r="G132" s="17" t="inlineStr">
        <is>
          <t xml:space="preserve"> 提供G6分组6个报警诊断参数物模型配置技术服务</t>
        </is>
      </c>
      <c r="H132" s="18" t="inlineStr">
        <is>
          <t>EI</t>
        </is>
      </c>
      <c r="I132" s="18">
        <f>IF(H132="ILF",10,IF(H132="EIF",7,IF(H132="EI",4,IF(H132="EO",5,IF(H132="EQ",4,"")))))</f>
        <v/>
      </c>
      <c r="J132" s="18" t="inlineStr">
        <is>
          <t>低</t>
        </is>
      </c>
      <c r="K132" s="18">
        <f>IF(J132="高",0.33,IF(J132="中",0.67,IF(J132="低",1,"")))</f>
        <v/>
      </c>
      <c r="L132" s="18" t="inlineStr">
        <is>
          <t>新增</t>
        </is>
      </c>
      <c r="M132" s="18">
        <f>IF(L132="新增",1,IF(L132="修改",0.8,IF(L132="删除",0.2,"")))</f>
        <v/>
      </c>
      <c r="N132" s="18">
        <f>I132*K132*M132</f>
        <v/>
      </c>
    </row>
    <row r="133" ht="19" customHeight="1" s="1">
      <c r="B133" s="16" t="n">
        <v>128</v>
      </c>
      <c r="C133" s="16" t="inlineStr">
        <is>
          <t>油气生产设备物模型与测点标准化管理服务</t>
        </is>
      </c>
      <c r="D133" s="16" t="inlineStr">
        <is>
          <t>设备物模型配置</t>
        </is>
      </c>
      <c r="E133" s="16" t="inlineStr">
        <is>
          <t>G3~G8组</t>
        </is>
      </c>
      <c r="F133" s="16" t="inlineStr">
        <is>
          <t>G7仪表扩展</t>
        </is>
      </c>
      <c r="G133" s="17" t="inlineStr">
        <is>
          <t xml:space="preserve"> 提供G7分组33个扩展仪表参数物模型配置技术服务</t>
        </is>
      </c>
      <c r="H133" s="18" t="inlineStr">
        <is>
          <t>EI</t>
        </is>
      </c>
      <c r="I133" s="18">
        <f>IF(H133="ILF",10,IF(H133="EIF",7,IF(H133="EI",4,IF(H133="EO",5,IF(H133="EQ",4,"")))))</f>
        <v/>
      </c>
      <c r="J133" s="18" t="inlineStr">
        <is>
          <t>低</t>
        </is>
      </c>
      <c r="K133" s="18">
        <f>IF(J133="高",0.33,IF(J133="中",0.67,IF(J133="低",1,"")))</f>
        <v/>
      </c>
      <c r="L133" s="18" t="inlineStr">
        <is>
          <t>新增</t>
        </is>
      </c>
      <c r="M133" s="18">
        <f>IF(L133="新增",1,IF(L133="修改",0.8,IF(L133="删除",0.2,"")))</f>
        <v/>
      </c>
      <c r="N133" s="18">
        <f>I133*K133*M133</f>
        <v/>
      </c>
    </row>
    <row r="134" ht="19" customHeight="1" s="1">
      <c r="B134" s="16" t="n">
        <v>129</v>
      </c>
      <c r="C134" s="16" t="inlineStr">
        <is>
          <t>油气生产设备物模型与测点标准化管理服务</t>
        </is>
      </c>
      <c r="D134" s="16" t="inlineStr">
        <is>
          <t>设备物模型配置</t>
        </is>
      </c>
      <c r="E134" s="16" t="inlineStr">
        <is>
          <t>G3~G8组</t>
        </is>
      </c>
      <c r="F134" s="16" t="inlineStr">
        <is>
          <t>G8变频扩展</t>
        </is>
      </c>
      <c r="G134" s="17" t="inlineStr">
        <is>
          <t xml:space="preserve"> 提供G8分组23个变频扩展参数物模型配置技术服务</t>
        </is>
      </c>
      <c r="H134" s="18" t="inlineStr">
        <is>
          <t>EI</t>
        </is>
      </c>
      <c r="I134" s="18">
        <f>IF(H134="ILF",10,IF(H134="EIF",7,IF(H134="EI",4,IF(H134="EO",5,IF(H134="EQ",4,"")))))</f>
        <v/>
      </c>
      <c r="J134" s="18" t="inlineStr">
        <is>
          <t>低</t>
        </is>
      </c>
      <c r="K134" s="18">
        <f>IF(J134="高",0.33,IF(J134="中",0.67,IF(J134="低",1,"")))</f>
        <v/>
      </c>
      <c r="L134" s="18" t="inlineStr">
        <is>
          <t>新增</t>
        </is>
      </c>
      <c r="M134" s="18">
        <f>IF(L134="新增",1,IF(L134="修改",0.8,IF(L134="删除",0.2,"")))</f>
        <v/>
      </c>
      <c r="N134" s="18">
        <f>I134*K134*M134</f>
        <v/>
      </c>
    </row>
    <row r="135" ht="19" customHeight="1" s="1">
      <c r="B135" s="16" t="n">
        <v>130</v>
      </c>
      <c r="C135" s="16" t="inlineStr">
        <is>
          <t>油气生产设备物模型与测点标准化管理服务</t>
        </is>
      </c>
      <c r="D135" s="16" t="inlineStr">
        <is>
          <t>设备物模型配置</t>
        </is>
      </c>
      <c r="E135" s="16" t="inlineStr">
        <is>
          <t>数据类型与字节序</t>
        </is>
      </c>
      <c r="F135" s="16" t="inlineStr">
        <is>
          <t>INT类型定义</t>
        </is>
      </c>
      <c r="G135" s="17" t="inlineStr">
        <is>
          <t xml:space="preserve"> 提供INT整数数据类型定义和校验技术服务</t>
        </is>
      </c>
      <c r="H135" s="18" t="inlineStr">
        <is>
          <t>EI</t>
        </is>
      </c>
      <c r="I135" s="18">
        <f>IF(H135="ILF",10,IF(H135="EIF",7,IF(H135="EI",4,IF(H135="EO",5,IF(H135="EQ",4,"")))))</f>
        <v/>
      </c>
      <c r="J135" s="18" t="inlineStr">
        <is>
          <t>低</t>
        </is>
      </c>
      <c r="K135" s="18">
        <f>IF(J135="高",0.33,IF(J135="中",0.67,IF(J135="低",1,"")))</f>
        <v/>
      </c>
      <c r="L135" s="18" t="inlineStr">
        <is>
          <t>新增</t>
        </is>
      </c>
      <c r="M135" s="18">
        <f>IF(L135="新增",1,IF(L135="修改",0.8,IF(L135="删除",0.2,"")))</f>
        <v/>
      </c>
      <c r="N135" s="18">
        <f>I135*K135*M135</f>
        <v/>
      </c>
    </row>
    <row r="136" ht="19" customHeight="1" s="1">
      <c r="B136" s="16" t="n">
        <v>131</v>
      </c>
      <c r="C136" s="16" t="inlineStr">
        <is>
          <t>油气生产设备物模型与测点标准化管理服务</t>
        </is>
      </c>
      <c r="D136" s="16" t="inlineStr">
        <is>
          <t>设备物模型配置</t>
        </is>
      </c>
      <c r="E136" s="16" t="inlineStr">
        <is>
          <t>数据类型与字节序</t>
        </is>
      </c>
      <c r="F136" s="16" t="inlineStr">
        <is>
          <t>FLOAT类型</t>
        </is>
      </c>
      <c r="G136" s="17" t="inlineStr">
        <is>
          <t xml:space="preserve"> 提供FLOAT浮点数数据类型定义和校验技术服务</t>
        </is>
      </c>
      <c r="H136" s="18" t="inlineStr">
        <is>
          <t>EI</t>
        </is>
      </c>
      <c r="I136" s="18">
        <f>IF(H136="ILF",10,IF(H136="EIF",7,IF(H136="EI",4,IF(H136="EO",5,IF(H136="EQ",4,"")))))</f>
        <v/>
      </c>
      <c r="J136" s="18" t="inlineStr">
        <is>
          <t>低</t>
        </is>
      </c>
      <c r="K136" s="18">
        <f>IF(J136="高",0.33,IF(J136="中",0.67,IF(J136="低",1,"")))</f>
        <v/>
      </c>
      <c r="L136" s="18" t="inlineStr">
        <is>
          <t>新增</t>
        </is>
      </c>
      <c r="M136" s="18">
        <f>IF(L136="新增",1,IF(L136="修改",0.8,IF(L136="删除",0.2,"")))</f>
        <v/>
      </c>
      <c r="N136" s="18">
        <f>I136*K136*M136</f>
        <v/>
      </c>
    </row>
    <row r="137" ht="19" customHeight="1" s="1">
      <c r="B137" s="16" t="n">
        <v>132</v>
      </c>
      <c r="C137" s="16" t="inlineStr">
        <is>
          <t>油气生产设备物模型与测点标准化管理服务</t>
        </is>
      </c>
      <c r="D137" s="16" t="inlineStr">
        <is>
          <t>设备物模型配置</t>
        </is>
      </c>
      <c r="E137" s="16" t="inlineStr">
        <is>
          <t>数据类型与字节序</t>
        </is>
      </c>
      <c r="F137" s="16" t="inlineStr">
        <is>
          <t>DOUBLE类型</t>
        </is>
      </c>
      <c r="G137" s="17" t="inlineStr">
        <is>
          <t xml:space="preserve"> 提供DOUBLE双精度数据类型定义和校验技术服务</t>
        </is>
      </c>
      <c r="H137" s="18" t="inlineStr">
        <is>
          <t>EI</t>
        </is>
      </c>
      <c r="I137" s="18">
        <f>IF(H137="ILF",10,IF(H137="EIF",7,IF(H137="EI",4,IF(H137="EO",5,IF(H137="EQ",4,"")))))</f>
        <v/>
      </c>
      <c r="J137" s="18" t="inlineStr">
        <is>
          <t>低</t>
        </is>
      </c>
      <c r="K137" s="18">
        <f>IF(J137="高",0.33,IF(J137="中",0.67,IF(J137="低",1,"")))</f>
        <v/>
      </c>
      <c r="L137" s="18" t="inlineStr">
        <is>
          <t>新增</t>
        </is>
      </c>
      <c r="M137" s="18">
        <f>IF(L137="新增",1,IF(L137="修改",0.8,IF(L137="删除",0.2,"")))</f>
        <v/>
      </c>
      <c r="N137" s="18">
        <f>I137*K137*M137</f>
        <v/>
      </c>
    </row>
    <row r="138" ht="19" customHeight="1" s="1">
      <c r="B138" s="16" t="n">
        <v>133</v>
      </c>
      <c r="C138" s="16" t="inlineStr">
        <is>
          <t>油气生产设备物模型与测点标准化管理服务</t>
        </is>
      </c>
      <c r="D138" s="16" t="inlineStr">
        <is>
          <t>设备物模型配置</t>
        </is>
      </c>
      <c r="E138" s="16" t="inlineStr">
        <is>
          <t>数据类型与字节序</t>
        </is>
      </c>
      <c r="F138" s="16" t="inlineStr">
        <is>
          <t>STRING类型</t>
        </is>
      </c>
      <c r="G138" s="17" t="inlineStr">
        <is>
          <t xml:space="preserve"> 提供STRING字符串数据类型定义和校验技术服务</t>
        </is>
      </c>
      <c r="H138" s="18" t="inlineStr">
        <is>
          <t>EI</t>
        </is>
      </c>
      <c r="I138" s="18">
        <f>IF(H138="ILF",10,IF(H138="EIF",7,IF(H138="EI",4,IF(H138="EO",5,IF(H138="EQ",4,"")))))</f>
        <v/>
      </c>
      <c r="J138" s="18" t="inlineStr">
        <is>
          <t>低</t>
        </is>
      </c>
      <c r="K138" s="18">
        <f>IF(J138="高",0.33,IF(J138="中",0.67,IF(J138="低",1,"")))</f>
        <v/>
      </c>
      <c r="L138" s="18" t="inlineStr">
        <is>
          <t>新增</t>
        </is>
      </c>
      <c r="M138" s="18">
        <f>IF(L138="新增",1,IF(L138="修改",0.8,IF(L138="删除",0.2,"")))</f>
        <v/>
      </c>
      <c r="N138" s="18">
        <f>I138*K138*M138</f>
        <v/>
      </c>
    </row>
    <row r="139" ht="19" customHeight="1" s="1">
      <c r="B139" s="16" t="n">
        <v>134</v>
      </c>
      <c r="C139" s="16" t="inlineStr">
        <is>
          <t>油气生产设备物模型与测点标准化管理服务</t>
        </is>
      </c>
      <c r="D139" s="16" t="inlineStr">
        <is>
          <t>设备物模型配置</t>
        </is>
      </c>
      <c r="E139" s="16" t="inlineStr">
        <is>
          <t>数据类型与字节序</t>
        </is>
      </c>
      <c r="F139" s="16" t="inlineStr">
        <is>
          <t>BOOL类型</t>
        </is>
      </c>
      <c r="G139" s="17" t="inlineStr">
        <is>
          <t xml:space="preserve"> 提供BOOL布尔数据类型定义和校验技术服务</t>
        </is>
      </c>
      <c r="H139" s="18" t="inlineStr">
        <is>
          <t>EI</t>
        </is>
      </c>
      <c r="I139" s="18">
        <f>IF(H139="ILF",10,IF(H139="EIF",7,IF(H139="EI",4,IF(H139="EO",5,IF(H139="EQ",4,"")))))</f>
        <v/>
      </c>
      <c r="J139" s="18" t="inlineStr">
        <is>
          <t>低</t>
        </is>
      </c>
      <c r="K139" s="18">
        <f>IF(J139="高",0.33,IF(J139="中",0.67,IF(J139="低",1,"")))</f>
        <v/>
      </c>
      <c r="L139" s="18" t="inlineStr">
        <is>
          <t>新增</t>
        </is>
      </c>
      <c r="M139" s="18">
        <f>IF(L139="新增",1,IF(L139="修改",0.8,IF(L139="删除",0.2,"")))</f>
        <v/>
      </c>
      <c r="N139" s="18">
        <f>I139*K139*M139</f>
        <v/>
      </c>
    </row>
    <row r="140" ht="19" customHeight="1" s="1">
      <c r="B140" s="16" t="n">
        <v>135</v>
      </c>
      <c r="C140" s="16" t="inlineStr">
        <is>
          <t>油气生产设备物模型与测点标准化管理服务</t>
        </is>
      </c>
      <c r="D140" s="16" t="inlineStr">
        <is>
          <t>设备物模型配置</t>
        </is>
      </c>
      <c r="E140" s="16" t="inlineStr">
        <is>
          <t>数据类型与字节序</t>
        </is>
      </c>
      <c r="F140" s="16" t="inlineStr">
        <is>
          <t>STRUCT类型</t>
        </is>
      </c>
      <c r="G140" s="17" t="inlineStr">
        <is>
          <t xml:space="preserve"> 提供STRUCT组合数据类型定义和校验技术服务</t>
        </is>
      </c>
      <c r="H140" s="18" t="inlineStr">
        <is>
          <t>EI</t>
        </is>
      </c>
      <c r="I140" s="18">
        <f>IF(H140="ILF",10,IF(H140="EIF",7,IF(H140="EI",4,IF(H140="EO",5,IF(H140="EQ",4,"")))))</f>
        <v/>
      </c>
      <c r="J140" s="18" t="inlineStr">
        <is>
          <t>低</t>
        </is>
      </c>
      <c r="K140" s="18">
        <f>IF(J140="高",0.33,IF(J140="中",0.67,IF(J140="低",1,"")))</f>
        <v/>
      </c>
      <c r="L140" s="18" t="inlineStr">
        <is>
          <t>新增</t>
        </is>
      </c>
      <c r="M140" s="18">
        <f>IF(L140="新增",1,IF(L140="修改",0.8,IF(L140="删除",0.2,"")))</f>
        <v/>
      </c>
      <c r="N140" s="18">
        <f>I140*K140*M140</f>
        <v/>
      </c>
    </row>
    <row r="141" ht="19" customHeight="1" s="1">
      <c r="B141" s="16" t="n">
        <v>136</v>
      </c>
      <c r="C141" s="16" t="inlineStr">
        <is>
          <t>油气生产设备物模型与测点标准化管理服务</t>
        </is>
      </c>
      <c r="D141" s="16" t="inlineStr">
        <is>
          <t>设备物模型配置</t>
        </is>
      </c>
      <c r="E141" s="16" t="inlineStr">
        <is>
          <t>数据类型与字节序</t>
        </is>
      </c>
      <c r="F141" s="16" t="inlineStr">
        <is>
          <t>大端字节序</t>
        </is>
      </c>
      <c r="G141" s="17" t="inlineStr">
        <is>
          <t xml:space="preserve"> 提供BigEndian大端字节序配置技术服务</t>
        </is>
      </c>
      <c r="H141" s="18" t="inlineStr">
        <is>
          <t>EI</t>
        </is>
      </c>
      <c r="I141" s="18">
        <f>IF(H141="ILF",10,IF(H141="EIF",7,IF(H141="EI",4,IF(H141="EO",5,IF(H141="EQ",4,"")))))</f>
        <v/>
      </c>
      <c r="J141" s="18" t="inlineStr">
        <is>
          <t>低</t>
        </is>
      </c>
      <c r="K141" s="18">
        <f>IF(J141="高",0.33,IF(J141="中",0.67,IF(J141="低",1,"")))</f>
        <v/>
      </c>
      <c r="L141" s="18" t="inlineStr">
        <is>
          <t>新增</t>
        </is>
      </c>
      <c r="M141" s="18">
        <f>IF(L141="新增",1,IF(L141="修改",0.8,IF(L141="删除",0.2,"")))</f>
        <v/>
      </c>
      <c r="N141" s="18">
        <f>I141*K141*M141</f>
        <v/>
      </c>
    </row>
    <row r="142" ht="19" customHeight="1" s="1">
      <c r="B142" s="16" t="n">
        <v>137</v>
      </c>
      <c r="C142" s="16" t="inlineStr">
        <is>
          <t>油气生产设备物模型与测点标准化管理服务</t>
        </is>
      </c>
      <c r="D142" s="16" t="inlineStr">
        <is>
          <t>设备物模型配置</t>
        </is>
      </c>
      <c r="E142" s="16" t="inlineStr">
        <is>
          <t>数据类型与字节序</t>
        </is>
      </c>
      <c r="F142" s="16" t="inlineStr">
        <is>
          <t>小端字节序</t>
        </is>
      </c>
      <c r="G142" s="17" t="inlineStr">
        <is>
          <t xml:space="preserve"> 提供LittleEndian小端字节序配置技术服务</t>
        </is>
      </c>
      <c r="H142" s="18" t="inlineStr">
        <is>
          <t>EI</t>
        </is>
      </c>
      <c r="I142" s="18">
        <f>IF(H142="ILF",10,IF(H142="EIF",7,IF(H142="EI",4,IF(H142="EO",5,IF(H142="EQ",4,"")))))</f>
        <v/>
      </c>
      <c r="J142" s="18" t="inlineStr">
        <is>
          <t>低</t>
        </is>
      </c>
      <c r="K142" s="18">
        <f>IF(J142="高",0.33,IF(J142="中",0.67,IF(J142="低",1,"")))</f>
        <v/>
      </c>
      <c r="L142" s="18" t="inlineStr">
        <is>
          <t>新增</t>
        </is>
      </c>
      <c r="M142" s="18">
        <f>IF(L142="新增",1,IF(L142="修改",0.8,IF(L142="删除",0.2,"")))</f>
        <v/>
      </c>
      <c r="N142" s="18">
        <f>I142*K142*M142</f>
        <v/>
      </c>
    </row>
    <row r="143" ht="19" customHeight="1" s="1">
      <c r="B143" s="16" t="n">
        <v>138</v>
      </c>
      <c r="C143" s="16" t="inlineStr">
        <is>
          <t>油气生产设备物模型与测点标准化管理服务</t>
        </is>
      </c>
      <c r="D143" s="16" t="inlineStr">
        <is>
          <t>设备物模型配置</t>
        </is>
      </c>
      <c r="E143" s="16" t="inlineStr">
        <is>
          <t>缩放系数</t>
        </is>
      </c>
      <c r="F143" s="16" t="inlineStr">
        <is>
          <t>油压缩放</t>
        </is>
      </c>
      <c r="G143" s="17" t="inlineStr">
        <is>
          <t xml:space="preserve"> 提供油压参数工程值转换缩放系数配置技术服务</t>
        </is>
      </c>
      <c r="H143" s="18" t="inlineStr">
        <is>
          <t>EI</t>
        </is>
      </c>
      <c r="I143" s="18">
        <f>IF(H143="ILF",10,IF(H143="EIF",7,IF(H143="EI",4,IF(H143="EO",5,IF(H143="EQ",4,"")))))</f>
        <v/>
      </c>
      <c r="J143" s="18" t="inlineStr">
        <is>
          <t>低</t>
        </is>
      </c>
      <c r="K143" s="18">
        <f>IF(J143="高",0.33,IF(J143="中",0.67,IF(J143="低",1,"")))</f>
        <v/>
      </c>
      <c r="L143" s="18" t="inlineStr">
        <is>
          <t>新增</t>
        </is>
      </c>
      <c r="M143" s="18">
        <f>IF(L143="新增",1,IF(L143="修改",0.8,IF(L143="删除",0.2,"")))</f>
        <v/>
      </c>
      <c r="N143" s="18">
        <f>I143*K143*M143</f>
        <v/>
      </c>
    </row>
    <row r="144" ht="19" customHeight="1" s="1">
      <c r="B144" s="16" t="n">
        <v>139</v>
      </c>
      <c r="C144" s="16" t="inlineStr">
        <is>
          <t>油气生产设备物模型与测点标准化管理服务</t>
        </is>
      </c>
      <c r="D144" s="16" t="inlineStr">
        <is>
          <t>设备物模型配置</t>
        </is>
      </c>
      <c r="E144" s="16" t="inlineStr">
        <is>
          <t>缩放系数</t>
        </is>
      </c>
      <c r="F144" s="16" t="inlineStr">
        <is>
          <t>温度缩放</t>
        </is>
      </c>
      <c r="G144" s="17" t="inlineStr">
        <is>
          <t xml:space="preserve"> 提供温度参数工程值转换缩放系数配置技术服务</t>
        </is>
      </c>
      <c r="H144" s="18" t="inlineStr">
        <is>
          <t>EI</t>
        </is>
      </c>
      <c r="I144" s="18">
        <f>IF(H144="ILF",10,IF(H144="EIF",7,IF(H144="EI",4,IF(H144="EO",5,IF(H144="EQ",4,"")))))</f>
        <v/>
      </c>
      <c r="J144" s="18" t="inlineStr">
        <is>
          <t>低</t>
        </is>
      </c>
      <c r="K144" s="18">
        <f>IF(J144="高",0.33,IF(J144="中",0.67,IF(J144="低",1,"")))</f>
        <v/>
      </c>
      <c r="L144" s="18" t="inlineStr">
        <is>
          <t>新增</t>
        </is>
      </c>
      <c r="M144" s="18">
        <f>IF(L144="新增",1,IF(L144="修改",0.8,IF(L144="删除",0.2,"")))</f>
        <v/>
      </c>
      <c r="N144" s="18">
        <f>I144*K144*M144</f>
        <v/>
      </c>
    </row>
    <row r="145" ht="19" customHeight="1" s="1">
      <c r="B145" s="16" t="n">
        <v>140</v>
      </c>
      <c r="C145" s="16" t="inlineStr">
        <is>
          <t>油气生产设备物模型与测点标准化管理服务</t>
        </is>
      </c>
      <c r="D145" s="16" t="inlineStr">
        <is>
          <t>设备物模型配置</t>
        </is>
      </c>
      <c r="E145" s="16" t="inlineStr">
        <is>
          <t>缩放系数</t>
        </is>
      </c>
      <c r="F145" s="16" t="inlineStr">
        <is>
          <t>电流缩放</t>
        </is>
      </c>
      <c r="G145" s="17" t="inlineStr">
        <is>
          <t xml:space="preserve"> 提供电流参数工程值转换缩放系数配置技术服务</t>
        </is>
      </c>
      <c r="H145" s="18" t="inlineStr">
        <is>
          <t>EI</t>
        </is>
      </c>
      <c r="I145" s="18">
        <f>IF(H145="ILF",10,IF(H145="EIF",7,IF(H145="EI",4,IF(H145="EO",5,IF(H145="EQ",4,"")))))</f>
        <v/>
      </c>
      <c r="J145" s="18" t="inlineStr">
        <is>
          <t>低</t>
        </is>
      </c>
      <c r="K145" s="18">
        <f>IF(J145="高",0.33,IF(J145="中",0.67,IF(J145="低",1,"")))</f>
        <v/>
      </c>
      <c r="L145" s="18" t="inlineStr">
        <is>
          <t>新增</t>
        </is>
      </c>
      <c r="M145" s="18">
        <f>IF(L145="新增",1,IF(L145="修改",0.8,IF(L145="删除",0.2,"")))</f>
        <v/>
      </c>
      <c r="N145" s="18">
        <f>I145*K145*M145</f>
        <v/>
      </c>
    </row>
    <row r="146" ht="19" customHeight="1" s="1">
      <c r="B146" s="16" t="n">
        <v>141</v>
      </c>
      <c r="C146" s="16" t="inlineStr">
        <is>
          <t>油气生产设备物模型与测点标准化管理服务</t>
        </is>
      </c>
      <c r="D146" s="16" t="inlineStr">
        <is>
          <t>设备物模型配置</t>
        </is>
      </c>
      <c r="E146" s="16" t="inlineStr">
        <is>
          <t>缩放系数</t>
        </is>
      </c>
      <c r="F146" s="16" t="inlineStr">
        <is>
          <t>电压缩放</t>
        </is>
      </c>
      <c r="G146" s="17" t="inlineStr">
        <is>
          <t xml:space="preserve"> 提供电压参数工程值转换缩放系数配置技术服务</t>
        </is>
      </c>
      <c r="H146" s="18" t="inlineStr">
        <is>
          <t>EI</t>
        </is>
      </c>
      <c r="I146" s="18">
        <f>IF(H146="ILF",10,IF(H146="EIF",7,IF(H146="EI",4,IF(H146="EO",5,IF(H146="EQ",4,"")))))</f>
        <v/>
      </c>
      <c r="J146" s="18" t="inlineStr">
        <is>
          <t>低</t>
        </is>
      </c>
      <c r="K146" s="18">
        <f>IF(J146="高",0.33,IF(J146="中",0.67,IF(J146="低",1,"")))</f>
        <v/>
      </c>
      <c r="L146" s="18" t="inlineStr">
        <is>
          <t>新增</t>
        </is>
      </c>
      <c r="M146" s="18">
        <f>IF(L146="新增",1,IF(L146="修改",0.8,IF(L146="删除",0.2,"")))</f>
        <v/>
      </c>
      <c r="N146" s="18">
        <f>I146*K146*M146</f>
        <v/>
      </c>
    </row>
    <row r="147" ht="19" customHeight="1" s="1">
      <c r="B147" s="16" t="n">
        <v>142</v>
      </c>
      <c r="C147" s="16" t="inlineStr">
        <is>
          <t>油气生产设备物模型与测点标准化管理服务</t>
        </is>
      </c>
      <c r="D147" s="16" t="inlineStr">
        <is>
          <t>设备物模型配置</t>
        </is>
      </c>
      <c r="E147" s="16" t="inlineStr">
        <is>
          <t>缩放系数</t>
        </is>
      </c>
      <c r="F147" s="16" t="inlineStr">
        <is>
          <t>功率缩放</t>
        </is>
      </c>
      <c r="G147" s="17" t="inlineStr">
        <is>
          <t xml:space="preserve"> 提供功率参数工程值转换缩放系数配置技术服务</t>
        </is>
      </c>
      <c r="H147" s="18" t="inlineStr">
        <is>
          <t>EI</t>
        </is>
      </c>
      <c r="I147" s="18">
        <f>IF(H147="ILF",10,IF(H147="EIF",7,IF(H147="EI",4,IF(H147="EO",5,IF(H147="EQ",4,"")))))</f>
        <v/>
      </c>
      <c r="J147" s="18" t="inlineStr">
        <is>
          <t>低</t>
        </is>
      </c>
      <c r="K147" s="18">
        <f>IF(J147="高",0.33,IF(J147="中",0.67,IF(J147="低",1,"")))</f>
        <v/>
      </c>
      <c r="L147" s="18" t="inlineStr">
        <is>
          <t>新增</t>
        </is>
      </c>
      <c r="M147" s="18">
        <f>IF(L147="新增",1,IF(L147="修改",0.8,IF(L147="删除",0.2,"")))</f>
        <v/>
      </c>
      <c r="N147" s="18">
        <f>I147*K147*M147</f>
        <v/>
      </c>
    </row>
    <row r="148" ht="19" customHeight="1" s="1">
      <c r="B148" s="16" t="n">
        <v>143</v>
      </c>
      <c r="C148" s="16" t="inlineStr">
        <is>
          <t>油气生产设备物模型与测点标准化管理服务</t>
        </is>
      </c>
      <c r="D148" s="16" t="inlineStr">
        <is>
          <t>设备物模型配置</t>
        </is>
      </c>
      <c r="E148" s="16" t="inlineStr">
        <is>
          <t>缩放系数</t>
        </is>
      </c>
      <c r="F148" s="16" t="inlineStr">
        <is>
          <t>载荷缩放</t>
        </is>
      </c>
      <c r="G148" s="17" t="inlineStr">
        <is>
          <t xml:space="preserve"> 提供载荷参数工程值转换缩放系数配置技术服务</t>
        </is>
      </c>
      <c r="H148" s="18" t="inlineStr">
        <is>
          <t>EI</t>
        </is>
      </c>
      <c r="I148" s="18">
        <f>IF(H148="ILF",10,IF(H148="EIF",7,IF(H148="EI",4,IF(H148="EO",5,IF(H148="EQ",4,"")))))</f>
        <v/>
      </c>
      <c r="J148" s="18" t="inlineStr">
        <is>
          <t>低</t>
        </is>
      </c>
      <c r="K148" s="18">
        <f>IF(J148="高",0.33,IF(J148="中",0.67,IF(J148="低",1,"")))</f>
        <v/>
      </c>
      <c r="L148" s="18" t="inlineStr">
        <is>
          <t>新增</t>
        </is>
      </c>
      <c r="M148" s="18">
        <f>IF(L148="新增",1,IF(L148="修改",0.8,IF(L148="删除",0.2,"")))</f>
        <v/>
      </c>
      <c r="N148" s="18">
        <f>I148*K148*M148</f>
        <v/>
      </c>
    </row>
    <row r="149" ht="19" customHeight="1" s="1">
      <c r="B149" s="16" t="n">
        <v>144</v>
      </c>
      <c r="C149" s="16" t="inlineStr">
        <is>
          <t>油气生产设备物模型与测点标准化管理服务</t>
        </is>
      </c>
      <c r="D149" s="16" t="inlineStr">
        <is>
          <t>设备物模型配置</t>
        </is>
      </c>
      <c r="E149" s="16" t="inlineStr">
        <is>
          <t>缩放系数</t>
        </is>
      </c>
      <c r="F149" s="16" t="inlineStr">
        <is>
          <t>位移缩放</t>
        </is>
      </c>
      <c r="G149" s="17" t="inlineStr">
        <is>
          <t xml:space="preserve"> 提供位移参数工程值转换缩放系数配置技术服务</t>
        </is>
      </c>
      <c r="H149" s="18" t="inlineStr">
        <is>
          <t>EI</t>
        </is>
      </c>
      <c r="I149" s="18">
        <f>IF(H149="ILF",10,IF(H149="EIF",7,IF(H149="EI",4,IF(H149="EO",5,IF(H149="EQ",4,"")))))</f>
        <v/>
      </c>
      <c r="J149" s="18" t="inlineStr">
        <is>
          <t>低</t>
        </is>
      </c>
      <c r="K149" s="18">
        <f>IF(J149="高",0.33,IF(J149="中",0.67,IF(J149="低",1,"")))</f>
        <v/>
      </c>
      <c r="L149" s="18" t="inlineStr">
        <is>
          <t>新增</t>
        </is>
      </c>
      <c r="M149" s="18">
        <f>IF(L149="新增",1,IF(L149="修改",0.8,IF(L149="删除",0.2,"")))</f>
        <v/>
      </c>
      <c r="N149" s="18">
        <f>I149*K149*M149</f>
        <v/>
      </c>
    </row>
    <row r="150" ht="19" customHeight="1" s="1">
      <c r="B150" s="16" t="n">
        <v>145</v>
      </c>
      <c r="C150" s="16" t="inlineStr">
        <is>
          <t>油气生产设备物模型与测点标准化管理服务</t>
        </is>
      </c>
      <c r="D150" s="16" t="inlineStr">
        <is>
          <t>设备物模型配置</t>
        </is>
      </c>
      <c r="E150" s="16" t="inlineStr">
        <is>
          <t>缩放系数</t>
        </is>
      </c>
      <c r="F150" s="16" t="inlineStr">
        <is>
          <t>偏移量配置</t>
        </is>
      </c>
      <c r="G150" s="17" t="inlineStr">
        <is>
          <t xml:space="preserve"> 提供工程值转换偏移量offset参数配置技术服务</t>
        </is>
      </c>
      <c r="H150" s="18" t="inlineStr">
        <is>
          <t>EI</t>
        </is>
      </c>
      <c r="I150" s="18">
        <f>IF(H150="ILF",10,IF(H150="EIF",7,IF(H150="EI",4,IF(H150="EO",5,IF(H150="EQ",4,"")))))</f>
        <v/>
      </c>
      <c r="J150" s="18" t="inlineStr">
        <is>
          <t>低</t>
        </is>
      </c>
      <c r="K150" s="18">
        <f>IF(J150="高",0.33,IF(J150="中",0.67,IF(J150="低",1,"")))</f>
        <v/>
      </c>
      <c r="L150" s="18" t="inlineStr">
        <is>
          <t>新增</t>
        </is>
      </c>
      <c r="M150" s="18">
        <f>IF(L150="新增",1,IF(L150="修改",0.8,IF(L150="删除",0.2,"")))</f>
        <v/>
      </c>
      <c r="N150" s="18">
        <f>I150*K150*M150</f>
        <v/>
      </c>
    </row>
    <row r="151" ht="19" customHeight="1" s="1">
      <c r="B151" s="16" t="n">
        <v>146</v>
      </c>
      <c r="C151" s="16" t="inlineStr">
        <is>
          <t>油气生产设备物模型与测点标准化管理服务</t>
        </is>
      </c>
      <c r="D151" s="16" t="inlineStr">
        <is>
          <t>设备物模型配置</t>
        </is>
      </c>
      <c r="E151" s="16" t="inlineStr">
        <is>
          <t>厂家映射</t>
        </is>
      </c>
      <c r="F151" s="16" t="inlineStr">
        <is>
          <t>中科映射</t>
        </is>
      </c>
      <c r="G151" s="17" t="inlineStr">
        <is>
          <t xml:space="preserve"> 提供中科RTU设备Modbus寄存器地址映射配置技术服务</t>
        </is>
      </c>
      <c r="H151" s="18" t="inlineStr">
        <is>
          <t>EI</t>
        </is>
      </c>
      <c r="I151" s="18">
        <f>IF(H151="ILF",10,IF(H151="EIF",7,IF(H151="EI",4,IF(H151="EO",5,IF(H151="EQ",4,"")))))</f>
        <v/>
      </c>
      <c r="J151" s="18" t="inlineStr">
        <is>
          <t>低</t>
        </is>
      </c>
      <c r="K151" s="18">
        <f>IF(J151="高",0.33,IF(J151="中",0.67,IF(J151="低",1,"")))</f>
        <v/>
      </c>
      <c r="L151" s="18" t="inlineStr">
        <is>
          <t>新增</t>
        </is>
      </c>
      <c r="M151" s="18">
        <f>IF(L151="新增",1,IF(L151="修改",0.8,IF(L151="删除",0.2,"")))</f>
        <v/>
      </c>
      <c r="N151" s="18">
        <f>I151*K151*M151</f>
        <v/>
      </c>
    </row>
    <row r="152" ht="19" customHeight="1" s="1">
      <c r="B152" s="16" t="n">
        <v>147</v>
      </c>
      <c r="C152" s="16" t="inlineStr">
        <is>
          <t>油气生产设备物模型与测点标准化管理服务</t>
        </is>
      </c>
      <c r="D152" s="16" t="inlineStr">
        <is>
          <t>设备物模型配置</t>
        </is>
      </c>
      <c r="E152" s="16" t="inlineStr">
        <is>
          <t>厂家映射</t>
        </is>
      </c>
      <c r="F152" s="16" t="inlineStr">
        <is>
          <t>庆怡映射</t>
        </is>
      </c>
      <c r="G152" s="17" t="inlineStr">
        <is>
          <t xml:space="preserve"> 提供庆怡RTU设备Modbus寄存器地址映射配置技术服务</t>
        </is>
      </c>
      <c r="H152" s="18" t="inlineStr">
        <is>
          <t>EI</t>
        </is>
      </c>
      <c r="I152" s="18">
        <f>IF(H152="ILF",10,IF(H152="EIF",7,IF(H152="EI",4,IF(H152="EO",5,IF(H152="EQ",4,"")))))</f>
        <v/>
      </c>
      <c r="J152" s="18" t="inlineStr">
        <is>
          <t>低</t>
        </is>
      </c>
      <c r="K152" s="18">
        <f>IF(J152="高",0.33,IF(J152="中",0.67,IF(J152="低",1,"")))</f>
        <v/>
      </c>
      <c r="L152" s="18" t="inlineStr">
        <is>
          <t>新增</t>
        </is>
      </c>
      <c r="M152" s="18">
        <f>IF(L152="新增",1,IF(L152="修改",0.8,IF(L152="删除",0.2,"")))</f>
        <v/>
      </c>
      <c r="N152" s="18">
        <f>I152*K152*M152</f>
        <v/>
      </c>
    </row>
    <row r="153" ht="19" customHeight="1" s="1">
      <c r="B153" s="16" t="n">
        <v>148</v>
      </c>
      <c r="C153" s="16" t="inlineStr">
        <is>
          <t>油气生产设备物模型与测点标准化管理服务</t>
        </is>
      </c>
      <c r="D153" s="16" t="inlineStr">
        <is>
          <t>设备物模型配置</t>
        </is>
      </c>
      <c r="E153" s="16" t="inlineStr">
        <is>
          <t>厂家映射</t>
        </is>
      </c>
      <c r="F153" s="16" t="inlineStr">
        <is>
          <t>西门子映射</t>
        </is>
      </c>
      <c r="G153" s="17" t="inlineStr">
        <is>
          <t xml:space="preserve"> 提供西门子PLC设备寄存器地址映射配置技术服务</t>
        </is>
      </c>
      <c r="H153" s="18" t="inlineStr">
        <is>
          <t>EI</t>
        </is>
      </c>
      <c r="I153" s="18">
        <f>IF(H153="ILF",10,IF(H153="EIF",7,IF(H153="EI",4,IF(H153="EO",5,IF(H153="EQ",4,"")))))</f>
        <v/>
      </c>
      <c r="J153" s="18" t="inlineStr">
        <is>
          <t>低</t>
        </is>
      </c>
      <c r="K153" s="18">
        <f>IF(J153="高",0.33,IF(J153="中",0.67,IF(J153="低",1,"")))</f>
        <v/>
      </c>
      <c r="L153" s="18" t="inlineStr">
        <is>
          <t>新增</t>
        </is>
      </c>
      <c r="M153" s="18">
        <f>IF(L153="新增",1,IF(L153="修改",0.8,IF(L153="删除",0.2,"")))</f>
        <v/>
      </c>
      <c r="N153" s="18">
        <f>I153*K153*M153</f>
        <v/>
      </c>
    </row>
    <row r="154" ht="19" customHeight="1" s="1">
      <c r="B154" s="16" t="n">
        <v>149</v>
      </c>
      <c r="C154" s="16" t="inlineStr">
        <is>
          <t>油气生产设备物模型与测点标准化管理服务</t>
        </is>
      </c>
      <c r="D154" s="16" t="inlineStr">
        <is>
          <t>设备物模型配置</t>
        </is>
      </c>
      <c r="E154" s="16" t="inlineStr">
        <is>
          <t>厂家映射</t>
        </is>
      </c>
      <c r="F154" s="16" t="inlineStr">
        <is>
          <t>ABB映射</t>
        </is>
      </c>
      <c r="G154" s="17" t="inlineStr">
        <is>
          <t xml:space="preserve"> 提供ABB设备寄存器地址映射配置技术服务</t>
        </is>
      </c>
      <c r="H154" s="18" t="inlineStr">
        <is>
          <t>EI</t>
        </is>
      </c>
      <c r="I154" s="18">
        <f>IF(H154="ILF",10,IF(H154="EIF",7,IF(H154="EI",4,IF(H154="EO",5,IF(H154="EQ",4,"")))))</f>
        <v/>
      </c>
      <c r="J154" s="18" t="inlineStr">
        <is>
          <t>低</t>
        </is>
      </c>
      <c r="K154" s="18">
        <f>IF(J154="高",0.33,IF(J154="中",0.67,IF(J154="低",1,"")))</f>
        <v/>
      </c>
      <c r="L154" s="18" t="inlineStr">
        <is>
          <t>新增</t>
        </is>
      </c>
      <c r="M154" s="18">
        <f>IF(L154="新增",1,IF(L154="修改",0.8,IF(L154="删除",0.2,"")))</f>
        <v/>
      </c>
      <c r="N154" s="18">
        <f>I154*K154*M154</f>
        <v/>
      </c>
    </row>
    <row r="155" ht="19" customHeight="1" s="1">
      <c r="B155" s="16" t="n">
        <v>150</v>
      </c>
      <c r="C155" s="16" t="inlineStr">
        <is>
          <t>油气生产设备物模型与测点标准化管理服务</t>
        </is>
      </c>
      <c r="D155" s="16" t="inlineStr">
        <is>
          <t>设备物模型配置</t>
        </is>
      </c>
      <c r="E155" s="16" t="inlineStr">
        <is>
          <t>厂家映射</t>
        </is>
      </c>
      <c r="F155" s="16" t="inlineStr">
        <is>
          <t>施耐德映射</t>
        </is>
      </c>
      <c r="G155" s="17" t="inlineStr">
        <is>
          <t xml:space="preserve"> 提供施耐德设备寄存器地址映射配置技术服务</t>
        </is>
      </c>
      <c r="H155" s="18" t="inlineStr">
        <is>
          <t>EI</t>
        </is>
      </c>
      <c r="I155" s="18">
        <f>IF(H155="ILF",10,IF(H155="EIF",7,IF(H155="EI",4,IF(H155="EO",5,IF(H155="EQ",4,"")))))</f>
        <v/>
      </c>
      <c r="J155" s="18" t="inlineStr">
        <is>
          <t>中</t>
        </is>
      </c>
      <c r="K155" s="18">
        <f>IF(J155="高",0.33,IF(J155="中",0.67,IF(J155="低",1,"")))</f>
        <v/>
      </c>
      <c r="L155" s="18" t="inlineStr">
        <is>
          <t>新增</t>
        </is>
      </c>
      <c r="M155" s="18">
        <f>IF(L155="新增",1,IF(L155="修改",0.8,IF(L155="删除",0.2,"")))</f>
        <v/>
      </c>
      <c r="N155" s="18">
        <f>I155*K155*M155</f>
        <v/>
      </c>
    </row>
    <row r="156" ht="19" customHeight="1" s="1">
      <c r="B156" s="16" t="n">
        <v>151</v>
      </c>
      <c r="C156" s="16" t="inlineStr">
        <is>
          <t>油气生产设备物模型与测点标准化管理服务</t>
        </is>
      </c>
      <c r="D156" s="16" t="inlineStr">
        <is>
          <t>设备物模型配置</t>
        </is>
      </c>
      <c r="E156" s="16" t="inlineStr">
        <is>
          <t>厂家映射</t>
        </is>
      </c>
      <c r="F156" s="16" t="inlineStr">
        <is>
          <t>横河映射</t>
        </is>
      </c>
      <c r="G156" s="17" t="inlineStr">
        <is>
          <t xml:space="preserve"> 提供横河设备寄存器地址映射配置技术服务</t>
        </is>
      </c>
      <c r="H156" s="18" t="inlineStr">
        <is>
          <t>EI</t>
        </is>
      </c>
      <c r="I156" s="18">
        <f>IF(H156="ILF",10,IF(H156="EIF",7,IF(H156="EI",4,IF(H156="EO",5,IF(H156="EQ",4,"")))))</f>
        <v/>
      </c>
      <c r="J156" s="18" t="inlineStr">
        <is>
          <t>中</t>
        </is>
      </c>
      <c r="K156" s="18">
        <f>IF(J156="高",0.33,IF(J156="中",0.67,IF(J156="低",1,"")))</f>
        <v/>
      </c>
      <c r="L156" s="18" t="inlineStr">
        <is>
          <t>新增</t>
        </is>
      </c>
      <c r="M156" s="18">
        <f>IF(L156="新增",1,IF(L156="修改",0.8,IF(L156="删除",0.2,"")))</f>
        <v/>
      </c>
      <c r="N156" s="18">
        <f>I156*K156*M156</f>
        <v/>
      </c>
    </row>
    <row r="157" ht="19" customHeight="1" s="1">
      <c r="B157" s="16" t="n">
        <v>152</v>
      </c>
      <c r="C157" s="16" t="inlineStr">
        <is>
          <t>油气生产设备物模型与测点标准化管理服务</t>
        </is>
      </c>
      <c r="D157" s="16" t="inlineStr">
        <is>
          <t>设备物模型配置</t>
        </is>
      </c>
      <c r="E157" s="16" t="inlineStr">
        <is>
          <t>厂家映射</t>
        </is>
      </c>
      <c r="F157" s="16" t="inlineStr">
        <is>
          <t>可视化映射</t>
        </is>
      </c>
      <c r="G157" s="17" t="inlineStr">
        <is>
          <t xml:space="preserve"> 提供多厂家间寄存器地址可视化映射对齐技术服务</t>
        </is>
      </c>
      <c r="H157" s="18" t="inlineStr">
        <is>
          <t>EI</t>
        </is>
      </c>
      <c r="I157" s="18">
        <f>IF(H157="ILF",10,IF(H157="EIF",7,IF(H157="EI",4,IF(H157="EO",5,IF(H157="EQ",4,"")))))</f>
        <v/>
      </c>
      <c r="J157" s="18" t="inlineStr">
        <is>
          <t>中</t>
        </is>
      </c>
      <c r="K157" s="18">
        <f>IF(J157="高",0.33,IF(J157="中",0.67,IF(J157="低",1,"")))</f>
        <v/>
      </c>
      <c r="L157" s="18" t="inlineStr">
        <is>
          <t>新增</t>
        </is>
      </c>
      <c r="M157" s="18">
        <f>IF(L157="新增",1,IF(L157="修改",0.8,IF(L157="删除",0.2,"")))</f>
        <v/>
      </c>
      <c r="N157" s="18">
        <f>I157*K157*M157</f>
        <v/>
      </c>
    </row>
    <row r="158" ht="19" customHeight="1" s="1">
      <c r="B158" s="16" t="n">
        <v>153</v>
      </c>
      <c r="C158" s="16" t="inlineStr">
        <is>
          <t>油气生产设备物模型与测点标准化管理服务</t>
        </is>
      </c>
      <c r="D158" s="16" t="inlineStr">
        <is>
          <t>设备物模型配置</t>
        </is>
      </c>
      <c r="E158" s="16" t="inlineStr">
        <is>
          <t>厂家映射</t>
        </is>
      </c>
      <c r="F158" s="16" t="inlineStr">
        <is>
          <t>映射验证</t>
        </is>
      </c>
      <c r="G158" s="17" t="inlineStr">
        <is>
          <t xml:space="preserve"> 提供映射表准确性批量验证技术服务</t>
        </is>
      </c>
      <c r="H158" s="18" t="inlineStr">
        <is>
          <t>EI</t>
        </is>
      </c>
      <c r="I158" s="18">
        <f>IF(H158="ILF",10,IF(H158="EIF",7,IF(H158="EI",4,IF(H158="EO",5,IF(H158="EQ",4,"")))))</f>
        <v/>
      </c>
      <c r="J158" s="18" t="inlineStr">
        <is>
          <t>中</t>
        </is>
      </c>
      <c r="K158" s="18">
        <f>IF(J158="高",0.33,IF(J158="中",0.67,IF(J158="低",1,"")))</f>
        <v/>
      </c>
      <c r="L158" s="18" t="inlineStr">
        <is>
          <t>新增</t>
        </is>
      </c>
      <c r="M158" s="18">
        <f>IF(L158="新增",1,IF(L158="修改",0.8,IF(L158="删除",0.2,"")))</f>
        <v/>
      </c>
      <c r="N158" s="18">
        <f>I158*K158*M158</f>
        <v/>
      </c>
    </row>
    <row r="159" ht="19" customHeight="1" s="1">
      <c r="B159" s="16" t="n">
        <v>154</v>
      </c>
      <c r="C159" s="16" t="inlineStr">
        <is>
          <t>油气生产设备物模型与测点标准化管理服务</t>
        </is>
      </c>
      <c r="D159" s="16" t="inlineStr">
        <is>
          <t>设备物模型配置</t>
        </is>
      </c>
      <c r="E159" s="16" t="inlineStr">
        <is>
          <t>厂家映射</t>
        </is>
      </c>
      <c r="F159" s="16" t="inlineStr">
        <is>
          <t>模板管理</t>
        </is>
      </c>
      <c r="G159" s="17" t="inlineStr">
        <is>
          <t xml:space="preserve"> 提供厂家映射模板的创建/保存/复用技术服务</t>
        </is>
      </c>
      <c r="H159" s="18" t="inlineStr">
        <is>
          <t>EI</t>
        </is>
      </c>
      <c r="I159" s="18">
        <f>IF(H159="ILF",10,IF(H159="EIF",7,IF(H159="EI",4,IF(H159="EO",5,IF(H159="EQ",4,"")))))</f>
        <v/>
      </c>
      <c r="J159" s="18" t="inlineStr">
        <is>
          <t>中</t>
        </is>
      </c>
      <c r="K159" s="18">
        <f>IF(J159="高",0.33,IF(J159="中",0.67,IF(J159="低",1,"")))</f>
        <v/>
      </c>
      <c r="L159" s="18" t="inlineStr">
        <is>
          <t>新增</t>
        </is>
      </c>
      <c r="M159" s="18">
        <f>IF(L159="新增",1,IF(L159="修改",0.8,IF(L159="删除",0.2,"")))</f>
        <v/>
      </c>
      <c r="N159" s="18">
        <f>I159*K159*M159</f>
        <v/>
      </c>
    </row>
    <row r="160" ht="19" customHeight="1" s="1">
      <c r="B160" s="16" t="n">
        <v>155</v>
      </c>
      <c r="C160" s="16" t="inlineStr">
        <is>
          <t>油气生产设备物模型与测点标准化管理服务</t>
        </is>
      </c>
      <c r="D160" s="16" t="inlineStr">
        <is>
          <t>设备物模型配置</t>
        </is>
      </c>
      <c r="E160" s="16" t="inlineStr">
        <is>
          <t>厂家映射</t>
        </is>
      </c>
      <c r="F160" s="16" t="inlineStr">
        <is>
          <t>映射追溯</t>
        </is>
      </c>
      <c r="G160" s="17" t="inlineStr">
        <is>
          <t xml:space="preserve"> 提供映射表变更的历史记录和追溯技术服务</t>
        </is>
      </c>
      <c r="H160" s="18" t="inlineStr">
        <is>
          <t>EI</t>
        </is>
      </c>
      <c r="I160" s="18">
        <f>IF(H160="ILF",10,IF(H160="EIF",7,IF(H160="EI",4,IF(H160="EO",5,IF(H160="EQ",4,"")))))</f>
        <v/>
      </c>
      <c r="J160" s="18" t="inlineStr">
        <is>
          <t>中</t>
        </is>
      </c>
      <c r="K160" s="18">
        <f>IF(J160="高",0.33,IF(J160="中",0.67,IF(J160="低",1,"")))</f>
        <v/>
      </c>
      <c r="L160" s="18" t="inlineStr">
        <is>
          <t>新增</t>
        </is>
      </c>
      <c r="M160" s="18">
        <f>IF(L160="新增",1,IF(L160="修改",0.8,IF(L160="删除",0.2,"")))</f>
        <v/>
      </c>
      <c r="N160" s="18">
        <f>I160*K160*M160</f>
        <v/>
      </c>
    </row>
    <row r="161" ht="19" customHeight="1" s="1">
      <c r="B161" s="16" t="n">
        <v>156</v>
      </c>
      <c r="C161" s="16" t="inlineStr">
        <is>
          <t>油气生产设备物模型与测点标准化管理服务</t>
        </is>
      </c>
      <c r="D161" s="16" t="inlineStr">
        <is>
          <t>参数阈值管理</t>
        </is>
      </c>
      <c r="E161" s="16" t="inlineStr">
        <is>
          <t>动态基线</t>
        </is>
      </c>
      <c r="F161" s="16" t="inlineStr">
        <is>
          <t>14天数据采集</t>
        </is>
      </c>
      <c r="G161" s="17" t="inlineStr">
        <is>
          <t xml:space="preserve"> 提供14天历史运行数据采集用于基线计算的技术服务</t>
        </is>
      </c>
      <c r="H161" s="18" t="inlineStr">
        <is>
          <t>EI</t>
        </is>
      </c>
      <c r="I161" s="18">
        <f>IF(H161="ILF",10,IF(H161="EIF",7,IF(H161="EI",4,IF(H161="EO",5,IF(H161="EQ",4,"")))))</f>
        <v/>
      </c>
      <c r="J161" s="18" t="inlineStr">
        <is>
          <t>中</t>
        </is>
      </c>
      <c r="K161" s="18">
        <f>IF(J161="高",0.33,IF(J161="中",0.67,IF(J161="低",1,"")))</f>
        <v/>
      </c>
      <c r="L161" s="18" t="inlineStr">
        <is>
          <t>新增</t>
        </is>
      </c>
      <c r="M161" s="18">
        <f>IF(L161="新增",1,IF(L161="修改",0.8,IF(L161="删除",0.2,"")))</f>
        <v/>
      </c>
      <c r="N161" s="18">
        <f>I161*K161*M161</f>
        <v/>
      </c>
    </row>
    <row r="162" ht="19" customHeight="1" s="1">
      <c r="B162" s="16" t="n">
        <v>157</v>
      </c>
      <c r="C162" s="16" t="inlineStr">
        <is>
          <t>油气生产设备物模型与测点标准化管理服务</t>
        </is>
      </c>
      <c r="D162" s="16" t="inlineStr">
        <is>
          <t>参数阈值管理</t>
        </is>
      </c>
      <c r="E162" s="16" t="inlineStr">
        <is>
          <t>动态基线</t>
        </is>
      </c>
      <c r="F162" s="16" t="inlineStr">
        <is>
          <t>周期性基线计算</t>
        </is>
      </c>
      <c r="G162" s="17" t="inlineStr">
        <is>
          <t xml:space="preserve"> 提供基于14天历史的动态基线周期性计算技术服务</t>
        </is>
      </c>
      <c r="H162" s="18" t="inlineStr">
        <is>
          <t>EI</t>
        </is>
      </c>
      <c r="I162" s="18">
        <f>IF(H162="ILF",10,IF(H162="EIF",7,IF(H162="EI",4,IF(H162="EO",5,IF(H162="EQ",4,"")))))</f>
        <v/>
      </c>
      <c r="J162" s="18" t="inlineStr">
        <is>
          <t>中</t>
        </is>
      </c>
      <c r="K162" s="18">
        <f>IF(J162="高",0.33,IF(J162="中",0.67,IF(J162="低",1,"")))</f>
        <v/>
      </c>
      <c r="L162" s="18" t="inlineStr">
        <is>
          <t>新增</t>
        </is>
      </c>
      <c r="M162" s="18">
        <f>IF(L162="新增",1,IF(L162="修改",0.8,IF(L162="删除",0.2,"")))</f>
        <v/>
      </c>
      <c r="N162" s="18">
        <f>I162*K162*M162</f>
        <v/>
      </c>
    </row>
    <row r="163" ht="19" customHeight="1" s="1">
      <c r="B163" s="16" t="n">
        <v>158</v>
      </c>
      <c r="C163" s="16" t="inlineStr">
        <is>
          <t>油气生产设备物模型与测点标准化管理服务</t>
        </is>
      </c>
      <c r="D163" s="16" t="inlineStr">
        <is>
          <t>参数阈值管理</t>
        </is>
      </c>
      <c r="E163" s="16" t="inlineStr">
        <is>
          <t>动态基线</t>
        </is>
      </c>
      <c r="F163" s="16" t="inlineStr">
        <is>
          <t>基线自动更新</t>
        </is>
      </c>
      <c r="G163" s="17" t="inlineStr">
        <is>
          <t xml:space="preserve"> 提供基线参数定期自动更新技术服务</t>
        </is>
      </c>
      <c r="H163" s="18" t="inlineStr">
        <is>
          <t>EI</t>
        </is>
      </c>
      <c r="I163" s="18">
        <f>IF(H163="ILF",10,IF(H163="EIF",7,IF(H163="EI",4,IF(H163="EO",5,IF(H163="EQ",4,"")))))</f>
        <v/>
      </c>
      <c r="J163" s="18" t="inlineStr">
        <is>
          <t>中</t>
        </is>
      </c>
      <c r="K163" s="18">
        <f>IF(J163="高",0.33,IF(J163="中",0.67,IF(J163="低",1,"")))</f>
        <v/>
      </c>
      <c r="L163" s="18" t="inlineStr">
        <is>
          <t>新增</t>
        </is>
      </c>
      <c r="M163" s="18">
        <f>IF(L163="新增",1,IF(L163="修改",0.8,IF(L163="删除",0.2,"")))</f>
        <v/>
      </c>
      <c r="N163" s="18">
        <f>I163*K163*M163</f>
        <v/>
      </c>
    </row>
    <row r="164" ht="19" customHeight="1" s="1">
      <c r="B164" s="16" t="n">
        <v>159</v>
      </c>
      <c r="C164" s="16" t="inlineStr">
        <is>
          <t>油气生产设备物模型与测点标准化管理服务</t>
        </is>
      </c>
      <c r="D164" s="16" t="inlineStr">
        <is>
          <t>参数阈值管理</t>
        </is>
      </c>
      <c r="E164" s="16" t="inlineStr">
        <is>
          <t>动态基线</t>
        </is>
      </c>
      <c r="F164" s="16" t="inlineStr">
        <is>
          <t>基线验证</t>
        </is>
      </c>
      <c r="G164" s="17" t="inlineStr">
        <is>
          <t xml:space="preserve"> 提供基线计算结果与实际数据的比对验证技术服务</t>
        </is>
      </c>
      <c r="H164" s="18" t="inlineStr">
        <is>
          <t>EI</t>
        </is>
      </c>
      <c r="I164" s="18">
        <f>IF(H164="ILF",10,IF(H164="EIF",7,IF(H164="EI",4,IF(H164="EO",5,IF(H164="EQ",4,"")))))</f>
        <v/>
      </c>
      <c r="J164" s="18" t="inlineStr">
        <is>
          <t>中</t>
        </is>
      </c>
      <c r="K164" s="18">
        <f>IF(J164="高",0.33,IF(J164="中",0.67,IF(J164="低",1,"")))</f>
        <v/>
      </c>
      <c r="L164" s="18" t="inlineStr">
        <is>
          <t>新增</t>
        </is>
      </c>
      <c r="M164" s="18">
        <f>IF(L164="新增",1,IF(L164="修改",0.8,IF(L164="删除",0.2,"")))</f>
        <v/>
      </c>
      <c r="N164" s="18">
        <f>I164*K164*M164</f>
        <v/>
      </c>
    </row>
    <row r="165" ht="19" customHeight="1" s="1">
      <c r="B165" s="16" t="n">
        <v>160</v>
      </c>
      <c r="C165" s="16" t="inlineStr">
        <is>
          <t>油气生产设备物模型与测点标准化管理服务</t>
        </is>
      </c>
      <c r="D165" s="16" t="inlineStr">
        <is>
          <t>参数阈值管理</t>
        </is>
      </c>
      <c r="E165" s="16" t="inlineStr">
        <is>
          <t>动态基线</t>
        </is>
      </c>
      <c r="F165" s="16" t="inlineStr">
        <is>
          <t>漂移检测</t>
        </is>
      </c>
      <c r="G165" s="17" t="inlineStr">
        <is>
          <t xml:space="preserve"> 提供基线参数异常漂移检测技术服务</t>
        </is>
      </c>
      <c r="H165" s="18" t="inlineStr">
        <is>
          <t>EI</t>
        </is>
      </c>
      <c r="I165" s="18">
        <f>IF(H165="ILF",10,IF(H165="EIF",7,IF(H165="EI",4,IF(H165="EO",5,IF(H165="EQ",4,"")))))</f>
        <v/>
      </c>
      <c r="J165" s="18" t="inlineStr">
        <is>
          <t>中</t>
        </is>
      </c>
      <c r="K165" s="18">
        <f>IF(J165="高",0.33,IF(J165="中",0.67,IF(J165="低",1,"")))</f>
        <v/>
      </c>
      <c r="L165" s="18" t="inlineStr">
        <is>
          <t>新增</t>
        </is>
      </c>
      <c r="M165" s="18">
        <f>IF(L165="新增",1,IF(L165="修改",0.8,IF(L165="删除",0.2,"")))</f>
        <v/>
      </c>
      <c r="N165" s="18">
        <f>I165*K165*M165</f>
        <v/>
      </c>
    </row>
    <row r="166" ht="19" customHeight="1" s="1">
      <c r="B166" s="16" t="n">
        <v>161</v>
      </c>
      <c r="C166" s="16" t="inlineStr">
        <is>
          <t>油气生产设备物模型与测点标准化管理服务</t>
        </is>
      </c>
      <c r="D166" s="16" t="inlineStr">
        <is>
          <t>参数阈值管理</t>
        </is>
      </c>
      <c r="E166" s="16" t="inlineStr">
        <is>
          <t>动态基线</t>
        </is>
      </c>
      <c r="F166" s="16" t="inlineStr">
        <is>
          <t>洗井自适应</t>
        </is>
      </c>
      <c r="G166" s="17" t="inlineStr">
        <is>
          <t xml:space="preserve"> 提供洗井工况下告警阈值动态调整技术服务</t>
        </is>
      </c>
      <c r="H166" s="18" t="inlineStr">
        <is>
          <t>EI</t>
        </is>
      </c>
      <c r="I166" s="18">
        <f>IF(H166="ILF",10,IF(H166="EIF",7,IF(H166="EI",4,IF(H166="EO",5,IF(H166="EQ",4,"")))))</f>
        <v/>
      </c>
      <c r="J166" s="18" t="inlineStr">
        <is>
          <t>中</t>
        </is>
      </c>
      <c r="K166" s="18">
        <f>IF(J166="高",0.33,IF(J166="中",0.67,IF(J166="低",1,"")))</f>
        <v/>
      </c>
      <c r="L166" s="18" t="inlineStr">
        <is>
          <t>新增</t>
        </is>
      </c>
      <c r="M166" s="18">
        <f>IF(L166="新增",1,IF(L166="修改",0.8,IF(L166="删除",0.2,"")))</f>
        <v/>
      </c>
      <c r="N166" s="18">
        <f>I166*K166*M166</f>
        <v/>
      </c>
    </row>
    <row r="167" ht="19" customHeight="1" s="1">
      <c r="B167" s="16" t="n">
        <v>162</v>
      </c>
      <c r="C167" s="16" t="inlineStr">
        <is>
          <t>油气生产设备物模型与测点标准化管理服务</t>
        </is>
      </c>
      <c r="D167" s="16" t="inlineStr">
        <is>
          <t>参数阈值管理</t>
        </is>
      </c>
      <c r="E167" s="16" t="inlineStr">
        <is>
          <t>动态基线</t>
        </is>
      </c>
      <c r="F167" s="16" t="inlineStr">
        <is>
          <t>检修自适应</t>
        </is>
      </c>
      <c r="G167" s="17" t="inlineStr">
        <is>
          <t xml:space="preserve"> 提供检修工况下告警阈值动态调整技术服务</t>
        </is>
      </c>
      <c r="H167" s="18" t="inlineStr">
        <is>
          <t>EI</t>
        </is>
      </c>
      <c r="I167" s="18">
        <f>IF(H167="ILF",10,IF(H167="EIF",7,IF(H167="EI",4,IF(H167="EO",5,IF(H167="EQ",4,"")))))</f>
        <v/>
      </c>
      <c r="J167" s="18" t="inlineStr">
        <is>
          <t>中</t>
        </is>
      </c>
      <c r="K167" s="18">
        <f>IF(J167="高",0.33,IF(J167="中",0.67,IF(J167="低",1,"")))</f>
        <v/>
      </c>
      <c r="L167" s="18" t="inlineStr">
        <is>
          <t>新增</t>
        </is>
      </c>
      <c r="M167" s="18">
        <f>IF(L167="新增",1,IF(L167="修改",0.8,IF(L167="删除",0.2,"")))</f>
        <v/>
      </c>
      <c r="N167" s="18">
        <f>I167*K167*M167</f>
        <v/>
      </c>
    </row>
    <row r="168" ht="19" customHeight="1" s="1">
      <c r="B168" s="16" t="n">
        <v>163</v>
      </c>
      <c r="C168" s="16" t="inlineStr">
        <is>
          <t>油气生产设备物模型与测点标准化管理服务</t>
        </is>
      </c>
      <c r="D168" s="16" t="inlineStr">
        <is>
          <t>参数阈值管理</t>
        </is>
      </c>
      <c r="E168" s="16" t="inlineStr">
        <is>
          <t>动态基线</t>
        </is>
      </c>
      <c r="F168" s="16" t="inlineStr">
        <is>
          <t>停机自适应</t>
        </is>
      </c>
      <c r="G168" s="17" t="inlineStr">
        <is>
          <t xml:space="preserve"> 提供停机工况下告警阈值动态调整技术服务</t>
        </is>
      </c>
      <c r="H168" s="18" t="inlineStr">
        <is>
          <t>EI</t>
        </is>
      </c>
      <c r="I168" s="18">
        <f>IF(H168="ILF",10,IF(H168="EIF",7,IF(H168="EI",4,IF(H168="EO",5,IF(H168="EQ",4,"")))))</f>
        <v/>
      </c>
      <c r="J168" s="18" t="inlineStr">
        <is>
          <t>中</t>
        </is>
      </c>
      <c r="K168" s="18">
        <f>IF(J168="高",0.33,IF(J168="中",0.67,IF(J168="低",1,"")))</f>
        <v/>
      </c>
      <c r="L168" s="18" t="inlineStr">
        <is>
          <t>新增</t>
        </is>
      </c>
      <c r="M168" s="18">
        <f>IF(L168="新增",1,IF(L168="修改",0.8,IF(L168="删除",0.2,"")))</f>
        <v/>
      </c>
      <c r="N168" s="18">
        <f>I168*K168*M168</f>
        <v/>
      </c>
    </row>
    <row r="169" ht="19" customHeight="1" s="1">
      <c r="B169" s="16" t="n">
        <v>164</v>
      </c>
      <c r="C169" s="16" t="inlineStr">
        <is>
          <t>油气生产设备物模型与测点标准化管理服务</t>
        </is>
      </c>
      <c r="D169" s="16" t="inlineStr">
        <is>
          <t>参数阈值管理</t>
        </is>
      </c>
      <c r="E169" s="16" t="inlineStr">
        <is>
          <t>动态基线</t>
        </is>
      </c>
      <c r="F169" s="16" t="inlineStr">
        <is>
          <t>复产自适应</t>
        </is>
      </c>
      <c r="G169" s="17" t="inlineStr">
        <is>
          <t xml:space="preserve"> 提供复产工况下阈值恢复正常的技术服务</t>
        </is>
      </c>
      <c r="H169" s="18" t="inlineStr">
        <is>
          <t>EI</t>
        </is>
      </c>
      <c r="I169" s="18">
        <f>IF(H169="ILF",10,IF(H169="EIF",7,IF(H169="EI",4,IF(H169="EO",5,IF(H169="EQ",4,"")))))</f>
        <v/>
      </c>
      <c r="J169" s="18" t="inlineStr">
        <is>
          <t>中</t>
        </is>
      </c>
      <c r="K169" s="18">
        <f>IF(J169="高",0.33,IF(J169="中",0.67,IF(J169="低",1,"")))</f>
        <v/>
      </c>
      <c r="L169" s="18" t="inlineStr">
        <is>
          <t>新增</t>
        </is>
      </c>
      <c r="M169" s="18">
        <f>IF(L169="新增",1,IF(L169="修改",0.8,IF(L169="删除",0.2,"")))</f>
        <v/>
      </c>
      <c r="N169" s="18">
        <f>I169*K169*M169</f>
        <v/>
      </c>
    </row>
    <row r="170" ht="19" customHeight="1" s="1">
      <c r="B170" s="16" t="n">
        <v>165</v>
      </c>
      <c r="C170" s="16" t="inlineStr">
        <is>
          <t>油气生产设备物模型与测点标准化管理服务</t>
        </is>
      </c>
      <c r="D170" s="16" t="inlineStr">
        <is>
          <t>参数阈值管理</t>
        </is>
      </c>
      <c r="E170" s="16" t="inlineStr">
        <is>
          <t>动态基线</t>
        </is>
      </c>
      <c r="F170" s="16" t="inlineStr">
        <is>
          <t>夜间调整</t>
        </is>
      </c>
      <c r="G170" s="17" t="inlineStr">
        <is>
          <t xml:space="preserve"> 提供夜间低产时段告警阈值自动放宽技术服务</t>
        </is>
      </c>
      <c r="H170" s="18" t="inlineStr">
        <is>
          <t>EI</t>
        </is>
      </c>
      <c r="I170" s="18">
        <f>IF(H170="ILF",10,IF(H170="EIF",7,IF(H170="EI",4,IF(H170="EO",5,IF(H170="EQ",4,"")))))</f>
        <v/>
      </c>
      <c r="J170" s="18" t="inlineStr">
        <is>
          <t>中</t>
        </is>
      </c>
      <c r="K170" s="18">
        <f>IF(J170="高",0.33,IF(J170="中",0.67,IF(J170="低",1,"")))</f>
        <v/>
      </c>
      <c r="L170" s="18" t="inlineStr">
        <is>
          <t>新增</t>
        </is>
      </c>
      <c r="M170" s="18">
        <f>IF(L170="新增",1,IF(L170="修改",0.8,IF(L170="删除",0.2,"")))</f>
        <v/>
      </c>
      <c r="N170" s="18">
        <f>I170*K170*M170</f>
        <v/>
      </c>
    </row>
    <row r="171" ht="19" customHeight="1" s="1">
      <c r="B171" s="16" t="n">
        <v>166</v>
      </c>
      <c r="C171" s="16" t="inlineStr">
        <is>
          <t>油气生产设备物模型与测点标准化管理服务</t>
        </is>
      </c>
      <c r="D171" s="16" t="inlineStr">
        <is>
          <t>参数阈值管理</t>
        </is>
      </c>
      <c r="E171" s="16" t="inlineStr">
        <is>
          <t>告警级别</t>
        </is>
      </c>
      <c r="F171" s="16" t="inlineStr">
        <is>
          <t>critical级</t>
        </is>
      </c>
      <c r="G171" s="17" t="inlineStr">
        <is>
          <t xml:space="preserve"> 提供critical严重告警5分钟响应配置技术服务</t>
        </is>
      </c>
      <c r="H171" s="18" t="inlineStr">
        <is>
          <t>EI</t>
        </is>
      </c>
      <c r="I171" s="18">
        <f>IF(H171="ILF",10,IF(H171="EIF",7,IF(H171="EI",4,IF(H171="EO",5,IF(H171="EQ",4,"")))))</f>
        <v/>
      </c>
      <c r="J171" s="18" t="inlineStr">
        <is>
          <t>中</t>
        </is>
      </c>
      <c r="K171" s="18">
        <f>IF(J171="高",0.33,IF(J171="中",0.67,IF(J171="低",1,"")))</f>
        <v/>
      </c>
      <c r="L171" s="18" t="inlineStr">
        <is>
          <t>新增</t>
        </is>
      </c>
      <c r="M171" s="18">
        <f>IF(L171="新增",1,IF(L171="修改",0.8,IF(L171="删除",0.2,"")))</f>
        <v/>
      </c>
      <c r="N171" s="18">
        <f>I171*K171*M171</f>
        <v/>
      </c>
    </row>
    <row r="172" ht="19" customHeight="1" s="1">
      <c r="B172" s="16" t="n">
        <v>167</v>
      </c>
      <c r="C172" s="16" t="inlineStr">
        <is>
          <t>油气生产设备物模型与测点标准化管理服务</t>
        </is>
      </c>
      <c r="D172" s="16" t="inlineStr">
        <is>
          <t>参数阈值管理</t>
        </is>
      </c>
      <c r="E172" s="16" t="inlineStr">
        <is>
          <t>告警级别</t>
        </is>
      </c>
      <c r="F172" s="16" t="inlineStr">
        <is>
          <t>error级</t>
        </is>
      </c>
      <c r="G172" s="17" t="inlineStr">
        <is>
          <t xml:space="preserve"> 提供error错误告警30分钟响应配置技术服务</t>
        </is>
      </c>
      <c r="H172" s="18" t="inlineStr">
        <is>
          <t>EI</t>
        </is>
      </c>
      <c r="I172" s="18">
        <f>IF(H172="ILF",10,IF(H172="EIF",7,IF(H172="EI",4,IF(H172="EO",5,IF(H172="EQ",4,"")))))</f>
        <v/>
      </c>
      <c r="J172" s="18" t="inlineStr">
        <is>
          <t>中</t>
        </is>
      </c>
      <c r="K172" s="18">
        <f>IF(J172="高",0.33,IF(J172="中",0.67,IF(J172="低",1,"")))</f>
        <v/>
      </c>
      <c r="L172" s="18" t="inlineStr">
        <is>
          <t>新增</t>
        </is>
      </c>
      <c r="M172" s="18">
        <f>IF(L172="新增",1,IF(L172="修改",0.8,IF(L172="删除",0.2,"")))</f>
        <v/>
      </c>
      <c r="N172" s="18">
        <f>I172*K172*M172</f>
        <v/>
      </c>
    </row>
    <row r="173" ht="19" customHeight="1" s="1">
      <c r="B173" s="16" t="n">
        <v>168</v>
      </c>
      <c r="C173" s="16" t="inlineStr">
        <is>
          <t>油气生产设备物模型与测点标准化管理服务</t>
        </is>
      </c>
      <c r="D173" s="16" t="inlineStr">
        <is>
          <t>参数阈值管理</t>
        </is>
      </c>
      <c r="E173" s="16" t="inlineStr">
        <is>
          <t>告警级别</t>
        </is>
      </c>
      <c r="F173" s="16" t="inlineStr">
        <is>
          <t>warning级</t>
        </is>
      </c>
      <c r="G173" s="17" t="inlineStr">
        <is>
          <t xml:space="preserve"> 提供warning警告告警2小时响应配置技术服务</t>
        </is>
      </c>
      <c r="H173" s="18" t="inlineStr">
        <is>
          <t>EI</t>
        </is>
      </c>
      <c r="I173" s="18">
        <f>IF(H173="ILF",10,IF(H173="EIF",7,IF(H173="EI",4,IF(H173="EO",5,IF(H173="EQ",4,"")))))</f>
        <v/>
      </c>
      <c r="J173" s="18" t="inlineStr">
        <is>
          <t>中</t>
        </is>
      </c>
      <c r="K173" s="18">
        <f>IF(J173="高",0.33,IF(J173="中",0.67,IF(J173="低",1,"")))</f>
        <v/>
      </c>
      <c r="L173" s="18" t="inlineStr">
        <is>
          <t>新增</t>
        </is>
      </c>
      <c r="M173" s="18">
        <f>IF(L173="新增",1,IF(L173="修改",0.8,IF(L173="删除",0.2,"")))</f>
        <v/>
      </c>
      <c r="N173" s="18">
        <f>I173*K173*M173</f>
        <v/>
      </c>
    </row>
    <row r="174" ht="19" customHeight="1" s="1">
      <c r="B174" s="16" t="n">
        <v>169</v>
      </c>
      <c r="C174" s="16" t="inlineStr">
        <is>
          <t>油气生产设备物模型与测点标准化管理服务</t>
        </is>
      </c>
      <c r="D174" s="16" t="inlineStr">
        <is>
          <t>参数阈值管理</t>
        </is>
      </c>
      <c r="E174" s="16" t="inlineStr">
        <is>
          <t>告警级别</t>
        </is>
      </c>
      <c r="F174" s="16" t="inlineStr">
        <is>
          <t>info级</t>
        </is>
      </c>
      <c r="G174" s="17" t="inlineStr">
        <is>
          <t xml:space="preserve"> 提供info提示告警24小时响应配置技术服务</t>
        </is>
      </c>
      <c r="H174" s="18" t="inlineStr">
        <is>
          <t>EI</t>
        </is>
      </c>
      <c r="I174" s="18">
        <f>IF(H174="ILF",10,IF(H174="EIF",7,IF(H174="EI",4,IF(H174="EO",5,IF(H174="EQ",4,"")))))</f>
        <v/>
      </c>
      <c r="J174" s="18" t="inlineStr">
        <is>
          <t>中</t>
        </is>
      </c>
      <c r="K174" s="18">
        <f>IF(J174="高",0.33,IF(J174="中",0.67,IF(J174="低",1,"")))</f>
        <v/>
      </c>
      <c r="L174" s="18" t="inlineStr">
        <is>
          <t>新增</t>
        </is>
      </c>
      <c r="M174" s="18">
        <f>IF(L174="新增",1,IF(L174="修改",0.8,IF(L174="删除",0.2,"")))</f>
        <v/>
      </c>
      <c r="N174" s="18">
        <f>I174*K174*M174</f>
        <v/>
      </c>
    </row>
    <row r="175" ht="19" customHeight="1" s="1">
      <c r="B175" s="16" t="n">
        <v>170</v>
      </c>
      <c r="C175" s="16" t="inlineStr">
        <is>
          <t>油气生产设备物模型与测点标准化管理服务</t>
        </is>
      </c>
      <c r="D175" s="16" t="inlineStr">
        <is>
          <t>参数阈值管理</t>
        </is>
      </c>
      <c r="E175" s="16" t="inlineStr">
        <is>
          <t>告警级别</t>
        </is>
      </c>
      <c r="F175" s="16" t="inlineStr">
        <is>
          <t>升级策略</t>
        </is>
      </c>
      <c r="G175" s="17" t="inlineStr">
        <is>
          <t xml:space="preserve"> 提供告警长时间未响应自动升级策略配置技术服务</t>
        </is>
      </c>
      <c r="H175" s="18" t="inlineStr">
        <is>
          <t>EI</t>
        </is>
      </c>
      <c r="I175" s="18">
        <f>IF(H175="ILF",10,IF(H175="EIF",7,IF(H175="EI",4,IF(H175="EO",5,IF(H175="EQ",4,"")))))</f>
        <v/>
      </c>
      <c r="J175" s="18" t="inlineStr">
        <is>
          <t>中</t>
        </is>
      </c>
      <c r="K175" s="18">
        <f>IF(J175="高",0.33,IF(J175="中",0.67,IF(J175="低",1,"")))</f>
        <v/>
      </c>
      <c r="L175" s="18" t="inlineStr">
        <is>
          <t>新增</t>
        </is>
      </c>
      <c r="M175" s="18">
        <f>IF(L175="新增",1,IF(L175="修改",0.8,IF(L175="删除",0.2,"")))</f>
        <v/>
      </c>
      <c r="N175" s="18">
        <f>I175*K175*M175</f>
        <v/>
      </c>
    </row>
    <row r="176" ht="19" customHeight="1" s="1">
      <c r="B176" s="16" t="n">
        <v>171</v>
      </c>
      <c r="C176" s="16" t="inlineStr">
        <is>
          <t>油气生产设备物模型与测点标准化管理服务</t>
        </is>
      </c>
      <c r="D176" s="16" t="inlineStr">
        <is>
          <t>参数阈值管理</t>
        </is>
      </c>
      <c r="E176" s="16" t="inlineStr">
        <is>
          <t>告警级别</t>
        </is>
      </c>
      <c r="F176" s="16" t="inlineStr">
        <is>
          <t>电话通知</t>
        </is>
      </c>
      <c r="G176" s="17" t="inlineStr">
        <is>
          <t xml:space="preserve"> 提供critical级告警电话语音通知配置技术服务</t>
        </is>
      </c>
      <c r="H176" s="18" t="inlineStr">
        <is>
          <t>EI</t>
        </is>
      </c>
      <c r="I176" s="18">
        <f>IF(H176="ILF",10,IF(H176="EIF",7,IF(H176="EI",4,IF(H176="EO",5,IF(H176="EQ",4,"")))))</f>
        <v/>
      </c>
      <c r="J176" s="18" t="inlineStr">
        <is>
          <t>中</t>
        </is>
      </c>
      <c r="K176" s="18">
        <f>IF(J176="高",0.33,IF(J176="中",0.67,IF(J176="低",1,"")))</f>
        <v/>
      </c>
      <c r="L176" s="18" t="inlineStr">
        <is>
          <t>新增</t>
        </is>
      </c>
      <c r="M176" s="18">
        <f>IF(L176="新增",1,IF(L176="修改",0.8,IF(L176="删除",0.2,"")))</f>
        <v/>
      </c>
      <c r="N176" s="18">
        <f>I176*K176*M176</f>
        <v/>
      </c>
    </row>
    <row r="177" ht="19" customHeight="1" s="1">
      <c r="B177" s="16" t="n">
        <v>172</v>
      </c>
      <c r="C177" s="16" t="inlineStr">
        <is>
          <t>油气生产设备物模型与测点标准化管理服务</t>
        </is>
      </c>
      <c r="D177" s="16" t="inlineStr">
        <is>
          <t>参数阈值管理</t>
        </is>
      </c>
      <c r="E177" s="16" t="inlineStr">
        <is>
          <t>告警级别</t>
        </is>
      </c>
      <c r="F177" s="16" t="inlineStr">
        <is>
          <t>短信通知</t>
        </is>
      </c>
      <c r="G177" s="17" t="inlineStr">
        <is>
          <t xml:space="preserve"> 提供error级告警短信通知配置技术服务</t>
        </is>
      </c>
      <c r="H177" s="18" t="inlineStr">
        <is>
          <t>EI</t>
        </is>
      </c>
      <c r="I177" s="18">
        <f>IF(H177="ILF",10,IF(H177="EIF",7,IF(H177="EI",4,IF(H177="EO",5,IF(H177="EQ",4,"")))))</f>
        <v/>
      </c>
      <c r="J177" s="18" t="inlineStr">
        <is>
          <t>中</t>
        </is>
      </c>
      <c r="K177" s="18">
        <f>IF(J177="高",0.33,IF(J177="中",0.67,IF(J177="低",1,"")))</f>
        <v/>
      </c>
      <c r="L177" s="18" t="inlineStr">
        <is>
          <t>新增</t>
        </is>
      </c>
      <c r="M177" s="18">
        <f>IF(L177="新增",1,IF(L177="修改",0.8,IF(L177="删除",0.2,"")))</f>
        <v/>
      </c>
      <c r="N177" s="18">
        <f>I177*K177*M177</f>
        <v/>
      </c>
    </row>
    <row r="178" ht="19" customHeight="1" s="1">
      <c r="B178" s="16" t="n">
        <v>173</v>
      </c>
      <c r="C178" s="16" t="inlineStr">
        <is>
          <t>油气生产设备物模型与测点标准化管理服务</t>
        </is>
      </c>
      <c r="D178" s="16" t="inlineStr">
        <is>
          <t>参数阈值管理</t>
        </is>
      </c>
      <c r="E178" s="16" t="inlineStr">
        <is>
          <t>告警级别</t>
        </is>
      </c>
      <c r="F178" s="16" t="inlineStr">
        <is>
          <t>APP推送</t>
        </is>
      </c>
      <c r="G178" s="17" t="inlineStr">
        <is>
          <t xml:space="preserve"> 提供warning/info级告警APP推送配置技术服务</t>
        </is>
      </c>
      <c r="H178" s="18" t="inlineStr">
        <is>
          <t>EI</t>
        </is>
      </c>
      <c r="I178" s="18">
        <f>IF(H178="ILF",10,IF(H178="EIF",7,IF(H178="EI",4,IF(H178="EO",5,IF(H178="EQ",4,"")))))</f>
        <v/>
      </c>
      <c r="J178" s="18" t="inlineStr">
        <is>
          <t>中</t>
        </is>
      </c>
      <c r="K178" s="18">
        <f>IF(J178="高",0.33,IF(J178="中",0.67,IF(J178="低",1,"")))</f>
        <v/>
      </c>
      <c r="L178" s="18" t="inlineStr">
        <is>
          <t>新增</t>
        </is>
      </c>
      <c r="M178" s="18">
        <f>IF(L178="新增",1,IF(L178="修改",0.8,IF(L178="删除",0.2,"")))</f>
        <v/>
      </c>
      <c r="N178" s="18">
        <f>I178*K178*M178</f>
        <v/>
      </c>
    </row>
    <row r="179" ht="19" customHeight="1" s="1">
      <c r="B179" s="16" t="n">
        <v>174</v>
      </c>
      <c r="C179" s="16" t="inlineStr">
        <is>
          <t>油气生产设备物模型与测点标准化管理服务</t>
        </is>
      </c>
      <c r="D179" s="16" t="inlineStr">
        <is>
          <t>参数阈值管理</t>
        </is>
      </c>
      <c r="E179" s="16" t="inlineStr">
        <is>
          <t>告警级别</t>
        </is>
      </c>
      <c r="F179" s="16" t="inlineStr">
        <is>
          <t>级别自定义</t>
        </is>
      </c>
      <c r="G179" s="17" t="inlineStr">
        <is>
          <t xml:space="preserve"> 提供自定义告警级别创建和管理技术服务</t>
        </is>
      </c>
      <c r="H179" s="18" t="inlineStr">
        <is>
          <t>EI</t>
        </is>
      </c>
      <c r="I179" s="18">
        <f>IF(H179="ILF",10,IF(H179="EIF",7,IF(H179="EI",4,IF(H179="EO",5,IF(H179="EQ",4,"")))))</f>
        <v/>
      </c>
      <c r="J179" s="18" t="inlineStr">
        <is>
          <t>中</t>
        </is>
      </c>
      <c r="K179" s="18">
        <f>IF(J179="高",0.33,IF(J179="中",0.67,IF(J179="低",1,"")))</f>
        <v/>
      </c>
      <c r="L179" s="18" t="inlineStr">
        <is>
          <t>新增</t>
        </is>
      </c>
      <c r="M179" s="18">
        <f>IF(L179="新增",1,IF(L179="修改",0.8,IF(L179="删除",0.2,"")))</f>
        <v/>
      </c>
      <c r="N179" s="18">
        <f>I179*K179*M179</f>
        <v/>
      </c>
    </row>
    <row r="180" ht="19" customHeight="1" s="1">
      <c r="B180" s="16" t="n">
        <v>175</v>
      </c>
      <c r="C180" s="16" t="inlineStr">
        <is>
          <t>油气生产设备物模型与测点标准化管理服务</t>
        </is>
      </c>
      <c r="D180" s="16" t="inlineStr">
        <is>
          <t>数据质量校验</t>
        </is>
      </c>
      <c r="E180" s="16" t="inlineStr">
        <is>
          <t>校验规则</t>
        </is>
      </c>
      <c r="F180" s="16" t="inlineStr">
        <is>
          <t>范围校验</t>
        </is>
      </c>
      <c r="G180" s="17" t="inlineStr">
        <is>
          <t xml:space="preserve"> 提供min≤value≤max范围校验规则配置技术服务</t>
        </is>
      </c>
      <c r="H180" s="18" t="inlineStr">
        <is>
          <t>EI</t>
        </is>
      </c>
      <c r="I180" s="18">
        <f>IF(H180="ILF",10,IF(H180="EIF",7,IF(H180="EI",4,IF(H180="EO",5,IF(H180="EQ",4,"")))))</f>
        <v/>
      </c>
      <c r="J180" s="18" t="inlineStr">
        <is>
          <t>中</t>
        </is>
      </c>
      <c r="K180" s="18">
        <f>IF(J180="高",0.33,IF(J180="中",0.67,IF(J180="低",1,"")))</f>
        <v/>
      </c>
      <c r="L180" s="18" t="inlineStr">
        <is>
          <t>新增</t>
        </is>
      </c>
      <c r="M180" s="18">
        <f>IF(L180="新增",1,IF(L180="修改",0.8,IF(L180="删除",0.2,"")))</f>
        <v/>
      </c>
      <c r="N180" s="18">
        <f>I180*K180*M180</f>
        <v/>
      </c>
    </row>
    <row r="181" ht="19" customHeight="1" s="1">
      <c r="B181" s="16" t="n">
        <v>176</v>
      </c>
      <c r="C181" s="16" t="inlineStr">
        <is>
          <t>油气生产设备物模型与测点标准化管理服务</t>
        </is>
      </c>
      <c r="D181" s="16" t="inlineStr">
        <is>
          <t>数据质量校验</t>
        </is>
      </c>
      <c r="E181" s="16" t="inlineStr">
        <is>
          <t>校验规则</t>
        </is>
      </c>
      <c r="F181" s="16" t="inlineStr">
        <is>
          <t>跳变校验</t>
        </is>
      </c>
      <c r="G181" s="17" t="inlineStr">
        <is>
          <t xml:space="preserve"> 提供相邻值差异超阈值的跳变校验规则配置技术服务</t>
        </is>
      </c>
      <c r="H181" s="18" t="inlineStr">
        <is>
          <t>EI</t>
        </is>
      </c>
      <c r="I181" s="18">
        <f>IF(H181="ILF",10,IF(H181="EIF",7,IF(H181="EI",4,IF(H181="EO",5,IF(H181="EQ",4,"")))))</f>
        <v/>
      </c>
      <c r="J181" s="18" t="inlineStr">
        <is>
          <t>中</t>
        </is>
      </c>
      <c r="K181" s="18">
        <f>IF(J181="高",0.33,IF(J181="中",0.67,IF(J181="低",1,"")))</f>
        <v/>
      </c>
      <c r="L181" s="18" t="inlineStr">
        <is>
          <t>新增</t>
        </is>
      </c>
      <c r="M181" s="18">
        <f>IF(L181="新增",1,IF(L181="修改",0.8,IF(L181="删除",0.2,"")))</f>
        <v/>
      </c>
      <c r="N181" s="18">
        <f>I181*K181*M181</f>
        <v/>
      </c>
    </row>
    <row r="182" ht="19" customHeight="1" s="1">
      <c r="B182" s="16" t="n">
        <v>177</v>
      </c>
      <c r="C182" s="16" t="inlineStr">
        <is>
          <t>油气生产设备物模型与测点标准化管理服务</t>
        </is>
      </c>
      <c r="D182" s="16" t="inlineStr">
        <is>
          <t>数据质量校验</t>
        </is>
      </c>
      <c r="E182" s="16" t="inlineStr">
        <is>
          <t>校验规则</t>
        </is>
      </c>
      <c r="F182" s="16" t="inlineStr">
        <is>
          <t>完整性校验</t>
        </is>
      </c>
      <c r="G182" s="17" t="inlineStr">
        <is>
          <t xml:space="preserve"> 提供采集率≥99%完整性校验规则配置技术服务</t>
        </is>
      </c>
      <c r="H182" s="18" t="inlineStr">
        <is>
          <t>EI</t>
        </is>
      </c>
      <c r="I182" s="18">
        <f>IF(H182="ILF",10,IF(H182="EIF",7,IF(H182="EI",4,IF(H182="EO",5,IF(H182="EQ",4,"")))))</f>
        <v/>
      </c>
      <c r="J182" s="18" t="inlineStr">
        <is>
          <t>中</t>
        </is>
      </c>
      <c r="K182" s="18">
        <f>IF(J182="高",0.33,IF(J182="中",0.67,IF(J182="低",1,"")))</f>
        <v/>
      </c>
      <c r="L182" s="18" t="inlineStr">
        <is>
          <t>新增</t>
        </is>
      </c>
      <c r="M182" s="18">
        <f>IF(L182="新增",1,IF(L182="修改",0.8,IF(L182="删除",0.2,"")))</f>
        <v/>
      </c>
      <c r="N182" s="18">
        <f>I182*K182*M182</f>
        <v/>
      </c>
    </row>
    <row r="183" ht="19" customHeight="1" s="1">
      <c r="B183" s="16" t="n">
        <v>178</v>
      </c>
      <c r="C183" s="16" t="inlineStr">
        <is>
          <t>油气生产设备物模型与测点标准化管理服务</t>
        </is>
      </c>
      <c r="D183" s="16" t="inlineStr">
        <is>
          <t>数据质量校验</t>
        </is>
      </c>
      <c r="E183" s="16" t="inlineStr">
        <is>
          <t>校验规则</t>
        </is>
      </c>
      <c r="F183" s="16" t="inlineStr">
        <is>
          <t>时效性校验</t>
        </is>
      </c>
      <c r="G183" s="17" t="inlineStr">
        <is>
          <t xml:space="preserve"> 提供时间戳在预期窗口±60秒内校验规则配置技术服务</t>
        </is>
      </c>
      <c r="H183" s="18" t="inlineStr">
        <is>
          <t>EI</t>
        </is>
      </c>
      <c r="I183" s="18">
        <f>IF(H183="ILF",10,IF(H183="EIF",7,IF(H183="EI",4,IF(H183="EO",5,IF(H183="EQ",4,"")))))</f>
        <v/>
      </c>
      <c r="J183" s="18" t="inlineStr">
        <is>
          <t>中</t>
        </is>
      </c>
      <c r="K183" s="18">
        <f>IF(J183="高",0.33,IF(J183="中",0.67,IF(J183="低",1,"")))</f>
        <v/>
      </c>
      <c r="L183" s="18" t="inlineStr">
        <is>
          <t>新增</t>
        </is>
      </c>
      <c r="M183" s="18">
        <f>IF(L183="新增",1,IF(L183="修改",0.8,IF(L183="删除",0.2,"")))</f>
        <v/>
      </c>
      <c r="N183" s="18">
        <f>I183*K183*M183</f>
        <v/>
      </c>
    </row>
    <row r="184" ht="19" customHeight="1" s="1">
      <c r="B184" s="16" t="n">
        <v>179</v>
      </c>
      <c r="C184" s="16" t="inlineStr">
        <is>
          <t>油气生产设备物模型与测点标准化管理服务</t>
        </is>
      </c>
      <c r="D184" s="16" t="inlineStr">
        <is>
          <t>数据质量校验</t>
        </is>
      </c>
      <c r="E184" s="16" t="inlineStr">
        <is>
          <t>校验规则</t>
        </is>
      </c>
      <c r="F184" s="16" t="inlineStr">
        <is>
          <t>一致性校验</t>
        </is>
      </c>
      <c r="G184" s="17" t="inlineStr">
        <is>
          <t xml:space="preserve"> 提供关联数据逻辑一致性校验规则配置技术服务</t>
        </is>
      </c>
      <c r="H184" s="18" t="inlineStr">
        <is>
          <t>EI</t>
        </is>
      </c>
      <c r="I184" s="18">
        <f>IF(H184="ILF",10,IF(H184="EIF",7,IF(H184="EI",4,IF(H184="EO",5,IF(H184="EQ",4,"")))))</f>
        <v/>
      </c>
      <c r="J184" s="18" t="inlineStr">
        <is>
          <t>中</t>
        </is>
      </c>
      <c r="K184" s="18">
        <f>IF(J184="高",0.33,IF(J184="中",0.67,IF(J184="低",1,"")))</f>
        <v/>
      </c>
      <c r="L184" s="18" t="inlineStr">
        <is>
          <t>新增</t>
        </is>
      </c>
      <c r="M184" s="18">
        <f>IF(L184="新增",1,IF(L184="修改",0.8,IF(L184="删除",0.2,"")))</f>
        <v/>
      </c>
      <c r="N184" s="18">
        <f>I184*K184*M184</f>
        <v/>
      </c>
    </row>
    <row r="185" ht="19" customHeight="1" s="1">
      <c r="B185" s="16" t="n">
        <v>180</v>
      </c>
      <c r="C185" s="16" t="inlineStr">
        <is>
          <t>油气生产设备物模型与测点标准化管理服务</t>
        </is>
      </c>
      <c r="D185" s="16" t="inlineStr">
        <is>
          <t>数据质量校验</t>
        </is>
      </c>
      <c r="E185" s="16" t="inlineStr">
        <is>
          <t>校验规则</t>
        </is>
      </c>
      <c r="F185" s="16" t="inlineStr">
        <is>
          <t>规则热加载</t>
        </is>
      </c>
      <c r="G185" s="17" t="inlineStr">
        <is>
          <t xml:space="preserve"> 提供校验规则变更后热加载生效的技术服务</t>
        </is>
      </c>
      <c r="H185" s="18" t="inlineStr">
        <is>
          <t>EI</t>
        </is>
      </c>
      <c r="I185" s="18">
        <f>IF(H185="ILF",10,IF(H185="EIF",7,IF(H185="EI",4,IF(H185="EO",5,IF(H185="EQ",4,"")))))</f>
        <v/>
      </c>
      <c r="J185" s="18" t="inlineStr">
        <is>
          <t>中</t>
        </is>
      </c>
      <c r="K185" s="18">
        <f>IF(J185="高",0.33,IF(J185="中",0.67,IF(J185="低",1,"")))</f>
        <v/>
      </c>
      <c r="L185" s="18" t="inlineStr">
        <is>
          <t>新增</t>
        </is>
      </c>
      <c r="M185" s="18">
        <f>IF(L185="新增",1,IF(L185="修改",0.8,IF(L185="删除",0.2,"")))</f>
        <v/>
      </c>
      <c r="N185" s="18">
        <f>I185*K185*M185</f>
        <v/>
      </c>
    </row>
    <row r="186" ht="19" customHeight="1" s="1">
      <c r="B186" s="16" t="n">
        <v>181</v>
      </c>
      <c r="C186" s="16" t="inlineStr">
        <is>
          <t>油气生产设备物模型与测点标准化管理服务</t>
        </is>
      </c>
      <c r="D186" s="16" t="inlineStr">
        <is>
          <t>数据质量校验</t>
        </is>
      </c>
      <c r="E186" s="16" t="inlineStr">
        <is>
          <t>校验规则</t>
        </is>
      </c>
      <c r="F186" s="16" t="inlineStr">
        <is>
          <t>规则版本</t>
        </is>
      </c>
      <c r="G186" s="17" t="inlineStr">
        <is>
          <t xml:space="preserve"> 提供校验规则版本变更历史追溯技术服务</t>
        </is>
      </c>
      <c r="H186" s="18" t="inlineStr">
        <is>
          <t>EI</t>
        </is>
      </c>
      <c r="I186" s="18">
        <f>IF(H186="ILF",10,IF(H186="EIF",7,IF(H186="EI",4,IF(H186="EO",5,IF(H186="EQ",4,"")))))</f>
        <v/>
      </c>
      <c r="J186" s="18" t="inlineStr">
        <is>
          <t>中</t>
        </is>
      </c>
      <c r="K186" s="18">
        <f>IF(J186="高",0.33,IF(J186="中",0.67,IF(J186="低",1,"")))</f>
        <v/>
      </c>
      <c r="L186" s="18" t="inlineStr">
        <is>
          <t>新增</t>
        </is>
      </c>
      <c r="M186" s="18">
        <f>IF(L186="新增",1,IF(L186="修改",0.8,IF(L186="删除",0.2,"")))</f>
        <v/>
      </c>
      <c r="N186" s="18">
        <f>I186*K186*M186</f>
        <v/>
      </c>
    </row>
    <row r="187" ht="19" customHeight="1" s="1">
      <c r="B187" s="16" t="n">
        <v>182</v>
      </c>
      <c r="C187" s="16" t="inlineStr">
        <is>
          <t>油气生产设备物模型与测点标准化管理服务</t>
        </is>
      </c>
      <c r="D187" s="16" t="inlineStr">
        <is>
          <t>数据质量校验</t>
        </is>
      </c>
      <c r="E187" s="16" t="inlineStr">
        <is>
          <t>校验规则</t>
        </is>
      </c>
      <c r="F187" s="16" t="inlineStr">
        <is>
          <t>规则批量配置</t>
        </is>
      </c>
      <c r="G187" s="17" t="inlineStr">
        <is>
          <t xml:space="preserve"> 提供校验规则按设备类型批量配置技术服务</t>
        </is>
      </c>
      <c r="H187" s="18" t="inlineStr">
        <is>
          <t>EI</t>
        </is>
      </c>
      <c r="I187" s="18">
        <f>IF(H187="ILF",10,IF(H187="EIF",7,IF(H187="EI",4,IF(H187="EO",5,IF(H187="EQ",4,"")))))</f>
        <v/>
      </c>
      <c r="J187" s="18" t="inlineStr">
        <is>
          <t>中</t>
        </is>
      </c>
      <c r="K187" s="18">
        <f>IF(J187="高",0.33,IF(J187="中",0.67,IF(J187="低",1,"")))</f>
        <v/>
      </c>
      <c r="L187" s="18" t="inlineStr">
        <is>
          <t>新增</t>
        </is>
      </c>
      <c r="M187" s="18">
        <f>IF(L187="新增",1,IF(L187="修改",0.8,IF(L187="删除",0.2,"")))</f>
        <v/>
      </c>
      <c r="N187" s="18">
        <f>I187*K187*M187</f>
        <v/>
      </c>
    </row>
    <row r="188" ht="19" customHeight="1" s="1">
      <c r="B188" s="16" t="n">
        <v>183</v>
      </c>
      <c r="C188" s="16" t="inlineStr">
        <is>
          <t>油气生产设备物模型与测点标准化管理服务</t>
        </is>
      </c>
      <c r="D188" s="16" t="inlineStr">
        <is>
          <t>数据质量校验</t>
        </is>
      </c>
      <c r="E188" s="16" t="inlineStr">
        <is>
          <t>异常隔离</t>
        </is>
      </c>
      <c r="F188" s="16" t="inlineStr">
        <is>
          <t>quality打标</t>
        </is>
      </c>
      <c r="G188" s="17" t="inlineStr">
        <is>
          <t xml:space="preserve"> 提供校验结果自动标注quality 0/64/128的技术服务</t>
        </is>
      </c>
      <c r="H188" s="18" t="inlineStr">
        <is>
          <t>EI</t>
        </is>
      </c>
      <c r="I188" s="18">
        <f>IF(H188="ILF",10,IF(H188="EIF",7,IF(H188="EI",4,IF(H188="EO",5,IF(H188="EQ",4,"")))))</f>
        <v/>
      </c>
      <c r="J188" s="18" t="inlineStr">
        <is>
          <t>中</t>
        </is>
      </c>
      <c r="K188" s="18">
        <f>IF(J188="高",0.33,IF(J188="中",0.67,IF(J188="低",1,"")))</f>
        <v/>
      </c>
      <c r="L188" s="18" t="inlineStr">
        <is>
          <t>新增</t>
        </is>
      </c>
      <c r="M188" s="18">
        <f>IF(L188="新增",1,IF(L188="修改",0.8,IF(L188="删除",0.2,"")))</f>
        <v/>
      </c>
      <c r="N188" s="18">
        <f>I188*K188*M188</f>
        <v/>
      </c>
    </row>
    <row r="189" ht="19" customHeight="1" s="1">
      <c r="B189" s="16" t="n">
        <v>184</v>
      </c>
      <c r="C189" s="16" t="inlineStr">
        <is>
          <t>油气生产设备物模型与测点标准化管理服务</t>
        </is>
      </c>
      <c r="D189" s="16" t="inlineStr">
        <is>
          <t>数据质量校验</t>
        </is>
      </c>
      <c r="E189" s="16" t="inlineStr">
        <is>
          <t>异常隔离</t>
        </is>
      </c>
      <c r="F189" s="16" t="inlineStr">
        <is>
          <t>数据隔离</t>
        </is>
      </c>
      <c r="G189" s="17" t="inlineStr">
        <is>
          <t xml:space="preserve"> 提供异常数据进入隔离区不参与计算和判定的技术服务</t>
        </is>
      </c>
      <c r="H189" s="18" t="inlineStr">
        <is>
          <t>EI</t>
        </is>
      </c>
      <c r="I189" s="18">
        <f>IF(H189="ILF",10,IF(H189="EIF",7,IF(H189="EI",4,IF(H189="EO",5,IF(H189="EQ",4,"")))))</f>
        <v/>
      </c>
      <c r="J189" s="18" t="inlineStr">
        <is>
          <t>中</t>
        </is>
      </c>
      <c r="K189" s="18">
        <f>IF(J189="高",0.33,IF(J189="中",0.67,IF(J189="低",1,"")))</f>
        <v/>
      </c>
      <c r="L189" s="18" t="inlineStr">
        <is>
          <t>新增</t>
        </is>
      </c>
      <c r="M189" s="18">
        <f>IF(L189="新增",1,IF(L189="修改",0.8,IF(L189="删除",0.2,"")))</f>
        <v/>
      </c>
      <c r="N189" s="18">
        <f>I189*K189*M189</f>
        <v/>
      </c>
    </row>
    <row r="190" ht="19" customHeight="1" s="1">
      <c r="B190" s="16" t="n">
        <v>185</v>
      </c>
      <c r="C190" s="16" t="inlineStr">
        <is>
          <t>油气生产设备物模型与测点标准化管理服务</t>
        </is>
      </c>
      <c r="D190" s="16" t="inlineStr">
        <is>
          <t>数据质量校验</t>
        </is>
      </c>
      <c r="E190" s="16" t="inlineStr">
        <is>
          <t>异常隔离</t>
        </is>
      </c>
      <c r="F190" s="16" t="inlineStr">
        <is>
          <t>异常统计</t>
        </is>
      </c>
      <c r="G190" s="17" t="inlineStr">
        <is>
          <t xml:space="preserve"> 提供异常数据类型和来源的统计分析技术服务</t>
        </is>
      </c>
      <c r="H190" s="18" t="inlineStr">
        <is>
          <t>EI</t>
        </is>
      </c>
      <c r="I190" s="18">
        <f>IF(H190="ILF",10,IF(H190="EIF",7,IF(H190="EI",4,IF(H190="EO",5,IF(H190="EQ",4,"")))))</f>
        <v/>
      </c>
      <c r="J190" s="18" t="inlineStr">
        <is>
          <t>中</t>
        </is>
      </c>
      <c r="K190" s="18">
        <f>IF(J190="高",0.33,IF(J190="中",0.67,IF(J190="低",1,"")))</f>
        <v/>
      </c>
      <c r="L190" s="18" t="inlineStr">
        <is>
          <t>新增</t>
        </is>
      </c>
      <c r="M190" s="18">
        <f>IF(L190="新增",1,IF(L190="修改",0.8,IF(L190="删除",0.2,"")))</f>
        <v/>
      </c>
      <c r="N190" s="18">
        <f>I190*K190*M190</f>
        <v/>
      </c>
    </row>
    <row r="191" ht="19" customHeight="1" s="1">
      <c r="B191" s="16" t="n">
        <v>186</v>
      </c>
      <c r="C191" s="16" t="inlineStr">
        <is>
          <t>油气生产设备物模型与测点标准化管理服务</t>
        </is>
      </c>
      <c r="D191" s="16" t="inlineStr">
        <is>
          <t>数据质量校验</t>
        </is>
      </c>
      <c r="E191" s="16" t="inlineStr">
        <is>
          <t>异常隔离</t>
        </is>
      </c>
      <c r="F191" s="16" t="inlineStr">
        <is>
          <t>异常告警</t>
        </is>
      </c>
      <c r="G191" s="17" t="inlineStr">
        <is>
          <t xml:space="preserve"> 提供异常数据比例超阈值触发告警的技术服务</t>
        </is>
      </c>
      <c r="H191" s="18" t="inlineStr">
        <is>
          <t>EI</t>
        </is>
      </c>
      <c r="I191" s="18">
        <f>IF(H191="ILF",10,IF(H191="EIF",7,IF(H191="EI",4,IF(H191="EO",5,IF(H191="EQ",4,"")))))</f>
        <v/>
      </c>
      <c r="J191" s="18" t="inlineStr">
        <is>
          <t>中</t>
        </is>
      </c>
      <c r="K191" s="18">
        <f>IF(J191="高",0.33,IF(J191="中",0.67,IF(J191="低",1,"")))</f>
        <v/>
      </c>
      <c r="L191" s="18" t="inlineStr">
        <is>
          <t>新增</t>
        </is>
      </c>
      <c r="M191" s="18">
        <f>IF(L191="新增",1,IF(L191="修改",0.8,IF(L191="删除",0.2,"")))</f>
        <v/>
      </c>
      <c r="N191" s="18">
        <f>I191*K191*M191</f>
        <v/>
      </c>
    </row>
    <row r="192" ht="19" customHeight="1" s="1">
      <c r="B192" s="16" t="n">
        <v>187</v>
      </c>
      <c r="C192" s="16" t="inlineStr">
        <is>
          <t>油气生产设备物模型与测点标准化管理服务</t>
        </is>
      </c>
      <c r="D192" s="16" t="inlineStr">
        <is>
          <t>设备物模型构建</t>
        </is>
      </c>
      <c r="E192" s="16" t="inlineStr">
        <is>
          <t>模型校验管理</t>
        </is>
      </c>
      <c r="F192" s="16" t="inlineStr">
        <is>
          <t>物模型一致性校验</t>
        </is>
      </c>
      <c r="G192" s="17" t="inlineStr">
        <is>
          <t xml:space="preserve"> 提供物模型与实际设备参数一致性校验服务</t>
        </is>
      </c>
      <c r="H192" s="18" t="inlineStr">
        <is>
          <t>EI</t>
        </is>
      </c>
      <c r="I192" s="18">
        <f>IF(H192="ILF",10,IF(H192="EIF",7,IF(H192="EI",4,IF(H192="EO",5,IF(H192="EQ",4,"")))))</f>
        <v/>
      </c>
      <c r="J192" s="18" t="inlineStr">
        <is>
          <t>高</t>
        </is>
      </c>
      <c r="K192" s="18">
        <f>IF(J192="高",0.33,IF(J192="中",0.67,IF(J192="低",1,"")))</f>
        <v/>
      </c>
      <c r="L192" s="18" t="inlineStr">
        <is>
          <t>新增</t>
        </is>
      </c>
      <c r="M192" s="18">
        <f>IF(L192="新增",1,IF(L192="修改",0.8,IF(L192="删除",0.2,"")))</f>
        <v/>
      </c>
      <c r="N192" s="18">
        <f>I192*K192*M192</f>
        <v/>
      </c>
    </row>
    <row r="193" ht="19" customHeight="1" s="1">
      <c r="B193" s="16" t="n">
        <v>188</v>
      </c>
      <c r="C193" s="16" t="inlineStr">
        <is>
          <t>油气生产设备物模型与测点标准化管理服务</t>
        </is>
      </c>
      <c r="D193" s="16" t="inlineStr">
        <is>
          <t>设备物模型构建</t>
        </is>
      </c>
      <c r="E193" s="16" t="inlineStr">
        <is>
          <t>模型校验管理</t>
        </is>
      </c>
      <c r="F193" s="16" t="inlineStr">
        <is>
          <t>物模型完整性校验</t>
        </is>
      </c>
      <c r="G193" s="17" t="inlineStr">
        <is>
          <t xml:space="preserve"> 提供物模型参数完整性校验服务</t>
        </is>
      </c>
      <c r="H193" s="18" t="inlineStr">
        <is>
          <t>EI</t>
        </is>
      </c>
      <c r="I193" s="18">
        <f>IF(H193="ILF",10,IF(H193="EIF",7,IF(H193="EI",4,IF(H193="EO",5,IF(H193="EQ",4,"")))))</f>
        <v/>
      </c>
      <c r="J193" s="18" t="inlineStr">
        <is>
          <t>高</t>
        </is>
      </c>
      <c r="K193" s="18">
        <f>IF(J193="高",0.33,IF(J193="中",0.67,IF(J193="低",1,"")))</f>
        <v/>
      </c>
      <c r="L193" s="18" t="inlineStr">
        <is>
          <t>新增</t>
        </is>
      </c>
      <c r="M193" s="18">
        <f>IF(L193="新增",1,IF(L193="修改",0.8,IF(L193="删除",0.2,"")))</f>
        <v/>
      </c>
      <c r="N193" s="18">
        <f>I193*K193*M193</f>
        <v/>
      </c>
    </row>
    <row r="194" ht="19" customHeight="1" s="1">
      <c r="B194" s="16" t="n">
        <v>189</v>
      </c>
      <c r="C194" s="16" t="inlineStr">
        <is>
          <t>油气生产设备物模型与测点标准化管理服务</t>
        </is>
      </c>
      <c r="D194" s="16" t="inlineStr">
        <is>
          <t>参数阈值管理</t>
        </is>
      </c>
      <c r="E194" s="16" t="inlineStr">
        <is>
          <t>告警策略管理</t>
        </is>
      </c>
      <c r="F194" s="16" t="inlineStr">
        <is>
          <t>告警降噪策略配置</t>
        </is>
      </c>
      <c r="G194" s="17" t="inlineStr">
        <is>
          <t xml:space="preserve"> 提供告警降噪策略参数配置服务</t>
        </is>
      </c>
      <c r="H194" s="18" t="inlineStr">
        <is>
          <t>EI</t>
        </is>
      </c>
      <c r="I194" s="18">
        <f>IF(H194="ILF",10,IF(H194="EIF",7,IF(H194="EI",4,IF(H194="EO",5,IF(H194="EQ",4,"")))))</f>
        <v/>
      </c>
      <c r="J194" s="18" t="inlineStr">
        <is>
          <t>高</t>
        </is>
      </c>
      <c r="K194" s="18">
        <f>IF(J194="高",0.33,IF(J194="中",0.67,IF(J194="低",1,"")))</f>
        <v/>
      </c>
      <c r="L194" s="18" t="inlineStr">
        <is>
          <t>新增</t>
        </is>
      </c>
      <c r="M194" s="18">
        <f>IF(L194="新增",1,IF(L194="修改",0.8,IF(L194="删除",0.2,"")))</f>
        <v/>
      </c>
      <c r="N194" s="18">
        <f>I194*K194*M194</f>
        <v/>
      </c>
    </row>
    <row r="195" ht="19" customHeight="1" s="1">
      <c r="B195" s="16" t="n">
        <v>190</v>
      </c>
      <c r="C195" s="16" t="inlineStr">
        <is>
          <t>油气生产设备物模型与测点标准化管理服务</t>
        </is>
      </c>
      <c r="D195" s="16" t="inlineStr">
        <is>
          <t>参数阈值管理</t>
        </is>
      </c>
      <c r="E195" s="16" t="inlineStr">
        <is>
          <t>告警策略管理</t>
        </is>
      </c>
      <c r="F195" s="16" t="inlineStr">
        <is>
          <t>告警聚合策略配置</t>
        </is>
      </c>
      <c r="G195" s="17" t="inlineStr">
        <is>
          <t xml:space="preserve"> 提供告警聚合策略参数配置服务</t>
        </is>
      </c>
      <c r="H195" s="18" t="inlineStr">
        <is>
          <t>EI</t>
        </is>
      </c>
      <c r="I195" s="18">
        <f>IF(H195="ILF",10,IF(H195="EIF",7,IF(H195="EI",4,IF(H195="EO",5,IF(H195="EQ",4,"")))))</f>
        <v/>
      </c>
      <c r="J195" s="18" t="inlineStr">
        <is>
          <t>高</t>
        </is>
      </c>
      <c r="K195" s="18">
        <f>IF(J195="高",0.33,IF(J195="中",0.67,IF(J195="低",1,"")))</f>
        <v/>
      </c>
      <c r="L195" s="18" t="inlineStr">
        <is>
          <t>新增</t>
        </is>
      </c>
      <c r="M195" s="18">
        <f>IF(L195="新增",1,IF(L195="修改",0.8,IF(L195="删除",0.2,"")))</f>
        <v/>
      </c>
      <c r="N195" s="18">
        <f>I195*K195*M195</f>
        <v/>
      </c>
    </row>
    <row r="196" ht="19" customHeight="1" s="1">
      <c r="B196" s="16" t="n">
        <v>191</v>
      </c>
      <c r="C196" s="16" t="inlineStr">
        <is>
          <t>油气生产设备物模型与测点标准化管理服务</t>
        </is>
      </c>
      <c r="D196" s="16" t="inlineStr">
        <is>
          <t>参数阈值管理</t>
        </is>
      </c>
      <c r="E196" s="16" t="inlineStr">
        <is>
          <t>告警策略管理</t>
        </is>
      </c>
      <c r="F196" s="16" t="inlineStr">
        <is>
          <t>告警抑制策略配置</t>
        </is>
      </c>
      <c r="G196" s="17" t="inlineStr">
        <is>
          <t xml:space="preserve"> 提供告警抑制策略参数配置服务</t>
        </is>
      </c>
      <c r="H196" s="18" t="inlineStr">
        <is>
          <t>EO</t>
        </is>
      </c>
      <c r="I196" s="18">
        <f>IF(H196="ILF",10,IF(H196="EIF",7,IF(H196="EI",4,IF(H196="EO",5,IF(H196="EQ",4,"")))))</f>
        <v/>
      </c>
      <c r="J196" s="18" t="inlineStr">
        <is>
          <t>低</t>
        </is>
      </c>
      <c r="K196" s="18">
        <f>IF(J196="高",0.33,IF(J196="中",0.67,IF(J196="低",1,"")))</f>
        <v/>
      </c>
      <c r="L196" s="18" t="inlineStr">
        <is>
          <t>新增</t>
        </is>
      </c>
      <c r="M196" s="18">
        <f>IF(L196="新增",1,IF(L196="修改",0.8,IF(L196="删除",0.2,"")))</f>
        <v/>
      </c>
      <c r="N196" s="18">
        <f>I196*K196*M196</f>
        <v/>
      </c>
    </row>
    <row r="197" ht="19" customHeight="1" s="1">
      <c r="B197" s="16" t="n">
        <v>192</v>
      </c>
      <c r="C197" s="16" t="inlineStr">
        <is>
          <t>油气生产设备物模型与测点标准化管理服务</t>
        </is>
      </c>
      <c r="D197" s="16" t="inlineStr">
        <is>
          <t>参数阈值管理</t>
        </is>
      </c>
      <c r="E197" s="16" t="inlineStr">
        <is>
          <t>告警策略管理</t>
        </is>
      </c>
      <c r="F197" s="16" t="inlineStr">
        <is>
          <t>设备影子同步策略</t>
        </is>
      </c>
      <c r="G197" s="17" t="inlineStr">
        <is>
          <t xml:space="preserve"> 提供设备影子同步策略配置服务</t>
        </is>
      </c>
      <c r="H197" s="18" t="inlineStr">
        <is>
          <t>EO</t>
        </is>
      </c>
      <c r="I197" s="18">
        <f>IF(H197="ILF",10,IF(H197="EIF",7,IF(H197="EI",4,IF(H197="EO",5,IF(H197="EQ",4,"")))))</f>
        <v/>
      </c>
      <c r="J197" s="18" t="inlineStr">
        <is>
          <t>低</t>
        </is>
      </c>
      <c r="K197" s="18">
        <f>IF(J197="高",0.33,IF(J197="中",0.67,IF(J197="低",1,"")))</f>
        <v/>
      </c>
      <c r="L197" s="18" t="inlineStr">
        <is>
          <t>新增</t>
        </is>
      </c>
      <c r="M197" s="18">
        <f>IF(L197="新增",1,IF(L197="修改",0.8,IF(L197="删除",0.2,"")))</f>
        <v/>
      </c>
      <c r="N197" s="18">
        <f>I197*K197*M197</f>
        <v/>
      </c>
    </row>
    <row r="198" ht="19" customHeight="1" s="1">
      <c r="B198" s="16" t="n">
        <v>193</v>
      </c>
      <c r="C198" s="16" t="inlineStr">
        <is>
          <t>油气生产设备物模型与测点标准化管理服务</t>
        </is>
      </c>
      <c r="D198" s="16" t="inlineStr">
        <is>
          <t>数据质量校验</t>
        </is>
      </c>
      <c r="E198" s="16" t="inlineStr">
        <is>
          <t>质量监控服务</t>
        </is>
      </c>
      <c r="F198" s="16" t="inlineStr">
        <is>
          <t>质量趋势分析报表</t>
        </is>
      </c>
      <c r="G198" s="17" t="inlineStr">
        <is>
          <t xml:space="preserve"> 提供数据质量趋势分析报表服务</t>
        </is>
      </c>
      <c r="H198" s="18" t="inlineStr">
        <is>
          <t>EO</t>
        </is>
      </c>
      <c r="I198" s="18">
        <f>IF(H198="ILF",10,IF(H198="EIF",7,IF(H198="EI",4,IF(H198="EO",5,IF(H198="EQ",4,"")))))</f>
        <v/>
      </c>
      <c r="J198" s="18" t="inlineStr">
        <is>
          <t>低</t>
        </is>
      </c>
      <c r="K198" s="18">
        <f>IF(J198="高",0.33,IF(J198="中",0.67,IF(J198="低",1,"")))</f>
        <v/>
      </c>
      <c r="L198" s="18" t="inlineStr">
        <is>
          <t>新增</t>
        </is>
      </c>
      <c r="M198" s="18">
        <f>IF(L198="新增",1,IF(L198="修改",0.8,IF(L198="删除",0.2,"")))</f>
        <v/>
      </c>
      <c r="N198" s="18">
        <f>I198*K198*M198</f>
        <v/>
      </c>
    </row>
    <row r="199" ht="19" customHeight="1" s="1">
      <c r="B199" s="16" t="n">
        <v>194</v>
      </c>
      <c r="C199" s="16" t="inlineStr">
        <is>
          <t>油气生产设备物模型与测点标准化管理服务</t>
        </is>
      </c>
      <c r="D199" s="16" t="inlineStr">
        <is>
          <t>数据质量校验</t>
        </is>
      </c>
      <c r="E199" s="16" t="inlineStr">
        <is>
          <t>质量监控服务</t>
        </is>
      </c>
      <c r="F199" s="16" t="inlineStr">
        <is>
          <t>质量异常归集</t>
        </is>
      </c>
      <c r="G199" s="17" t="inlineStr">
        <is>
          <t xml:space="preserve"> 提供数据质量异常归集服务</t>
        </is>
      </c>
      <c r="H199" s="18" t="inlineStr">
        <is>
          <t>EO</t>
        </is>
      </c>
      <c r="I199" s="18">
        <f>IF(H199="ILF",10,IF(H199="EIF",7,IF(H199="EI",4,IF(H199="EO",5,IF(H199="EQ",4,"")))))</f>
        <v/>
      </c>
      <c r="J199" s="18" t="inlineStr">
        <is>
          <t>中</t>
        </is>
      </c>
      <c r="K199" s="18">
        <f>IF(J199="高",0.33,IF(J199="中",0.67,IF(J199="低",1,"")))</f>
        <v/>
      </c>
      <c r="L199" s="18" t="inlineStr">
        <is>
          <t>新增</t>
        </is>
      </c>
      <c r="M199" s="18">
        <f>IF(L199="新增",1,IF(L199="修改",0.8,IF(L199="删除",0.2,"")))</f>
        <v/>
      </c>
      <c r="N199" s="18">
        <f>I199*K199*M199</f>
        <v/>
      </c>
    </row>
    <row r="200" ht="19" customHeight="1" s="1">
      <c r="B200" s="16" t="n">
        <v>195</v>
      </c>
      <c r="C200" s="16" t="inlineStr">
        <is>
          <t>油气生产设备物模型与测点标准化管理服务</t>
        </is>
      </c>
      <c r="D200" s="16" t="inlineStr">
        <is>
          <t>设备物模型构建</t>
        </is>
      </c>
      <c r="E200" s="16" t="inlineStr">
        <is>
          <t>物模型同步服务</t>
        </is>
      </c>
      <c r="F200" s="16" t="inlineStr">
        <is>
          <t>物模型增量同步配置</t>
        </is>
      </c>
      <c r="G200" s="17" t="inlineStr">
        <is>
          <t xml:space="preserve"> 提供物模型增量同步策略配置服务</t>
        </is>
      </c>
      <c r="H200" s="18" t="inlineStr">
        <is>
          <t>EO</t>
        </is>
      </c>
      <c r="I200" s="18">
        <f>IF(H200="ILF",10,IF(H200="EIF",7,IF(H200="EI",4,IF(H200="EO",5,IF(H200="EQ",4,"")))))</f>
        <v/>
      </c>
      <c r="J200" s="18" t="inlineStr">
        <is>
          <t>高</t>
        </is>
      </c>
      <c r="K200" s="18">
        <f>IF(J200="高",0.33,IF(J200="中",0.67,IF(J200="低",1,"")))</f>
        <v/>
      </c>
      <c r="L200" s="18" t="inlineStr">
        <is>
          <t>新增</t>
        </is>
      </c>
      <c r="M200" s="18">
        <f>IF(L200="新增",1,IF(L200="修改",0.8,IF(L200="删除",0.2,"")))</f>
        <v/>
      </c>
      <c r="N200" s="18">
        <f>I200*K200*M200</f>
        <v/>
      </c>
    </row>
    <row r="201" ht="19" customHeight="1" s="1">
      <c r="B201" s="16" t="n">
        <v>196</v>
      </c>
      <c r="C201" s="16" t="inlineStr">
        <is>
          <t>油气生产设备物模型与测点标准化管理服务</t>
        </is>
      </c>
      <c r="D201" s="16" t="inlineStr">
        <is>
          <t>参数阈值管理</t>
        </is>
      </c>
      <c r="E201" s="16" t="inlineStr">
        <is>
          <t>告警策略管理</t>
        </is>
      </c>
      <c r="F201" s="16" t="inlineStr">
        <is>
          <t>告警静默期配置</t>
        </is>
      </c>
      <c r="G201" s="17" t="inlineStr">
        <is>
          <t xml:space="preserve"> 提供告警静默期参数配置服务</t>
        </is>
      </c>
      <c r="H201" s="18" t="inlineStr">
        <is>
          <t>EO</t>
        </is>
      </c>
      <c r="I201" s="18">
        <f>IF(H201="ILF",10,IF(H201="EIF",7,IF(H201="EI",4,IF(H201="EO",5,IF(H201="EQ",4,"")))))</f>
        <v/>
      </c>
      <c r="J201" s="18" t="inlineStr">
        <is>
          <t>高</t>
        </is>
      </c>
      <c r="K201" s="18">
        <f>IF(J201="高",0.33,IF(J201="中",0.67,IF(J201="低",1,"")))</f>
        <v/>
      </c>
      <c r="L201" s="18" t="inlineStr">
        <is>
          <t>新增</t>
        </is>
      </c>
      <c r="M201" s="18">
        <f>IF(L201="新增",1,IF(L201="修改",0.8,IF(L201="删除",0.2,"")))</f>
        <v/>
      </c>
      <c r="N201" s="18">
        <f>I201*K201*M201</f>
        <v/>
      </c>
    </row>
    <row r="202" ht="19" customHeight="1" s="1">
      <c r="B202" s="16" t="n">
        <v>197</v>
      </c>
      <c r="C202" s="16" t="inlineStr">
        <is>
          <t>油气生产设备物模型与测点标准化管理服务</t>
        </is>
      </c>
      <c r="D202" s="16" t="inlineStr">
        <is>
          <t>参数阈值管理</t>
        </is>
      </c>
      <c r="E202" s="16" t="inlineStr">
        <is>
          <t>动态基线</t>
        </is>
      </c>
      <c r="F202" s="16" t="inlineStr">
        <is>
          <t>多参数联合漂移检测</t>
        </is>
      </c>
      <c r="G202" s="17" t="inlineStr">
        <is>
          <t xml:space="preserve"> 提供多参数联合漂移检测技术服务</t>
        </is>
      </c>
      <c r="H202" s="18" t="inlineStr">
        <is>
          <t>EO</t>
        </is>
      </c>
      <c r="I202" s="18">
        <f>IF(H202="ILF",10,IF(H202="EIF",7,IF(H202="EI",4,IF(H202="EO",5,IF(H202="EQ",4,"")))))</f>
        <v/>
      </c>
      <c r="J202" s="18" t="inlineStr">
        <is>
          <t>高</t>
        </is>
      </c>
      <c r="K202" s="18">
        <f>IF(J202="高",0.33,IF(J202="中",0.67,IF(J202="低",1,"")))</f>
        <v/>
      </c>
      <c r="L202" s="18" t="inlineStr">
        <is>
          <t>新增</t>
        </is>
      </c>
      <c r="M202" s="18">
        <f>IF(L202="新增",1,IF(L202="修改",0.8,IF(L202="删除",0.2,"")))</f>
        <v/>
      </c>
      <c r="N202" s="18">
        <f>I202*K202*M202</f>
        <v/>
      </c>
    </row>
    <row r="203" ht="19" customHeight="1" s="1">
      <c r="B203" s="16" t="n">
        <v>198</v>
      </c>
      <c r="C203" s="16" t="inlineStr">
        <is>
          <t>油气生产设备物模型与测点标准化管理服务</t>
        </is>
      </c>
      <c r="D203" s="16" t="inlineStr">
        <is>
          <t>设备物模型配置</t>
        </is>
      </c>
      <c r="E203" s="16" t="inlineStr">
        <is>
          <t>G1组物模型</t>
        </is>
      </c>
      <c r="F203" s="16" t="inlineStr">
        <is>
          <t>G1油压定义</t>
        </is>
      </c>
      <c r="G203" s="17" t="inlineStr">
        <is>
          <t xml:space="preserve"> 提供G1组油压参数属性定义技术服务</t>
        </is>
      </c>
      <c r="H203" s="18" t="inlineStr">
        <is>
          <t>EO</t>
        </is>
      </c>
      <c r="I203" s="18">
        <f>IF(H203="ILF",10,IF(H203="EIF",7,IF(H203="EI",4,IF(H203="EO",5,IF(H203="EQ",4,"")))))</f>
        <v/>
      </c>
      <c r="J203" s="18" t="inlineStr">
        <is>
          <t>高</t>
        </is>
      </c>
      <c r="K203" s="18">
        <f>IF(J203="高",0.33,IF(J203="中",0.67,IF(J203="低",1,"")))</f>
        <v/>
      </c>
      <c r="L203" s="18" t="inlineStr">
        <is>
          <t>新增</t>
        </is>
      </c>
      <c r="M203" s="18">
        <f>IF(L203="新增",1,IF(L203="修改",0.8,IF(L203="删除",0.2,"")))</f>
        <v/>
      </c>
      <c r="N203" s="18">
        <f>I203*K203*M203</f>
        <v/>
      </c>
    </row>
    <row r="204" ht="19" customHeight="1" s="1">
      <c r="B204" s="16" t="n">
        <v>199</v>
      </c>
      <c r="C204" s="16" t="inlineStr">
        <is>
          <t>油气生产设备物模型与测点标准化管理服务</t>
        </is>
      </c>
      <c r="D204" s="16" t="inlineStr">
        <is>
          <t>设备物模型配置</t>
        </is>
      </c>
      <c r="E204" s="16" t="inlineStr">
        <is>
          <t>G1组物模型</t>
        </is>
      </c>
      <c r="F204" s="16" t="inlineStr">
        <is>
          <t>G1套压定义</t>
        </is>
      </c>
      <c r="G204" s="17" t="inlineStr">
        <is>
          <t xml:space="preserve"> 提供G1组套压参数属性定义技术服务</t>
        </is>
      </c>
      <c r="H204" s="18" t="inlineStr">
        <is>
          <t>EQ</t>
        </is>
      </c>
      <c r="I204" s="18">
        <f>IF(H204="ILF",10,IF(H204="EIF",7,IF(H204="EI",4,IF(H204="EO",5,IF(H204="EQ",4,"")))))</f>
        <v/>
      </c>
      <c r="J204" s="18" t="inlineStr">
        <is>
          <t>低</t>
        </is>
      </c>
      <c r="K204" s="18">
        <f>IF(J204="高",0.33,IF(J204="中",0.67,IF(J204="低",1,"")))</f>
        <v/>
      </c>
      <c r="L204" s="18" t="inlineStr">
        <is>
          <t>新增</t>
        </is>
      </c>
      <c r="M204" s="18">
        <f>IF(L204="新增",1,IF(L204="修改",0.8,IF(L204="删除",0.2,"")))</f>
        <v/>
      </c>
      <c r="N204" s="18">
        <f>I204*K204*M204</f>
        <v/>
      </c>
    </row>
    <row r="205" ht="19" customHeight="1" s="1">
      <c r="B205" s="16" t="n">
        <v>200</v>
      </c>
      <c r="C205" s="16" t="inlineStr">
        <is>
          <t>油气生产设备物模型与测点标准化管理服务</t>
        </is>
      </c>
      <c r="D205" s="16" t="inlineStr">
        <is>
          <t>设备物模型配置</t>
        </is>
      </c>
      <c r="E205" s="16" t="inlineStr">
        <is>
          <t>G1组物模型</t>
        </is>
      </c>
      <c r="F205" s="16" t="inlineStr">
        <is>
          <t>G1回压定义</t>
        </is>
      </c>
      <c r="G205" s="17" t="inlineStr">
        <is>
          <t xml:space="preserve"> 提供G1组回压参数属性定义技术服务</t>
        </is>
      </c>
      <c r="H205" s="18" t="inlineStr">
        <is>
          <t>EQ</t>
        </is>
      </c>
      <c r="I205" s="18">
        <f>IF(H205="ILF",10,IF(H205="EIF",7,IF(H205="EI",4,IF(H205="EO",5,IF(H205="EQ",4,"")))))</f>
        <v/>
      </c>
      <c r="J205" s="18" t="inlineStr">
        <is>
          <t>低</t>
        </is>
      </c>
      <c r="K205" s="18">
        <f>IF(J205="高",0.33,IF(J205="中",0.67,IF(J205="低",1,"")))</f>
        <v/>
      </c>
      <c r="L205" s="18" t="inlineStr">
        <is>
          <t>新增</t>
        </is>
      </c>
      <c r="M205" s="18">
        <f>IF(L205="新增",1,IF(L205="修改",0.8,IF(L205="删除",0.2,"")))</f>
        <v/>
      </c>
      <c r="N205" s="18">
        <f>I205*K205*M205</f>
        <v/>
      </c>
    </row>
    <row r="206" ht="19" customHeight="1" s="1">
      <c r="B206" s="16" t="n">
        <v>201</v>
      </c>
      <c r="C206" s="16" t="inlineStr">
        <is>
          <t>油气生产设备物模型与测点标准化管理服务</t>
        </is>
      </c>
      <c r="D206" s="16" t="inlineStr">
        <is>
          <t>设备物模型配置</t>
        </is>
      </c>
      <c r="E206" s="16" t="inlineStr">
        <is>
          <t>G1组物模型</t>
        </is>
      </c>
      <c r="F206" s="16" t="inlineStr">
        <is>
          <t>G1温度定义</t>
        </is>
      </c>
      <c r="G206" s="17" t="inlineStr">
        <is>
          <t xml:space="preserve"> 提供G1组温度参数属性定义技术服务</t>
        </is>
      </c>
      <c r="H206" s="18" t="inlineStr">
        <is>
          <t>EQ</t>
        </is>
      </c>
      <c r="I206" s="18">
        <f>IF(H206="ILF",10,IF(H206="EIF",7,IF(H206="EI",4,IF(H206="EO",5,IF(H206="EQ",4,"")))))</f>
        <v/>
      </c>
      <c r="J206" s="18" t="inlineStr">
        <is>
          <t>低</t>
        </is>
      </c>
      <c r="K206" s="18">
        <f>IF(J206="高",0.33,IF(J206="中",0.67,IF(J206="低",1,"")))</f>
        <v/>
      </c>
      <c r="L206" s="18" t="inlineStr">
        <is>
          <t>新增</t>
        </is>
      </c>
      <c r="M206" s="18">
        <f>IF(L206="新增",1,IF(L206="修改",0.8,IF(L206="删除",0.2,"")))</f>
        <v/>
      </c>
      <c r="N206" s="18">
        <f>I206*K206*M206</f>
        <v/>
      </c>
    </row>
    <row r="207" ht="19" customHeight="1" s="1">
      <c r="B207" s="16" t="n">
        <v>202</v>
      </c>
      <c r="C207" s="16" t="inlineStr">
        <is>
          <t>油气生产设备物模型与测点标准化管理服务</t>
        </is>
      </c>
      <c r="D207" s="16" t="inlineStr">
        <is>
          <t>设备物模型配置</t>
        </is>
      </c>
      <c r="E207" s="16" t="inlineStr">
        <is>
          <t>G1组物模型</t>
        </is>
      </c>
      <c r="F207" s="16" t="inlineStr">
        <is>
          <t>G1载荷定义</t>
        </is>
      </c>
      <c r="G207" s="17" t="inlineStr">
        <is>
          <t xml:space="preserve"> 提供G1组载荷参数属性定义技术服务</t>
        </is>
      </c>
      <c r="H207" s="18" t="inlineStr">
        <is>
          <t>EQ</t>
        </is>
      </c>
      <c r="I207" s="18">
        <f>IF(H207="ILF",10,IF(H207="EIF",7,IF(H207="EI",4,IF(H207="EO",5,IF(H207="EQ",4,"")))))</f>
        <v/>
      </c>
      <c r="J207" s="18" t="inlineStr">
        <is>
          <t>低</t>
        </is>
      </c>
      <c r="K207" s="18">
        <f>IF(J207="高",0.33,IF(J207="中",0.67,IF(J207="低",1,"")))</f>
        <v/>
      </c>
      <c r="L207" s="18" t="inlineStr">
        <is>
          <t>新增</t>
        </is>
      </c>
      <c r="M207" s="18">
        <f>IF(L207="新增",1,IF(L207="修改",0.8,IF(L207="删除",0.2,"")))</f>
        <v/>
      </c>
      <c r="N207" s="18">
        <f>I207*K207*M207</f>
        <v/>
      </c>
    </row>
    <row r="208" ht="19" customHeight="1" s="1">
      <c r="B208" s="16" t="n">
        <v>203</v>
      </c>
      <c r="C208" s="16" t="inlineStr">
        <is>
          <t>油气生产设备物模型与测点标准化管理服务</t>
        </is>
      </c>
      <c r="D208" s="16" t="inlineStr">
        <is>
          <t>设备物模型配置</t>
        </is>
      </c>
      <c r="E208" s="16" t="inlineStr">
        <is>
          <t>G1组物模型</t>
        </is>
      </c>
      <c r="F208" s="16" t="inlineStr">
        <is>
          <t>G1位移定义</t>
        </is>
      </c>
      <c r="G208" s="17" t="inlineStr">
        <is>
          <t xml:space="preserve"> 提供G1组位移参数属性定义技术服务</t>
        </is>
      </c>
      <c r="H208" s="18" t="inlineStr">
        <is>
          <t>EQ</t>
        </is>
      </c>
      <c r="I208" s="18">
        <f>IF(H208="ILF",10,IF(H208="EIF",7,IF(H208="EI",4,IF(H208="EO",5,IF(H208="EQ",4,"")))))</f>
        <v/>
      </c>
      <c r="J208" s="18" t="inlineStr">
        <is>
          <t>低</t>
        </is>
      </c>
      <c r="K208" s="18">
        <f>IF(J208="高",0.33,IF(J208="中",0.67,IF(J208="低",1,"")))</f>
        <v/>
      </c>
      <c r="L208" s="18" t="inlineStr">
        <is>
          <t>新增</t>
        </is>
      </c>
      <c r="M208" s="18">
        <f>IF(L208="新增",1,IF(L208="修改",0.8,IF(L208="删除",0.2,"")))</f>
        <v/>
      </c>
      <c r="N208" s="18">
        <f>I208*K208*M208</f>
        <v/>
      </c>
    </row>
    <row r="209" ht="19" customHeight="1" s="1">
      <c r="B209" s="16" t="n">
        <v>204</v>
      </c>
      <c r="C209" s="16" t="inlineStr">
        <is>
          <t>油气生产设备物模型与测点标准化管理服务</t>
        </is>
      </c>
      <c r="D209" s="16" t="inlineStr">
        <is>
          <t>设备物模型配置</t>
        </is>
      </c>
      <c r="E209" s="16" t="inlineStr">
        <is>
          <t>G1组物模型</t>
        </is>
      </c>
      <c r="F209" s="16" t="inlineStr">
        <is>
          <t>G1寄存器映射</t>
        </is>
      </c>
      <c r="G209" s="17" t="inlineStr">
        <is>
          <t xml:space="preserve"> 提供G1组Modbus寄存器40300-40319地址映射技术服务</t>
        </is>
      </c>
      <c r="H209" s="18" t="inlineStr">
        <is>
          <t>EQ</t>
        </is>
      </c>
      <c r="I209" s="18">
        <f>IF(H209="ILF",10,IF(H209="EIF",7,IF(H209="EI",4,IF(H209="EO",5,IF(H209="EQ",4,"")))))</f>
        <v/>
      </c>
      <c r="J209" s="18" t="inlineStr">
        <is>
          <t>低</t>
        </is>
      </c>
      <c r="K209" s="18">
        <f>IF(J209="高",0.33,IF(J209="中",0.67,IF(J209="低",1,"")))</f>
        <v/>
      </c>
      <c r="L209" s="18" t="inlineStr">
        <is>
          <t>新增</t>
        </is>
      </c>
      <c r="M209" s="18">
        <f>IF(L209="新增",1,IF(L209="修改",0.8,IF(L209="删除",0.2,"")))</f>
        <v/>
      </c>
      <c r="N209" s="18">
        <f>I209*K209*M209</f>
        <v/>
      </c>
    </row>
    <row r="210" ht="19" customHeight="1" s="1">
      <c r="B210" s="16" t="n">
        <v>205</v>
      </c>
      <c r="C210" s="16" t="inlineStr">
        <is>
          <t>油气生产设备物模型与测点标准化管理服务</t>
        </is>
      </c>
      <c r="D210" s="16" t="inlineStr">
        <is>
          <t>设备物模型配置</t>
        </is>
      </c>
      <c r="E210" s="16" t="inlineStr">
        <is>
          <t>G1组物模型</t>
        </is>
      </c>
      <c r="F210" s="16" t="inlineStr">
        <is>
          <t>G1数据类型</t>
        </is>
      </c>
      <c r="G210" s="17" t="inlineStr">
        <is>
          <t xml:space="preserve"> 提供G1组各参数FLOAT/INT数据类型定义技术服务</t>
        </is>
      </c>
      <c r="H210" s="18" t="inlineStr">
        <is>
          <t>EQ</t>
        </is>
      </c>
      <c r="I210" s="18">
        <f>IF(H210="ILF",10,IF(H210="EIF",7,IF(H210="EI",4,IF(H210="EO",5,IF(H210="EQ",4,"")))))</f>
        <v/>
      </c>
      <c r="J210" s="18" t="inlineStr">
        <is>
          <t>低</t>
        </is>
      </c>
      <c r="K210" s="18">
        <f>IF(J210="高",0.33,IF(J210="中",0.67,IF(J210="低",1,"")))</f>
        <v/>
      </c>
      <c r="L210" s="18" t="inlineStr">
        <is>
          <t>新增</t>
        </is>
      </c>
      <c r="M210" s="18">
        <f>IF(L210="新增",1,IF(L210="修改",0.8,IF(L210="删除",0.2,"")))</f>
        <v/>
      </c>
      <c r="N210" s="18">
        <f>I210*K210*M210</f>
        <v/>
      </c>
    </row>
    <row r="211" ht="19" customHeight="1" s="1">
      <c r="B211" s="16" t="n">
        <v>206</v>
      </c>
      <c r="C211" s="16" t="inlineStr">
        <is>
          <t>油气生产设备物模型与测点标准化管理服务</t>
        </is>
      </c>
      <c r="D211" s="16" t="inlineStr">
        <is>
          <t>设备物模型配置</t>
        </is>
      </c>
      <c r="E211" s="16" t="inlineStr">
        <is>
          <t>G1组物模型</t>
        </is>
      </c>
      <c r="F211" s="16" t="inlineStr">
        <is>
          <t>G1单位统一</t>
        </is>
      </c>
      <c r="G211" s="17" t="inlineStr">
        <is>
          <t xml:space="preserve"> 提供G1组各参数MPa/℃/kN/m等单位统一技术服务</t>
        </is>
      </c>
      <c r="H211" s="18" t="inlineStr">
        <is>
          <t>EQ</t>
        </is>
      </c>
      <c r="I211" s="18">
        <f>IF(H211="ILF",10,IF(H211="EIF",7,IF(H211="EI",4,IF(H211="EO",5,IF(H211="EQ",4,"")))))</f>
        <v/>
      </c>
      <c r="J211" s="18" t="inlineStr">
        <is>
          <t>低</t>
        </is>
      </c>
      <c r="K211" s="18">
        <f>IF(J211="高",0.33,IF(J211="中",0.67,IF(J211="低",1,"")))</f>
        <v/>
      </c>
      <c r="L211" s="18" t="inlineStr">
        <is>
          <t>新增</t>
        </is>
      </c>
      <c r="M211" s="18">
        <f>IF(L211="新增",1,IF(L211="修改",0.8,IF(L211="删除",0.2,"")))</f>
        <v/>
      </c>
      <c r="N211" s="18">
        <f>I211*K211*M211</f>
        <v/>
      </c>
    </row>
    <row r="212" ht="19" customHeight="1" s="1">
      <c r="B212" s="16" t="n">
        <v>207</v>
      </c>
      <c r="C212" s="16" t="inlineStr">
        <is>
          <t>油气生产设备物模型与测点标准化管理服务</t>
        </is>
      </c>
      <c r="D212" s="16" t="inlineStr">
        <is>
          <t>设备物模型配置</t>
        </is>
      </c>
      <c r="E212" s="16" t="inlineStr">
        <is>
          <t>G1组物模型</t>
        </is>
      </c>
      <c r="F212" s="16" t="inlineStr">
        <is>
          <t>G1量程定义</t>
        </is>
      </c>
      <c r="G212" s="17" t="inlineStr">
        <is>
          <t xml:space="preserve"> 提供G1组各参数量程min/max范围定义技术服务</t>
        </is>
      </c>
      <c r="H212" s="18" t="inlineStr">
        <is>
          <t>EQ</t>
        </is>
      </c>
      <c r="I212" s="18">
        <f>IF(H212="ILF",10,IF(H212="EIF",7,IF(H212="EI",4,IF(H212="EO",5,IF(H212="EQ",4,"")))))</f>
        <v/>
      </c>
      <c r="J212" s="18" t="inlineStr">
        <is>
          <t>低</t>
        </is>
      </c>
      <c r="K212" s="18">
        <f>IF(J212="高",0.33,IF(J212="中",0.67,IF(J212="低",1,"")))</f>
        <v/>
      </c>
      <c r="L212" s="18" t="inlineStr">
        <is>
          <t>新增</t>
        </is>
      </c>
      <c r="M212" s="18">
        <f>IF(L212="新增",1,IF(L212="修改",0.8,IF(L212="删除",0.2,"")))</f>
        <v/>
      </c>
      <c r="N212" s="18">
        <f>I212*K212*M212</f>
        <v/>
      </c>
    </row>
    <row r="213" ht="19" customHeight="1" s="1">
      <c r="B213" s="16" t="n">
        <v>208</v>
      </c>
      <c r="C213" s="16" t="inlineStr">
        <is>
          <t>油气生产设备物模型与测点标准化管理服务</t>
        </is>
      </c>
      <c r="D213" s="16" t="inlineStr">
        <is>
          <t>设备物模型配置</t>
        </is>
      </c>
      <c r="E213" s="16" t="inlineStr">
        <is>
          <t>G1组物模型</t>
        </is>
      </c>
      <c r="F213" s="16" t="inlineStr">
        <is>
          <t>G1缩放系数</t>
        </is>
      </c>
      <c r="G213" s="17" t="inlineStr">
        <is>
          <t xml:space="preserve"> 提供G1组各参数工程值转换缩放系数配置技术服务</t>
        </is>
      </c>
      <c r="H213" s="18" t="inlineStr">
        <is>
          <t>EQ</t>
        </is>
      </c>
      <c r="I213" s="18">
        <f>IF(H213="ILF",10,IF(H213="EIF",7,IF(H213="EI",4,IF(H213="EO",5,IF(H213="EQ",4,"")))))</f>
        <v/>
      </c>
      <c r="J213" s="18" t="inlineStr">
        <is>
          <t>低</t>
        </is>
      </c>
      <c r="K213" s="18">
        <f>IF(J213="高",0.33,IF(J213="中",0.67,IF(J213="低",1,"")))</f>
        <v/>
      </c>
      <c r="L213" s="18" t="inlineStr">
        <is>
          <t>新增</t>
        </is>
      </c>
      <c r="M213" s="18">
        <f>IF(L213="新增",1,IF(L213="修改",0.8,IF(L213="删除",0.2,"")))</f>
        <v/>
      </c>
      <c r="N213" s="18">
        <f>I213*K213*M213</f>
        <v/>
      </c>
    </row>
    <row r="214" ht="19" customHeight="1" s="1">
      <c r="B214" s="16" t="n">
        <v>209</v>
      </c>
      <c r="C214" s="16" t="inlineStr">
        <is>
          <t>油气生产设备物模型与测点标准化管理服务</t>
        </is>
      </c>
      <c r="D214" s="16" t="inlineStr">
        <is>
          <t>设备物模型配置</t>
        </is>
      </c>
      <c r="E214" s="16" t="inlineStr">
        <is>
          <t>G2组电参</t>
        </is>
      </c>
      <c r="F214" s="16" t="inlineStr">
        <is>
          <t>G2电参物模型</t>
        </is>
      </c>
      <c r="G214" s="17" t="inlineStr">
        <is>
          <t xml:space="preserve"> 提供G2电参分组15个参数物模型配置技术服务</t>
        </is>
      </c>
      <c r="H214" s="18" t="inlineStr">
        <is>
          <t>EQ</t>
        </is>
      </c>
      <c r="I214" s="18">
        <f>IF(H214="ILF",10,IF(H214="EIF",7,IF(H214="EI",4,IF(H214="EO",5,IF(H214="EQ",4,"")))))</f>
        <v/>
      </c>
      <c r="J214" s="18" t="inlineStr">
        <is>
          <t>中</t>
        </is>
      </c>
      <c r="K214" s="18">
        <f>IF(J214="高",0.33,IF(J214="中",0.67,IF(J214="低",1,"")))</f>
        <v/>
      </c>
      <c r="L214" s="18" t="inlineStr">
        <is>
          <t>新增</t>
        </is>
      </c>
      <c r="M214" s="18">
        <f>IF(L214="新增",1,IF(L214="修改",0.8,IF(L214="删除",0.2,"")))</f>
        <v/>
      </c>
      <c r="N214" s="18">
        <f>I214*K214*M214</f>
        <v/>
      </c>
    </row>
    <row r="215" ht="19" customHeight="1" s="1">
      <c r="B215" s="16" t="n">
        <v>210</v>
      </c>
      <c r="C215" s="16" t="inlineStr">
        <is>
          <t>油气生产设备物模型与测点标准化管理服务</t>
        </is>
      </c>
      <c r="D215" s="16" t="inlineStr">
        <is>
          <t>设备物模型配置</t>
        </is>
      </c>
      <c r="E215" s="16" t="inlineStr">
        <is>
          <t>G2组电参</t>
        </is>
      </c>
      <c r="F215" s="16" t="inlineStr">
        <is>
          <t>G2A相电流</t>
        </is>
      </c>
      <c r="G215" s="17" t="inlineStr">
        <is>
          <t xml:space="preserve"> 提供G2组A相电流参数属性定义技术服务</t>
        </is>
      </c>
      <c r="H215" s="18" t="inlineStr">
        <is>
          <t>EQ</t>
        </is>
      </c>
      <c r="I215" s="18">
        <f>IF(H215="ILF",10,IF(H215="EIF",7,IF(H215="EI",4,IF(H215="EO",5,IF(H215="EQ",4,"")))))</f>
        <v/>
      </c>
      <c r="J215" s="18" t="inlineStr">
        <is>
          <t>中</t>
        </is>
      </c>
      <c r="K215" s="18">
        <f>IF(J215="高",0.33,IF(J215="中",0.67,IF(J215="低",1,"")))</f>
        <v/>
      </c>
      <c r="L215" s="18" t="inlineStr">
        <is>
          <t>新增</t>
        </is>
      </c>
      <c r="M215" s="18">
        <f>IF(L215="新增",1,IF(L215="修改",0.8,IF(L215="删除",0.2,"")))</f>
        <v/>
      </c>
      <c r="N215" s="18">
        <f>I215*K215*M215</f>
        <v/>
      </c>
    </row>
    <row r="216" ht="19" customHeight="1" s="1">
      <c r="B216" s="16" t="n">
        <v>211</v>
      </c>
      <c r="C216" s="16" t="inlineStr">
        <is>
          <t>油气生产设备物模型与测点标准化管理服务</t>
        </is>
      </c>
      <c r="D216" s="16" t="inlineStr">
        <is>
          <t>设备物模型配置</t>
        </is>
      </c>
      <c r="E216" s="16" t="inlineStr">
        <is>
          <t>G2组电参</t>
        </is>
      </c>
      <c r="F216" s="16" t="inlineStr">
        <is>
          <t>G2B相电流</t>
        </is>
      </c>
      <c r="G216" s="17" t="inlineStr">
        <is>
          <t xml:space="preserve"> 提供G2组B相电流参数属性定义技术服务</t>
        </is>
      </c>
      <c r="H216" s="18" t="inlineStr">
        <is>
          <t>EQ</t>
        </is>
      </c>
      <c r="I216" s="18">
        <f>IF(H216="ILF",10,IF(H216="EIF",7,IF(H216="EI",4,IF(H216="EO",5,IF(H216="EQ",4,"")))))</f>
        <v/>
      </c>
      <c r="J216" s="18" t="inlineStr">
        <is>
          <t>中</t>
        </is>
      </c>
      <c r="K216" s="18">
        <f>IF(J216="高",0.33,IF(J216="中",0.67,IF(J216="低",1,"")))</f>
        <v/>
      </c>
      <c r="L216" s="18" t="inlineStr">
        <is>
          <t>新增</t>
        </is>
      </c>
      <c r="M216" s="18">
        <f>IF(L216="新增",1,IF(L216="修改",0.8,IF(L216="删除",0.2,"")))</f>
        <v/>
      </c>
      <c r="N216" s="18">
        <f>I216*K216*M216</f>
        <v/>
      </c>
    </row>
    <row r="217" ht="19" customHeight="1" s="1">
      <c r="B217" s="16" t="n">
        <v>212</v>
      </c>
      <c r="C217" s="16" t="inlineStr">
        <is>
          <t>油气生产设备物模型与测点标准化管理服务</t>
        </is>
      </c>
      <c r="D217" s="16" t="inlineStr">
        <is>
          <t>设备物模型配置</t>
        </is>
      </c>
      <c r="E217" s="16" t="inlineStr">
        <is>
          <t>G2组电参</t>
        </is>
      </c>
      <c r="F217" s="16" t="inlineStr">
        <is>
          <t>G2C相电流</t>
        </is>
      </c>
      <c r="G217" s="17" t="inlineStr">
        <is>
          <t xml:space="preserve"> 提供G2组C相电流参数属性定义技术服务</t>
        </is>
      </c>
      <c r="H217" s="18" t="inlineStr">
        <is>
          <t>EQ</t>
        </is>
      </c>
      <c r="I217" s="18">
        <f>IF(H217="ILF",10,IF(H217="EIF",7,IF(H217="EI",4,IF(H217="EO",5,IF(H217="EQ",4,"")))))</f>
        <v/>
      </c>
      <c r="J217" s="18" t="inlineStr">
        <is>
          <t>中</t>
        </is>
      </c>
      <c r="K217" s="18">
        <f>IF(J217="高",0.33,IF(J217="中",0.67,IF(J217="低",1,"")))</f>
        <v/>
      </c>
      <c r="L217" s="18" t="inlineStr">
        <is>
          <t>新增</t>
        </is>
      </c>
      <c r="M217" s="18">
        <f>IF(L217="新增",1,IF(L217="修改",0.8,IF(L217="删除",0.2,"")))</f>
        <v/>
      </c>
      <c r="N217" s="18">
        <f>I217*K217*M217</f>
        <v/>
      </c>
    </row>
    <row r="218" ht="19" customHeight="1" s="1">
      <c r="B218" s="16" t="n">
        <v>213</v>
      </c>
      <c r="C218" s="16" t="inlineStr">
        <is>
          <t>油气生产设备物模型与测点标准化管理服务</t>
        </is>
      </c>
      <c r="D218" s="16" t="inlineStr">
        <is>
          <t>设备物模型配置</t>
        </is>
      </c>
      <c r="E218" s="16" t="inlineStr">
        <is>
          <t>G2组电参</t>
        </is>
      </c>
      <c r="F218" s="16" t="inlineStr">
        <is>
          <t>G2A相电压</t>
        </is>
      </c>
      <c r="G218" s="17" t="inlineStr">
        <is>
          <t xml:space="preserve"> 提供G2组A相电压参数属性定义技术服务</t>
        </is>
      </c>
      <c r="H218" s="18" t="inlineStr">
        <is>
          <t>EQ</t>
        </is>
      </c>
      <c r="I218" s="18">
        <f>IF(H218="ILF",10,IF(H218="EIF",7,IF(H218="EI",4,IF(H218="EO",5,IF(H218="EQ",4,"")))))</f>
        <v/>
      </c>
      <c r="J218" s="18" t="inlineStr">
        <is>
          <t>中</t>
        </is>
      </c>
      <c r="K218" s="18">
        <f>IF(J218="高",0.33,IF(J218="中",0.67,IF(J218="低",1,"")))</f>
        <v/>
      </c>
      <c r="L218" s="18" t="inlineStr">
        <is>
          <t>新增</t>
        </is>
      </c>
      <c r="M218" s="18">
        <f>IF(L218="新增",1,IF(L218="修改",0.8,IF(L218="删除",0.2,"")))</f>
        <v/>
      </c>
      <c r="N218" s="18">
        <f>I218*K218*M218</f>
        <v/>
      </c>
    </row>
    <row r="219" ht="19" customHeight="1" s="1">
      <c r="B219" s="16" t="n">
        <v>214</v>
      </c>
      <c r="C219" s="16" t="inlineStr">
        <is>
          <t>油气生产设备物模型与测点标准化管理服务</t>
        </is>
      </c>
      <c r="D219" s="16" t="inlineStr">
        <is>
          <t>设备物模型配置</t>
        </is>
      </c>
      <c r="E219" s="16" t="inlineStr">
        <is>
          <t>G2组电参</t>
        </is>
      </c>
      <c r="F219" s="16" t="inlineStr">
        <is>
          <t>G2B相电压</t>
        </is>
      </c>
      <c r="G219" s="17" t="inlineStr">
        <is>
          <t xml:space="preserve"> 提供G2组B相电压参数属性定义技术服务</t>
        </is>
      </c>
      <c r="H219" s="18" t="inlineStr">
        <is>
          <t>EQ</t>
        </is>
      </c>
      <c r="I219" s="18">
        <f>IF(H219="ILF",10,IF(H219="EIF",7,IF(H219="EI",4,IF(H219="EO",5,IF(H219="EQ",4,"")))))</f>
        <v/>
      </c>
      <c r="J219" s="18" t="inlineStr">
        <is>
          <t>中</t>
        </is>
      </c>
      <c r="K219" s="18">
        <f>IF(J219="高",0.33,IF(J219="中",0.67,IF(J219="低",1,"")))</f>
        <v/>
      </c>
      <c r="L219" s="18" t="inlineStr">
        <is>
          <t>新增</t>
        </is>
      </c>
      <c r="M219" s="18">
        <f>IF(L219="新增",1,IF(L219="修改",0.8,IF(L219="删除",0.2,"")))</f>
        <v/>
      </c>
      <c r="N219" s="18">
        <f>I219*K219*M219</f>
        <v/>
      </c>
    </row>
    <row r="220" ht="19" customHeight="1" s="1">
      <c r="B220" s="16" t="n">
        <v>215</v>
      </c>
      <c r="C220" s="16" t="inlineStr">
        <is>
          <t>油气生产设备物模型与测点标准化管理服务</t>
        </is>
      </c>
      <c r="D220" s="16" t="inlineStr">
        <is>
          <t>设备物模型配置</t>
        </is>
      </c>
      <c r="E220" s="16" t="inlineStr">
        <is>
          <t>G2组电参</t>
        </is>
      </c>
      <c r="F220" s="16" t="inlineStr">
        <is>
          <t>G2C相电压</t>
        </is>
      </c>
      <c r="G220" s="17" t="inlineStr">
        <is>
          <t xml:space="preserve"> 提供G2组C相电压参数属性定义技术服务</t>
        </is>
      </c>
      <c r="H220" s="18" t="inlineStr">
        <is>
          <t>EQ</t>
        </is>
      </c>
      <c r="I220" s="18">
        <f>IF(H220="ILF",10,IF(H220="EIF",7,IF(H220="EI",4,IF(H220="EO",5,IF(H220="EQ",4,"")))))</f>
        <v/>
      </c>
      <c r="J220" s="18" t="inlineStr">
        <is>
          <t>中</t>
        </is>
      </c>
      <c r="K220" s="18">
        <f>IF(J220="高",0.33,IF(J220="中",0.67,IF(J220="低",1,"")))</f>
        <v/>
      </c>
      <c r="L220" s="18" t="inlineStr">
        <is>
          <t>新增</t>
        </is>
      </c>
      <c r="M220" s="18">
        <f>IF(L220="新增",1,IF(L220="修改",0.8,IF(L220="删除",0.2,"")))</f>
        <v/>
      </c>
      <c r="N220" s="18">
        <f>I220*K220*M220</f>
        <v/>
      </c>
    </row>
    <row r="221" ht="19" customHeight="1" s="1">
      <c r="B221" s="16" t="n">
        <v>216</v>
      </c>
      <c r="C221" s="16" t="inlineStr">
        <is>
          <t>油气生产设备物模型与测点标准化管理服务</t>
        </is>
      </c>
      <c r="D221" s="16" t="inlineStr">
        <is>
          <t>设备物模型配置</t>
        </is>
      </c>
      <c r="E221" s="16" t="inlineStr">
        <is>
          <t>G2组电参</t>
        </is>
      </c>
      <c r="F221" s="16" t="inlineStr">
        <is>
          <t>G2有功功率</t>
        </is>
      </c>
      <c r="G221" s="17" t="inlineStr">
        <is>
          <t xml:space="preserve"> 提供G2组有功功率参数属性定义技术服务</t>
        </is>
      </c>
      <c r="H221" s="18" t="inlineStr">
        <is>
          <t>EQ</t>
        </is>
      </c>
      <c r="I221" s="18">
        <f>IF(H221="ILF",10,IF(H221="EIF",7,IF(H221="EI",4,IF(H221="EO",5,IF(H221="EQ",4,"")))))</f>
        <v/>
      </c>
      <c r="J221" s="18" t="inlineStr">
        <is>
          <t>中</t>
        </is>
      </c>
      <c r="K221" s="18">
        <f>IF(J221="高",0.33,IF(J221="中",0.67,IF(J221="低",1,"")))</f>
        <v/>
      </c>
      <c r="L221" s="18" t="inlineStr">
        <is>
          <t>新增</t>
        </is>
      </c>
      <c r="M221" s="18">
        <f>IF(L221="新增",1,IF(L221="修改",0.8,IF(L221="删除",0.2,"")))</f>
        <v/>
      </c>
      <c r="N221" s="18">
        <f>I221*K221*M221</f>
        <v/>
      </c>
    </row>
    <row r="222" ht="19" customHeight="1" s="1">
      <c r="B222" s="16" t="n">
        <v>217</v>
      </c>
      <c r="C222" s="16" t="inlineStr">
        <is>
          <t>油气生产设备物模型与测点标准化管理服务</t>
        </is>
      </c>
      <c r="D222" s="16" t="inlineStr">
        <is>
          <t>设备物模型配置</t>
        </is>
      </c>
      <c r="E222" s="16" t="inlineStr">
        <is>
          <t>G2组电参</t>
        </is>
      </c>
      <c r="F222" s="16" t="inlineStr">
        <is>
          <t>G2无功功率</t>
        </is>
      </c>
      <c r="G222" s="17" t="inlineStr">
        <is>
          <t xml:space="preserve"> 提供G2组无功功率参数属性定义技术服务</t>
        </is>
      </c>
      <c r="H222" s="18" t="inlineStr">
        <is>
          <t>EQ</t>
        </is>
      </c>
      <c r="I222" s="18">
        <f>IF(H222="ILF",10,IF(H222="EIF",7,IF(H222="EI",4,IF(H222="EO",5,IF(H222="EQ",4,"")))))</f>
        <v/>
      </c>
      <c r="J222" s="18" t="inlineStr">
        <is>
          <t>中</t>
        </is>
      </c>
      <c r="K222" s="18">
        <f>IF(J222="高",0.33,IF(J222="中",0.67,IF(J222="低",1,"")))</f>
        <v/>
      </c>
      <c r="L222" s="18" t="inlineStr">
        <is>
          <t>新增</t>
        </is>
      </c>
      <c r="M222" s="18">
        <f>IF(L222="新增",1,IF(L222="修改",0.8,IF(L222="删除",0.2,"")))</f>
        <v/>
      </c>
      <c r="N222" s="18">
        <f>I222*K222*M222</f>
        <v/>
      </c>
    </row>
    <row r="223" ht="19" customHeight="1" s="1">
      <c r="B223" s="16" t="n">
        <v>218</v>
      </c>
      <c r="C223" s="16" t="inlineStr">
        <is>
          <t>油气生产设备物模型与测点标准化管理服务</t>
        </is>
      </c>
      <c r="D223" s="16" t="inlineStr">
        <is>
          <t>设备物模型配置</t>
        </is>
      </c>
      <c r="E223" s="16" t="inlineStr">
        <is>
          <t>G2组电参</t>
        </is>
      </c>
      <c r="F223" s="16" t="inlineStr">
        <is>
          <t>G2功率因数</t>
        </is>
      </c>
      <c r="G223" s="17" t="inlineStr">
        <is>
          <t xml:space="preserve"> 提供G2组功率因数参数属性定义技术服务</t>
        </is>
      </c>
      <c r="H223" s="18" t="inlineStr">
        <is>
          <t>EQ</t>
        </is>
      </c>
      <c r="I223" s="18">
        <f>IF(H223="ILF",10,IF(H223="EIF",7,IF(H223="EI",4,IF(H223="EO",5,IF(H223="EQ",4,"")))))</f>
        <v/>
      </c>
      <c r="J223" s="18" t="inlineStr">
        <is>
          <t>中</t>
        </is>
      </c>
      <c r="K223" s="18">
        <f>IF(J223="高",0.33,IF(J223="中",0.67,IF(J223="低",1,"")))</f>
        <v/>
      </c>
      <c r="L223" s="18" t="inlineStr">
        <is>
          <t>新增</t>
        </is>
      </c>
      <c r="M223" s="18">
        <f>IF(L223="新增",1,IF(L223="修改",0.8,IF(L223="删除",0.2,"")))</f>
        <v/>
      </c>
      <c r="N223" s="18">
        <f>I223*K223*M223</f>
        <v/>
      </c>
    </row>
    <row r="224" ht="19" customHeight="1" s="1">
      <c r="B224" s="16" t="n">
        <v>219</v>
      </c>
      <c r="C224" s="16" t="inlineStr">
        <is>
          <t>油气生产设备物模型与测点标准化管理服务</t>
        </is>
      </c>
      <c r="D224" s="16" t="inlineStr">
        <is>
          <t>设备物模型配置</t>
        </is>
      </c>
      <c r="E224" s="16" t="inlineStr">
        <is>
          <t>G2组电参</t>
        </is>
      </c>
      <c r="F224" s="16" t="inlineStr">
        <is>
          <t>G2日耗电量</t>
        </is>
      </c>
      <c r="G224" s="17" t="inlineStr">
        <is>
          <t xml:space="preserve"> 提供G2组日耗电量参数属性定义技术服务</t>
        </is>
      </c>
      <c r="H224" s="18" t="inlineStr">
        <is>
          <t>EQ</t>
        </is>
      </c>
      <c r="I224" s="18">
        <f>IF(H224="ILF",10,IF(H224="EIF",7,IF(H224="EI",4,IF(H224="EO",5,IF(H224="EQ",4,"")))))</f>
        <v/>
      </c>
      <c r="J224" s="18" t="inlineStr">
        <is>
          <t>中</t>
        </is>
      </c>
      <c r="K224" s="18">
        <f>IF(J224="高",0.33,IF(J224="中",0.67,IF(J224="低",1,"")))</f>
        <v/>
      </c>
      <c r="L224" s="18" t="inlineStr">
        <is>
          <t>新增</t>
        </is>
      </c>
      <c r="M224" s="18">
        <f>IF(L224="新增",1,IF(L224="修改",0.8,IF(L224="删除",0.2,"")))</f>
        <v/>
      </c>
      <c r="N224" s="18">
        <f>I224*K224*M224</f>
        <v/>
      </c>
    </row>
    <row r="225" ht="19" customHeight="1" s="1">
      <c r="B225" s="16" t="n">
        <v>220</v>
      </c>
      <c r="C225" s="16" t="inlineStr">
        <is>
          <t>多协议高频时序数据实时采集与异构设备统一接入服务</t>
        </is>
      </c>
      <c r="D225" s="16" t="inlineStr">
        <is>
          <t>固定IP设备接入</t>
        </is>
      </c>
      <c r="E225" s="16" t="inlineStr">
        <is>
          <t>主动扫描</t>
        </is>
      </c>
      <c r="F225" s="16" t="inlineStr">
        <is>
          <t>扫描频率</t>
        </is>
      </c>
      <c r="G225" s="17" t="inlineStr">
        <is>
          <t xml:space="preserve"> 提供主动扫描频率参数配置服务</t>
        </is>
      </c>
      <c r="H225" s="18" t="inlineStr">
        <is>
          <t>ILF</t>
        </is>
      </c>
      <c r="I225" s="18">
        <f>IF(H225="ILF",10,IF(H225="EIF",7,IF(H225="EI",4,IF(H225="EO",5,IF(H225="EQ",4,"")))))</f>
        <v/>
      </c>
      <c r="J225" s="18" t="inlineStr">
        <is>
          <t>低</t>
        </is>
      </c>
      <c r="K225" s="18">
        <f>IF(J225="高",0.33,IF(J225="中",0.67,IF(J225="低",1,"")))</f>
        <v/>
      </c>
      <c r="L225" s="18" t="inlineStr">
        <is>
          <t>新增</t>
        </is>
      </c>
      <c r="M225" s="18">
        <f>IF(L225="新增",1,IF(L225="修改",0.8,IF(L225="删除",0.2,"")))</f>
        <v/>
      </c>
      <c r="N225" s="18">
        <f>I225*K225*M225</f>
        <v/>
      </c>
    </row>
    <row r="226" ht="19" customHeight="1" s="1">
      <c r="B226" s="16" t="n">
        <v>221</v>
      </c>
      <c r="C226" s="16" t="inlineStr">
        <is>
          <t>多协议高频时序数据实时采集与异构设备统一接入服务</t>
        </is>
      </c>
      <c r="D226" s="16" t="inlineStr">
        <is>
          <t>固定IP设备接入</t>
        </is>
      </c>
      <c r="E226" s="16" t="inlineStr">
        <is>
          <t>主动扫描</t>
        </is>
      </c>
      <c r="F226" s="16" t="inlineStr">
        <is>
          <t>IPv6发现</t>
        </is>
      </c>
      <c r="G226" s="17" t="inlineStr">
        <is>
          <t xml:space="preserve"> 提供IPv6地址RTU设备的发现和注册服务</t>
        </is>
      </c>
      <c r="H226" s="18" t="inlineStr">
        <is>
          <t>ILF</t>
        </is>
      </c>
      <c r="I226" s="18">
        <f>IF(H226="ILF",10,IF(H226="EIF",7,IF(H226="EI",4,IF(H226="EO",5,IF(H226="EQ",4,"")))))</f>
        <v/>
      </c>
      <c r="J226" s="18" t="inlineStr">
        <is>
          <t>低</t>
        </is>
      </c>
      <c r="K226" s="18">
        <f>IF(J226="高",0.33,IF(J226="中",0.67,IF(J226="低",1,"")))</f>
        <v/>
      </c>
      <c r="L226" s="18" t="inlineStr">
        <is>
          <t>新增</t>
        </is>
      </c>
      <c r="M226" s="18">
        <f>IF(L226="新增",1,IF(L226="修改",0.8,IF(L226="删除",0.2,"")))</f>
        <v/>
      </c>
      <c r="N226" s="18">
        <f>I226*K226*M226</f>
        <v/>
      </c>
    </row>
    <row r="227" ht="19" customHeight="1" s="1">
      <c r="B227" s="16" t="n">
        <v>222</v>
      </c>
      <c r="C227" s="16" t="inlineStr">
        <is>
          <t>多协议高频时序数据实时采集与异构设备统一接入服务</t>
        </is>
      </c>
      <c r="D227" s="16" t="inlineStr">
        <is>
          <t>固定IP设备接入</t>
        </is>
      </c>
      <c r="E227" s="16" t="inlineStr">
        <is>
          <t>主动扫描</t>
        </is>
      </c>
      <c r="F227" s="16" t="inlineStr">
        <is>
          <t>多网段扫描</t>
        </is>
      </c>
      <c r="G227" s="17" t="inlineStr">
        <is>
          <t xml:space="preserve"> 提供跨网段多子网在线设备扫描服务</t>
        </is>
      </c>
      <c r="H227" s="18" t="inlineStr">
        <is>
          <t>ILF</t>
        </is>
      </c>
      <c r="I227" s="18">
        <f>IF(H227="ILF",10,IF(H227="EIF",7,IF(H227="EI",4,IF(H227="EO",5,IF(H227="EQ",4,"")))))</f>
        <v/>
      </c>
      <c r="J227" s="18" t="inlineStr">
        <is>
          <t>低</t>
        </is>
      </c>
      <c r="K227" s="18">
        <f>IF(J227="高",0.33,IF(J227="中",0.67,IF(J227="低",1,"")))</f>
        <v/>
      </c>
      <c r="L227" s="18" t="inlineStr">
        <is>
          <t>新增</t>
        </is>
      </c>
      <c r="M227" s="18">
        <f>IF(L227="新增",1,IF(L227="修改",0.8,IF(L227="删除",0.2,"")))</f>
        <v/>
      </c>
      <c r="N227" s="18">
        <f>I227*K227*M227</f>
        <v/>
      </c>
    </row>
    <row r="228" ht="19" customHeight="1" s="1">
      <c r="B228" s="16" t="n">
        <v>223</v>
      </c>
      <c r="C228" s="16" t="inlineStr">
        <is>
          <t>多协议高频时序数据实时采集与异构设备统一接入服务</t>
        </is>
      </c>
      <c r="D228" s="16" t="inlineStr">
        <is>
          <t>固定IP设备接入</t>
        </is>
      </c>
      <c r="E228" s="16" t="inlineStr">
        <is>
          <t>主动扫描</t>
        </is>
      </c>
      <c r="F228" s="16" t="inlineStr">
        <is>
          <t>设备指纹</t>
        </is>
      </c>
      <c r="G228" s="17" t="inlineStr">
        <is>
          <t xml:space="preserve"> 提供基于报文特征的设备指纹识别服务</t>
        </is>
      </c>
      <c r="H228" s="18" t="inlineStr">
        <is>
          <t>ILF</t>
        </is>
      </c>
      <c r="I228" s="18">
        <f>IF(H228="ILF",10,IF(H228="EIF",7,IF(H228="EI",4,IF(H228="EO",5,IF(H228="EQ",4,"")))))</f>
        <v/>
      </c>
      <c r="J228" s="18" t="inlineStr">
        <is>
          <t>低</t>
        </is>
      </c>
      <c r="K228" s="18">
        <f>IF(J228="高",0.33,IF(J228="中",0.67,IF(J228="低",1,"")))</f>
        <v/>
      </c>
      <c r="L228" s="18" t="inlineStr">
        <is>
          <t>新增</t>
        </is>
      </c>
      <c r="M228" s="18">
        <f>IF(L228="新增",1,IF(L228="修改",0.8,IF(L228="删除",0.2,"")))</f>
        <v/>
      </c>
      <c r="N228" s="18">
        <f>I228*K228*M228</f>
        <v/>
      </c>
    </row>
    <row r="229" ht="19" customHeight="1" s="1">
      <c r="B229" s="16" t="n">
        <v>224</v>
      </c>
      <c r="C229" s="16" t="inlineStr">
        <is>
          <t>多协议高频时序数据实时采集与异构设备统一接入服务</t>
        </is>
      </c>
      <c r="D229" s="16" t="inlineStr">
        <is>
          <t>固定IP设备接入</t>
        </is>
      </c>
      <c r="E229" s="16" t="inlineStr">
        <is>
          <t>主动扫描</t>
        </is>
      </c>
      <c r="F229" s="16" t="inlineStr">
        <is>
          <t>任务编排</t>
        </is>
      </c>
      <c r="G229" s="17" t="inlineStr">
        <is>
          <t xml:space="preserve"> 提供设备发现扫描任务的编排调度服务</t>
        </is>
      </c>
      <c r="H229" s="18" t="inlineStr">
        <is>
          <t>ILF</t>
        </is>
      </c>
      <c r="I229" s="18">
        <f>IF(H229="ILF",10,IF(H229="EIF",7,IF(H229="EI",4,IF(H229="EO",5,IF(H229="EQ",4,"")))))</f>
        <v/>
      </c>
      <c r="J229" s="18" t="inlineStr">
        <is>
          <t>低</t>
        </is>
      </c>
      <c r="K229" s="18">
        <f>IF(J229="高",0.33,IF(J229="中",0.67,IF(J229="低",1,"")))</f>
        <v/>
      </c>
      <c r="L229" s="18" t="inlineStr">
        <is>
          <t>新增</t>
        </is>
      </c>
      <c r="M229" s="18">
        <f>IF(L229="新增",1,IF(L229="修改",0.8,IF(L229="删除",0.2,"")))</f>
        <v/>
      </c>
      <c r="N229" s="18">
        <f>I229*K229*M229</f>
        <v/>
      </c>
    </row>
    <row r="230" ht="19" customHeight="1" s="1">
      <c r="B230" s="16" t="n">
        <v>225</v>
      </c>
      <c r="C230" s="16" t="inlineStr">
        <is>
          <t>多协议高频时序数据实时采集与异构设备统一接入服务</t>
        </is>
      </c>
      <c r="D230" s="16" t="inlineStr">
        <is>
          <t>固定IP设备接入</t>
        </is>
      </c>
      <c r="E230" s="16" t="inlineStr">
        <is>
          <t>协议解析</t>
        </is>
      </c>
      <c r="F230" s="16" t="inlineStr">
        <is>
          <t>Modbus TCP</t>
        </is>
      </c>
      <c r="G230" s="17" t="inlineStr">
        <is>
          <t xml:space="preserve"> 提供Modbus TCP协议报文完整解析服务</t>
        </is>
      </c>
      <c r="H230" s="18" t="inlineStr">
        <is>
          <t>ILF</t>
        </is>
      </c>
      <c r="I230" s="18">
        <f>IF(H230="ILF",10,IF(H230="EIF",7,IF(H230="EI",4,IF(H230="EO",5,IF(H230="EQ",4,"")))))</f>
        <v/>
      </c>
      <c r="J230" s="18" t="inlineStr">
        <is>
          <t>低</t>
        </is>
      </c>
      <c r="K230" s="18">
        <f>IF(J230="高",0.33,IF(J230="中",0.67,IF(J230="低",1,"")))</f>
        <v/>
      </c>
      <c r="L230" s="18" t="inlineStr">
        <is>
          <t>新增</t>
        </is>
      </c>
      <c r="M230" s="18">
        <f>IF(L230="新增",1,IF(L230="修改",0.8,IF(L230="删除",0.2,"")))</f>
        <v/>
      </c>
      <c r="N230" s="18">
        <f>I230*K230*M230</f>
        <v/>
      </c>
    </row>
    <row r="231" ht="19" customHeight="1" s="1">
      <c r="B231" s="16" t="n">
        <v>226</v>
      </c>
      <c r="C231" s="16" t="inlineStr">
        <is>
          <t>多协议高频时序数据实时采集与异构设备统一接入服务</t>
        </is>
      </c>
      <c r="D231" s="16" t="inlineStr">
        <is>
          <t>固定IP设备接入</t>
        </is>
      </c>
      <c r="E231" s="16" t="inlineStr">
        <is>
          <t>协议解析</t>
        </is>
      </c>
      <c r="F231" s="16" t="inlineStr">
        <is>
          <t>Modbus RTU</t>
        </is>
      </c>
      <c r="G231" s="17" t="inlineStr">
        <is>
          <t xml:space="preserve"> 提供Modbus RTU协议报文完整解析服务</t>
        </is>
      </c>
      <c r="H231" s="18" t="inlineStr">
        <is>
          <t>ILF</t>
        </is>
      </c>
      <c r="I231" s="18">
        <f>IF(H231="ILF",10,IF(H231="EIF",7,IF(H231="EI",4,IF(H231="EO",5,IF(H231="EQ",4,"")))))</f>
        <v/>
      </c>
      <c r="J231" s="18" t="inlineStr">
        <is>
          <t>低</t>
        </is>
      </c>
      <c r="K231" s="18">
        <f>IF(J231="高",0.33,IF(J231="中",0.67,IF(J231="低",1,"")))</f>
        <v/>
      </c>
      <c r="L231" s="18" t="inlineStr">
        <is>
          <t>新增</t>
        </is>
      </c>
      <c r="M231" s="18">
        <f>IF(L231="新增",1,IF(L231="修改",0.8,IF(L231="删除",0.2,"")))</f>
        <v/>
      </c>
      <c r="N231" s="18">
        <f>I231*K231*M231</f>
        <v/>
      </c>
    </row>
    <row r="232" ht="19" customHeight="1" s="1">
      <c r="B232" s="16" t="n">
        <v>227</v>
      </c>
      <c r="C232" s="16" t="inlineStr">
        <is>
          <t>多协议高频时序数据实时采集与异构设备统一接入服务</t>
        </is>
      </c>
      <c r="D232" s="16" t="inlineStr">
        <is>
          <t>固定IP设备接入</t>
        </is>
      </c>
      <c r="E232" s="16" t="inlineStr">
        <is>
          <t>协议解析</t>
        </is>
      </c>
      <c r="F232" s="16" t="inlineStr">
        <is>
          <t>16位整数</t>
        </is>
      </c>
      <c r="G232" s="17" t="inlineStr">
        <is>
          <t xml:space="preserve"> 提供16位有符号/无符号整数解析服务</t>
        </is>
      </c>
      <c r="H232" s="18" t="inlineStr">
        <is>
          <t>ILF</t>
        </is>
      </c>
      <c r="I232" s="18">
        <f>IF(H232="ILF",10,IF(H232="EIF",7,IF(H232="EI",4,IF(H232="EO",5,IF(H232="EQ",4,"")))))</f>
        <v/>
      </c>
      <c r="J232" s="18" t="inlineStr">
        <is>
          <t>低</t>
        </is>
      </c>
      <c r="K232" s="18">
        <f>IF(J232="高",0.33,IF(J232="中",0.67,IF(J232="低",1,"")))</f>
        <v/>
      </c>
      <c r="L232" s="18" t="inlineStr">
        <is>
          <t>新增</t>
        </is>
      </c>
      <c r="M232" s="18">
        <f>IF(L232="新增",1,IF(L232="修改",0.8,IF(L232="删除",0.2,"")))</f>
        <v/>
      </c>
      <c r="N232" s="18">
        <f>I232*K232*M232</f>
        <v/>
      </c>
    </row>
    <row r="233" ht="19" customHeight="1" s="1">
      <c r="B233" s="16" t="n">
        <v>228</v>
      </c>
      <c r="C233" s="16" t="inlineStr">
        <is>
          <t>多协议高频时序数据实时采集与异构设备统一接入服务</t>
        </is>
      </c>
      <c r="D233" s="16" t="inlineStr">
        <is>
          <t>固定IP设备接入</t>
        </is>
      </c>
      <c r="E233" s="16" t="inlineStr">
        <is>
          <t>协议解析</t>
        </is>
      </c>
      <c r="F233" s="16" t="inlineStr">
        <is>
          <t>32位整数</t>
        </is>
      </c>
      <c r="G233" s="17" t="inlineStr">
        <is>
          <t xml:space="preserve"> 提供32位有符号/无符号整数解析服务</t>
        </is>
      </c>
      <c r="H233" s="18" t="inlineStr">
        <is>
          <t>ILF</t>
        </is>
      </c>
      <c r="I233" s="18">
        <f>IF(H233="ILF",10,IF(H233="EIF",7,IF(H233="EI",4,IF(H233="EO",5,IF(H233="EQ",4,"")))))</f>
        <v/>
      </c>
      <c r="J233" s="18" t="inlineStr">
        <is>
          <t>低</t>
        </is>
      </c>
      <c r="K233" s="18">
        <f>IF(J233="高",0.33,IF(J233="中",0.67,IF(J233="低",1,"")))</f>
        <v/>
      </c>
      <c r="L233" s="18" t="inlineStr">
        <is>
          <t>新增</t>
        </is>
      </c>
      <c r="M233" s="18">
        <f>IF(L233="新增",1,IF(L233="修改",0.8,IF(L233="删除",0.2,"")))</f>
        <v/>
      </c>
      <c r="N233" s="18">
        <f>I233*K233*M233</f>
        <v/>
      </c>
    </row>
    <row r="234" ht="19" customHeight="1" s="1">
      <c r="B234" s="16" t="n">
        <v>229</v>
      </c>
      <c r="C234" s="16" t="inlineStr">
        <is>
          <t>多协议高频时序数据实时采集与异构设备统一接入服务</t>
        </is>
      </c>
      <c r="D234" s="16" t="inlineStr">
        <is>
          <t>固定IP设备接入</t>
        </is>
      </c>
      <c r="E234" s="16" t="inlineStr">
        <is>
          <t>协议解析</t>
        </is>
      </c>
      <c r="F234" s="16" t="inlineStr">
        <is>
          <t>浮点数解析</t>
        </is>
      </c>
      <c r="G234" s="17" t="inlineStr">
        <is>
          <t xml:space="preserve"> 提供32位IEEE754浮点数解析服务</t>
        </is>
      </c>
      <c r="H234" s="18" t="inlineStr">
        <is>
          <t>ILF</t>
        </is>
      </c>
      <c r="I234" s="18">
        <f>IF(H234="ILF",10,IF(H234="EIF",7,IF(H234="EI",4,IF(H234="EO",5,IF(H234="EQ",4,"")))))</f>
        <v/>
      </c>
      <c r="J234" s="18" t="inlineStr">
        <is>
          <t>低</t>
        </is>
      </c>
      <c r="K234" s="18">
        <f>IF(J234="高",0.33,IF(J234="中",0.67,IF(J234="低",1,"")))</f>
        <v/>
      </c>
      <c r="L234" s="18" t="inlineStr">
        <is>
          <t>新增</t>
        </is>
      </c>
      <c r="M234" s="18">
        <f>IF(L234="新增",1,IF(L234="修改",0.8,IF(L234="删除",0.2,"")))</f>
        <v/>
      </c>
      <c r="N234" s="18">
        <f>I234*K234*M234</f>
        <v/>
      </c>
    </row>
    <row r="235" ht="19" customHeight="1" s="1">
      <c r="B235" s="16" t="n">
        <v>230</v>
      </c>
      <c r="C235" s="16" t="inlineStr">
        <is>
          <t>多协议高频时序数据实时采集与异构设备统一接入服务</t>
        </is>
      </c>
      <c r="D235" s="16" t="inlineStr">
        <is>
          <t>固定IP设备接入</t>
        </is>
      </c>
      <c r="E235" s="16" t="inlineStr">
        <is>
          <t>协议解析</t>
        </is>
      </c>
      <c r="F235" s="16" t="inlineStr">
        <is>
          <t>批量读取</t>
        </is>
      </c>
      <c r="G235" s="17" t="inlineStr">
        <is>
          <t xml:space="preserve"> 提供批量读取125个寄存器的数据采集服务</t>
        </is>
      </c>
      <c r="H235" s="18" t="inlineStr">
        <is>
          <t>ILF</t>
        </is>
      </c>
      <c r="I235" s="18">
        <f>IF(H235="ILF",10,IF(H235="EIF",7,IF(H235="EI",4,IF(H235="EO",5,IF(H235="EQ",4,"")))))</f>
        <v/>
      </c>
      <c r="J235" s="18" t="inlineStr">
        <is>
          <t>低</t>
        </is>
      </c>
      <c r="K235" s="18">
        <f>IF(J235="高",0.33,IF(J235="中",0.67,IF(J235="低",1,"")))</f>
        <v/>
      </c>
      <c r="L235" s="18" t="inlineStr">
        <is>
          <t>新增</t>
        </is>
      </c>
      <c r="M235" s="18">
        <f>IF(L235="新增",1,IF(L235="修改",0.8,IF(L235="删除",0.2,"")))</f>
        <v/>
      </c>
      <c r="N235" s="18">
        <f>I235*K235*M235</f>
        <v/>
      </c>
    </row>
    <row r="236" ht="19" customHeight="1" s="1">
      <c r="B236" s="16" t="n">
        <v>231</v>
      </c>
      <c r="C236" s="16" t="inlineStr">
        <is>
          <t>多协议高频时序数据实时采集与异构设备统一接入服务</t>
        </is>
      </c>
      <c r="D236" s="16" t="inlineStr">
        <is>
          <t>固定IP设备接入</t>
        </is>
      </c>
      <c r="E236" s="16" t="inlineStr">
        <is>
          <t>协议解析</t>
        </is>
      </c>
      <c r="F236" s="16" t="inlineStr">
        <is>
          <t>服务码3</t>
        </is>
      </c>
      <c r="G236" s="17" t="inlineStr">
        <is>
          <t xml:space="preserve"> 提供Modbus服务码3读取保持寄存器服务</t>
        </is>
      </c>
      <c r="H236" s="18" t="inlineStr">
        <is>
          <t>ILF</t>
        </is>
      </c>
      <c r="I236" s="18">
        <f>IF(H236="ILF",10,IF(H236="EIF",7,IF(H236="EI",4,IF(H236="EO",5,IF(H236="EQ",4,"")))))</f>
        <v/>
      </c>
      <c r="J236" s="18" t="inlineStr">
        <is>
          <t>低</t>
        </is>
      </c>
      <c r="K236" s="18">
        <f>IF(J236="高",0.33,IF(J236="中",0.67,IF(J236="低",1,"")))</f>
        <v/>
      </c>
      <c r="L236" s="18" t="inlineStr">
        <is>
          <t>新增</t>
        </is>
      </c>
      <c r="M236" s="18">
        <f>IF(L236="新增",1,IF(L236="修改",0.8,IF(L236="删除",0.2,"")))</f>
        <v/>
      </c>
      <c r="N236" s="18">
        <f>I236*K236*M236</f>
        <v/>
      </c>
    </row>
    <row r="237" ht="19" customHeight="1" s="1">
      <c r="B237" s="16" t="n">
        <v>232</v>
      </c>
      <c r="C237" s="16" t="inlineStr">
        <is>
          <t>多协议高频时序数据实时采集与异构设备统一接入服务</t>
        </is>
      </c>
      <c r="D237" s="16" t="inlineStr">
        <is>
          <t>固定IP设备接入</t>
        </is>
      </c>
      <c r="E237" s="16" t="inlineStr">
        <is>
          <t>协议解析</t>
        </is>
      </c>
      <c r="F237" s="16" t="inlineStr">
        <is>
          <t>服务码4</t>
        </is>
      </c>
      <c r="G237" s="17" t="inlineStr">
        <is>
          <t xml:space="preserve"> 提供Modbus服务码4读取输入寄存器服务</t>
        </is>
      </c>
      <c r="H237" s="18" t="inlineStr">
        <is>
          <t>ILF</t>
        </is>
      </c>
      <c r="I237" s="18">
        <f>IF(H237="ILF",10,IF(H237="EIF",7,IF(H237="EI",4,IF(H237="EO",5,IF(H237="EQ",4,"")))))</f>
        <v/>
      </c>
      <c r="J237" s="18" t="inlineStr">
        <is>
          <t>低</t>
        </is>
      </c>
      <c r="K237" s="18">
        <f>IF(J237="高",0.33,IF(J237="中",0.67,IF(J237="低",1,"")))</f>
        <v/>
      </c>
      <c r="L237" s="18" t="inlineStr">
        <is>
          <t>新增</t>
        </is>
      </c>
      <c r="M237" s="18">
        <f>IF(L237="新增",1,IF(L237="修改",0.8,IF(L237="删除",0.2,"")))</f>
        <v/>
      </c>
      <c r="N237" s="18">
        <f>I237*K237*M237</f>
        <v/>
      </c>
    </row>
    <row r="238" ht="19" customHeight="1" s="1">
      <c r="B238" s="16" t="n">
        <v>233</v>
      </c>
      <c r="C238" s="16" t="inlineStr">
        <is>
          <t>多协议高频时序数据实时采集与异构设备统一接入服务</t>
        </is>
      </c>
      <c r="D238" s="16" t="inlineStr">
        <is>
          <t>固定IP设备接入</t>
        </is>
      </c>
      <c r="E238" s="16" t="inlineStr">
        <is>
          <t>协议解析</t>
        </is>
      </c>
      <c r="F238" s="16" t="inlineStr">
        <is>
          <t>OPC DA读取</t>
        </is>
      </c>
      <c r="G238" s="17" t="inlineStr">
        <is>
          <t xml:space="preserve"> 提供Windows Agent读取OPC DA数据服务</t>
        </is>
      </c>
      <c r="H238" s="18" t="inlineStr">
        <is>
          <t>ILF</t>
        </is>
      </c>
      <c r="I238" s="18">
        <f>IF(H238="ILF",10,IF(H238="EIF",7,IF(H238="EI",4,IF(H238="EO",5,IF(H238="EQ",4,"")))))</f>
        <v/>
      </c>
      <c r="J238" s="18" t="inlineStr">
        <is>
          <t>低</t>
        </is>
      </c>
      <c r="K238" s="18">
        <f>IF(J238="高",0.33,IF(J238="中",0.67,IF(J238="低",1,"")))</f>
        <v/>
      </c>
      <c r="L238" s="18" t="inlineStr">
        <is>
          <t>新增</t>
        </is>
      </c>
      <c r="M238" s="18">
        <f>IF(L238="新增",1,IF(L238="修改",0.8,IF(L238="删除",0.2,"")))</f>
        <v/>
      </c>
      <c r="N238" s="18">
        <f>I238*K238*M238</f>
        <v/>
      </c>
    </row>
    <row r="239" ht="19" customHeight="1" s="1">
      <c r="B239" s="16" t="n">
        <v>234</v>
      </c>
      <c r="C239" s="16" t="inlineStr">
        <is>
          <t>多协议高频时序数据实时采集与异构设备统一接入服务</t>
        </is>
      </c>
      <c r="D239" s="16" t="inlineStr">
        <is>
          <t>固定IP设备接入</t>
        </is>
      </c>
      <c r="E239" s="16" t="inlineStr">
        <is>
          <t>协议解析</t>
        </is>
      </c>
      <c r="F239" s="16" t="inlineStr">
        <is>
          <t>OPC UA订阅</t>
        </is>
      </c>
      <c r="G239" s="17" t="inlineStr">
        <is>
          <t xml:space="preserve"> 提供OPC UA跨平台节点订阅和数据采集服务</t>
        </is>
      </c>
      <c r="H239" s="18" t="inlineStr">
        <is>
          <t>ILF</t>
        </is>
      </c>
      <c r="I239" s="18">
        <f>IF(H239="ILF",10,IF(H239="EIF",7,IF(H239="EI",4,IF(H239="EO",5,IF(H239="EQ",4,"")))))</f>
        <v/>
      </c>
      <c r="J239" s="18" t="inlineStr">
        <is>
          <t>低</t>
        </is>
      </c>
      <c r="K239" s="18">
        <f>IF(J239="高",0.33,IF(J239="中",0.67,IF(J239="低",1,"")))</f>
        <v/>
      </c>
      <c r="L239" s="18" t="inlineStr">
        <is>
          <t>新增</t>
        </is>
      </c>
      <c r="M239" s="18">
        <f>IF(L239="新增",1,IF(L239="修改",0.8,IF(L239="删除",0.2,"")))</f>
        <v/>
      </c>
      <c r="N239" s="18">
        <f>I239*K239*M239</f>
        <v/>
      </c>
    </row>
    <row r="240" ht="19" customHeight="1" s="1">
      <c r="B240" s="16" t="n">
        <v>235</v>
      </c>
      <c r="C240" s="16" t="inlineStr">
        <is>
          <t>多协议高频时序数据实时采集与异构设备统一接入服务</t>
        </is>
      </c>
      <c r="D240" s="16" t="inlineStr">
        <is>
          <t>固定IP设备接入</t>
        </is>
      </c>
      <c r="E240" s="16" t="inlineStr">
        <is>
          <t>协议解析</t>
        </is>
      </c>
      <c r="F240" s="16" t="inlineStr">
        <is>
          <t>MQTT订阅</t>
        </is>
      </c>
      <c r="G240" s="17" t="inlineStr">
        <is>
          <t xml:space="preserve"> 提供MQTT协议数据订阅和消息处理服务</t>
        </is>
      </c>
      <c r="H240" s="18" t="inlineStr">
        <is>
          <t>ILF</t>
        </is>
      </c>
      <c r="I240" s="18">
        <f>IF(H240="ILF",10,IF(H240="EIF",7,IF(H240="EI",4,IF(H240="EO",5,IF(H240="EQ",4,"")))))</f>
        <v/>
      </c>
      <c r="J240" s="18" t="inlineStr">
        <is>
          <t>中</t>
        </is>
      </c>
      <c r="K240" s="18">
        <f>IF(J240="高",0.33,IF(J240="中",0.67,IF(J240="低",1,"")))</f>
        <v/>
      </c>
      <c r="L240" s="18" t="inlineStr">
        <is>
          <t>新增</t>
        </is>
      </c>
      <c r="M240" s="18">
        <f>IF(L240="新增",1,IF(L240="修改",0.8,IF(L240="删除",0.2,"")))</f>
        <v/>
      </c>
      <c r="N240" s="18">
        <f>I240*K240*M240</f>
        <v/>
      </c>
    </row>
    <row r="241" ht="19" customHeight="1" s="1">
      <c r="B241" s="16" t="n">
        <v>236</v>
      </c>
      <c r="C241" s="16" t="inlineStr">
        <is>
          <t>多协议高频时序数据实时采集与异构设备统一接入服务</t>
        </is>
      </c>
      <c r="D241" s="16" t="inlineStr">
        <is>
          <t>固定IP设备接入</t>
        </is>
      </c>
      <c r="E241" s="16" t="inlineStr">
        <is>
          <t>协议解析</t>
        </is>
      </c>
      <c r="F241" s="16" t="inlineStr">
        <is>
          <t>自定义协议</t>
        </is>
      </c>
      <c r="G241" s="17" t="inlineStr">
        <is>
          <t xml:space="preserve"> 提供新型设备自定义协议适配≤3天/类服务</t>
        </is>
      </c>
      <c r="H241" s="18" t="inlineStr">
        <is>
          <t>ILF</t>
        </is>
      </c>
      <c r="I241" s="18">
        <f>IF(H241="ILF",10,IF(H241="EIF",7,IF(H241="EI",4,IF(H241="EO",5,IF(H241="EQ",4,"")))))</f>
        <v/>
      </c>
      <c r="J241" s="18" t="inlineStr">
        <is>
          <t>中</t>
        </is>
      </c>
      <c r="K241" s="18">
        <f>IF(J241="高",0.33,IF(J241="中",0.67,IF(J241="低",1,"")))</f>
        <v/>
      </c>
      <c r="L241" s="18" t="inlineStr">
        <is>
          <t>新增</t>
        </is>
      </c>
      <c r="M241" s="18">
        <f>IF(L241="新增",1,IF(L241="修改",0.8,IF(L241="删除",0.2,"")))</f>
        <v/>
      </c>
      <c r="N241" s="18">
        <f>I241*K241*M241</f>
        <v/>
      </c>
    </row>
    <row r="242" ht="19" customHeight="1" s="1">
      <c r="B242" s="16" t="n">
        <v>237</v>
      </c>
      <c r="C242" s="16" t="inlineStr">
        <is>
          <t>多协议高频时序数据实时采集与异构设备统一接入服务</t>
        </is>
      </c>
      <c r="D242" s="16" t="inlineStr">
        <is>
          <t>固定IP设备接入</t>
        </is>
      </c>
      <c r="E242" s="16" t="inlineStr">
        <is>
          <t>协议解析</t>
        </is>
      </c>
      <c r="F242" s="16" t="inlineStr">
        <is>
          <t>数据格式转换</t>
        </is>
      </c>
      <c r="G242" s="17" t="inlineStr">
        <is>
          <t xml:space="preserve"> 提供多协议数据统一转换为JSON服务</t>
        </is>
      </c>
      <c r="H242" s="18" t="inlineStr">
        <is>
          <t>ILF</t>
        </is>
      </c>
      <c r="I242" s="18">
        <f>IF(H242="ILF",10,IF(H242="EIF",7,IF(H242="EI",4,IF(H242="EO",5,IF(H242="EQ",4,"")))))</f>
        <v/>
      </c>
      <c r="J242" s="18" t="inlineStr">
        <is>
          <t>中</t>
        </is>
      </c>
      <c r="K242" s="18">
        <f>IF(J242="高",0.33,IF(J242="中",0.67,IF(J242="低",1,"")))</f>
        <v/>
      </c>
      <c r="L242" s="18" t="inlineStr">
        <is>
          <t>新增</t>
        </is>
      </c>
      <c r="M242" s="18">
        <f>IF(L242="新增",1,IF(L242="修改",0.8,IF(L242="删除",0.2,"")))</f>
        <v/>
      </c>
      <c r="N242" s="18">
        <f>I242*K242*M242</f>
        <v/>
      </c>
    </row>
    <row r="243" ht="19" customHeight="1" s="1">
      <c r="B243" s="16" t="n">
        <v>238</v>
      </c>
      <c r="C243" s="16" t="inlineStr">
        <is>
          <t>多协议高频时序数据实时采集与异构设备统一接入服务</t>
        </is>
      </c>
      <c r="D243" s="16" t="inlineStr">
        <is>
          <t>固定IP设备接入</t>
        </is>
      </c>
      <c r="E243" s="16" t="inlineStr">
        <is>
          <t>协议解析</t>
        </is>
      </c>
      <c r="F243" s="16" t="inlineStr">
        <is>
          <t>异常报文</t>
        </is>
      </c>
      <c r="G243" s="17" t="inlineStr">
        <is>
          <t xml:space="preserve"> 提供异常报文的鉴别和容错处理服务</t>
        </is>
      </c>
      <c r="H243" s="18" t="inlineStr">
        <is>
          <t>ILF</t>
        </is>
      </c>
      <c r="I243" s="18">
        <f>IF(H243="ILF",10,IF(H243="EIF",7,IF(H243="EI",4,IF(H243="EO",5,IF(H243="EQ",4,"")))))</f>
        <v/>
      </c>
      <c r="J243" s="18" t="inlineStr">
        <is>
          <t>中</t>
        </is>
      </c>
      <c r="K243" s="18">
        <f>IF(J243="高",0.33,IF(J243="中",0.67,IF(J243="低",1,"")))</f>
        <v/>
      </c>
      <c r="L243" s="18" t="inlineStr">
        <is>
          <t>新增</t>
        </is>
      </c>
      <c r="M243" s="18">
        <f>IF(L243="新增",1,IF(L243="修改",0.8,IF(L243="删除",0.2,"")))</f>
        <v/>
      </c>
      <c r="N243" s="18">
        <f>I243*K243*M243</f>
        <v/>
      </c>
    </row>
    <row r="244" ht="19" customHeight="1" s="1">
      <c r="B244" s="16" t="n">
        <v>239</v>
      </c>
      <c r="C244" s="16" t="inlineStr">
        <is>
          <t>多协议高频时序数据实时采集与异构设备统一接入服务</t>
        </is>
      </c>
      <c r="D244" s="16" t="inlineStr">
        <is>
          <t>固定IP设备接入</t>
        </is>
      </c>
      <c r="E244" s="16" t="inlineStr">
        <is>
          <t>协议解析</t>
        </is>
      </c>
      <c r="F244" s="16" t="inlineStr">
        <is>
          <t>版本兼容</t>
        </is>
      </c>
      <c r="G244" s="17" t="inlineStr">
        <is>
          <t xml:space="preserve"> 提供不同协议版本兼容处理服务</t>
        </is>
      </c>
      <c r="H244" s="18" t="inlineStr">
        <is>
          <t>ILF</t>
        </is>
      </c>
      <c r="I244" s="18">
        <f>IF(H244="ILF",10,IF(H244="EIF",7,IF(H244="EI",4,IF(H244="EO",5,IF(H244="EQ",4,"")))))</f>
        <v/>
      </c>
      <c r="J244" s="18" t="inlineStr">
        <is>
          <t>中</t>
        </is>
      </c>
      <c r="K244" s="18">
        <f>IF(J244="高",0.33,IF(J244="中",0.67,IF(J244="低",1,"")))</f>
        <v/>
      </c>
      <c r="L244" s="18" t="inlineStr">
        <is>
          <t>修改</t>
        </is>
      </c>
      <c r="M244" s="18">
        <f>IF(L244="新增",1,IF(L244="修改",0.8,IF(L244="删除",0.2,"")))</f>
        <v/>
      </c>
      <c r="N244" s="18">
        <f>I244*K244*M244</f>
        <v/>
      </c>
    </row>
    <row r="245" ht="19" customHeight="1" s="1">
      <c r="B245" s="16" t="n">
        <v>240</v>
      </c>
      <c r="C245" s="16" t="inlineStr">
        <is>
          <t>多协议高频时序数据实时采集与异构设备统一接入服务</t>
        </is>
      </c>
      <c r="D245" s="16" t="inlineStr">
        <is>
          <t>高频采集调度</t>
        </is>
      </c>
      <c r="E245" s="16" t="inlineStr">
        <is>
          <t>采集策略</t>
        </is>
      </c>
      <c r="F245" s="16" t="inlineStr">
        <is>
          <t>类型差异化</t>
        </is>
      </c>
      <c r="G245" s="17" t="inlineStr">
        <is>
          <t xml:space="preserve"> 提供按抽油机/电泵井/注入井差异化配置服务</t>
        </is>
      </c>
      <c r="H245" s="18" t="inlineStr">
        <is>
          <t>EIF</t>
        </is>
      </c>
      <c r="I245" s="18">
        <f>IF(H245="ILF",10,IF(H245="EIF",7,IF(H245="EI",4,IF(H245="EO",5,IF(H245="EQ",4,"")))))</f>
        <v/>
      </c>
      <c r="J245" s="18" t="inlineStr">
        <is>
          <t>中</t>
        </is>
      </c>
      <c r="K245" s="18">
        <f>IF(J245="高",0.33,IF(J245="中",0.67,IF(J245="低",1,"")))</f>
        <v/>
      </c>
      <c r="L245" s="18" t="inlineStr">
        <is>
          <t>新增</t>
        </is>
      </c>
      <c r="M245" s="18">
        <f>IF(L245="新增",1,IF(L245="修改",0.8,IF(L245="删除",0.2,"")))</f>
        <v/>
      </c>
      <c r="N245" s="18">
        <f>I245*K245*M245</f>
        <v/>
      </c>
    </row>
    <row r="246" ht="19" customHeight="1" s="1">
      <c r="B246" s="16" t="n">
        <v>241</v>
      </c>
      <c r="C246" s="16" t="inlineStr">
        <is>
          <t>多协议高频时序数据实时采集与异构设备统一接入服务</t>
        </is>
      </c>
      <c r="D246" s="16" t="inlineStr">
        <is>
          <t>高频采集调度</t>
        </is>
      </c>
      <c r="E246" s="16" t="inlineStr">
        <is>
          <t>采集策略</t>
        </is>
      </c>
      <c r="F246" s="16" t="inlineStr">
        <is>
          <t>状态自适应</t>
        </is>
      </c>
      <c r="G246" s="17" t="inlineStr">
        <is>
          <t xml:space="preserve"> 提供停机降频/复产恢复等状态调整采集频率服务</t>
        </is>
      </c>
      <c r="H246" s="18" t="inlineStr">
        <is>
          <t>EI</t>
        </is>
      </c>
      <c r="I246" s="18">
        <f>IF(H246="ILF",10,IF(H246="EIF",7,IF(H246="EI",4,IF(H246="EO",5,IF(H246="EQ",4,"")))))</f>
        <v/>
      </c>
      <c r="J246" s="18" t="inlineStr">
        <is>
          <t>低</t>
        </is>
      </c>
      <c r="K246" s="18">
        <f>IF(J246="高",0.33,IF(J246="中",0.67,IF(J246="低",1,"")))</f>
        <v/>
      </c>
      <c r="L246" s="18" t="inlineStr">
        <is>
          <t>新增</t>
        </is>
      </c>
      <c r="M246" s="18">
        <f>IF(L246="新增",1,IF(L246="修改",0.8,IF(L246="删除",0.2,"")))</f>
        <v/>
      </c>
      <c r="N246" s="18">
        <f>I246*K246*M246</f>
        <v/>
      </c>
    </row>
    <row r="247" ht="19" customHeight="1" s="1">
      <c r="B247" s="16" t="n">
        <v>242</v>
      </c>
      <c r="C247" s="16" t="inlineStr">
        <is>
          <t>多协议高频时序数据实时采集与异构设备统一接入服务</t>
        </is>
      </c>
      <c r="D247" s="16" t="inlineStr">
        <is>
          <t>高频采集调度</t>
        </is>
      </c>
      <c r="E247" s="16" t="inlineStr">
        <is>
          <t>采集策略</t>
        </is>
      </c>
      <c r="F247" s="16" t="inlineStr">
        <is>
          <t>时段差异化</t>
        </is>
      </c>
      <c r="G247" s="17" t="inlineStr">
        <is>
          <t xml:space="preserve"> 提供白天加密/夜间降频的时段差异化采集服务</t>
        </is>
      </c>
      <c r="H247" s="18" t="inlineStr">
        <is>
          <t>EI</t>
        </is>
      </c>
      <c r="I247" s="18">
        <f>IF(H247="ILF",10,IF(H247="EIF",7,IF(H247="EI",4,IF(H247="EO",5,IF(H247="EQ",4,"")))))</f>
        <v/>
      </c>
      <c r="J247" s="18" t="inlineStr">
        <is>
          <t>低</t>
        </is>
      </c>
      <c r="K247" s="18">
        <f>IF(J247="高",0.33,IF(J247="中",0.67,IF(J247="低",1,"")))</f>
        <v/>
      </c>
      <c r="L247" s="18" t="inlineStr">
        <is>
          <t>新增</t>
        </is>
      </c>
      <c r="M247" s="18">
        <f>IF(L247="新增",1,IF(L247="修改",0.8,IF(L247="删除",0.2,"")))</f>
        <v/>
      </c>
      <c r="N247" s="18">
        <f>I247*K247*M247</f>
        <v/>
      </c>
    </row>
    <row r="248" ht="19" customHeight="1" s="1">
      <c r="B248" s="16" t="n">
        <v>243</v>
      </c>
      <c r="C248" s="16" t="inlineStr">
        <is>
          <t>多协议高频时序数据实时采集与异构设备统一接入服务</t>
        </is>
      </c>
      <c r="D248" s="16" t="inlineStr">
        <is>
          <t>高频采集调度</t>
        </is>
      </c>
      <c r="E248" s="16" t="inlineStr">
        <is>
          <t>采集策略</t>
        </is>
      </c>
      <c r="F248" s="16" t="inlineStr">
        <is>
          <t>值变化触发</t>
        </is>
      </c>
      <c r="G248" s="17" t="inlineStr">
        <is>
          <t xml:space="preserve"> 提供参数变化超过0.5MPa触发即时采集服务</t>
        </is>
      </c>
      <c r="H248" s="18" t="inlineStr">
        <is>
          <t>EI</t>
        </is>
      </c>
      <c r="I248" s="18">
        <f>IF(H248="ILF",10,IF(H248="EIF",7,IF(H248="EI",4,IF(H248="EO",5,IF(H248="EQ",4,"")))))</f>
        <v/>
      </c>
      <c r="J248" s="18" t="inlineStr">
        <is>
          <t>低</t>
        </is>
      </c>
      <c r="K248" s="18">
        <f>IF(J248="高",0.33,IF(J248="中",0.67,IF(J248="低",1,"")))</f>
        <v/>
      </c>
      <c r="L248" s="18" t="inlineStr">
        <is>
          <t>新增</t>
        </is>
      </c>
      <c r="M248" s="18">
        <f>IF(L248="新增",1,IF(L248="修改",0.8,IF(L248="删除",0.2,"")))</f>
        <v/>
      </c>
      <c r="N248" s="18">
        <f>I248*K248*M248</f>
        <v/>
      </c>
    </row>
    <row r="249" ht="19" customHeight="1" s="1">
      <c r="B249" s="16" t="n">
        <v>244</v>
      </c>
      <c r="C249" s="16" t="inlineStr">
        <is>
          <t>多协议高频时序数据实时采集与异构设备统一接入服务</t>
        </is>
      </c>
      <c r="D249" s="16" t="inlineStr">
        <is>
          <t>高频采集调度</t>
        </is>
      </c>
      <c r="E249" s="16" t="inlineStr">
        <is>
          <t>采集策略</t>
        </is>
      </c>
      <c r="F249" s="16" t="inlineStr">
        <is>
          <t>网络自适应</t>
        </is>
      </c>
      <c r="G249" s="17" t="inlineStr">
        <is>
          <t xml:space="preserve"> 提供根据丢包率和延迟调整采集频率服务</t>
        </is>
      </c>
      <c r="H249" s="18" t="inlineStr">
        <is>
          <t>EI</t>
        </is>
      </c>
      <c r="I249" s="18">
        <f>IF(H249="ILF",10,IF(H249="EIF",7,IF(H249="EI",4,IF(H249="EO",5,IF(H249="EQ",4,"")))))</f>
        <v/>
      </c>
      <c r="J249" s="18" t="inlineStr">
        <is>
          <t>低</t>
        </is>
      </c>
      <c r="K249" s="18">
        <f>IF(J249="高",0.33,IF(J249="中",0.67,IF(J249="低",1,"")))</f>
        <v/>
      </c>
      <c r="L249" s="18" t="inlineStr">
        <is>
          <t>新增</t>
        </is>
      </c>
      <c r="M249" s="18">
        <f>IF(L249="新增",1,IF(L249="修改",0.8,IF(L249="删除",0.2,"")))</f>
        <v/>
      </c>
      <c r="N249" s="18">
        <f>I249*K249*M249</f>
        <v/>
      </c>
    </row>
    <row r="250" ht="19" customHeight="1" s="1">
      <c r="B250" s="16" t="n">
        <v>245</v>
      </c>
      <c r="C250" s="16" t="inlineStr">
        <is>
          <t>多协议高频时序数据实时采集与异构设备统一接入服务</t>
        </is>
      </c>
      <c r="D250" s="16" t="inlineStr">
        <is>
          <t>高频采集调度</t>
        </is>
      </c>
      <c r="E250" s="16" t="inlineStr">
        <is>
          <t>采集策略</t>
        </is>
      </c>
      <c r="F250" s="16" t="inlineStr">
        <is>
          <t>线程池</t>
        </is>
      </c>
      <c r="G250" s="17" t="inlineStr">
        <is>
          <t xml:space="preserve"> 提供线程池并发采集max_workers可配服务</t>
        </is>
      </c>
      <c r="H250" s="18" t="inlineStr">
        <is>
          <t>EI</t>
        </is>
      </c>
      <c r="I250" s="18">
        <f>IF(H250="ILF",10,IF(H250="EIF",7,IF(H250="EI",4,IF(H250="EO",5,IF(H250="EQ",4,"")))))</f>
        <v/>
      </c>
      <c r="J250" s="18" t="inlineStr">
        <is>
          <t>低</t>
        </is>
      </c>
      <c r="K250" s="18">
        <f>IF(J250="高",0.33,IF(J250="中",0.67,IF(J250="低",1,"")))</f>
        <v/>
      </c>
      <c r="L250" s="18" t="inlineStr">
        <is>
          <t>新增</t>
        </is>
      </c>
      <c r="M250" s="18">
        <f>IF(L250="新增",1,IF(L250="修改",0.8,IF(L250="删除",0.2,"")))</f>
        <v/>
      </c>
      <c r="N250" s="18">
        <f>I250*K250*M250</f>
        <v/>
      </c>
    </row>
    <row r="251" ht="19" customHeight="1" s="1">
      <c r="B251" s="16" t="n">
        <v>246</v>
      </c>
      <c r="C251" s="16" t="inlineStr">
        <is>
          <t>多协议高频时序数据实时采集与异构设备统一接入服务</t>
        </is>
      </c>
      <c r="D251" s="16" t="inlineStr">
        <is>
          <t>高频采集调度</t>
        </is>
      </c>
      <c r="E251" s="16" t="inlineStr">
        <is>
          <t>采集策略</t>
        </is>
      </c>
      <c r="F251" s="16" t="inlineStr">
        <is>
          <t>退避重试</t>
        </is>
      </c>
      <c r="G251" s="17" t="inlineStr">
        <is>
          <t xml:space="preserve"> 提供3次退避重试1s/5s/30s间隔服务</t>
        </is>
      </c>
      <c r="H251" s="18" t="inlineStr">
        <is>
          <t>EI</t>
        </is>
      </c>
      <c r="I251" s="18">
        <f>IF(H251="ILF",10,IF(H251="EIF",7,IF(H251="EI",4,IF(H251="EO",5,IF(H251="EQ",4,"")))))</f>
        <v/>
      </c>
      <c r="J251" s="18" t="inlineStr">
        <is>
          <t>低</t>
        </is>
      </c>
      <c r="K251" s="18">
        <f>IF(J251="高",0.33,IF(J251="中",0.67,IF(J251="低",1,"")))</f>
        <v/>
      </c>
      <c r="L251" s="18" t="inlineStr">
        <is>
          <t>新增</t>
        </is>
      </c>
      <c r="M251" s="18">
        <f>IF(L251="新增",1,IF(L251="修改",0.8,IF(L251="删除",0.2,"")))</f>
        <v/>
      </c>
      <c r="N251" s="18">
        <f>I251*K251*M251</f>
        <v/>
      </c>
    </row>
    <row r="252" ht="19" customHeight="1" s="1">
      <c r="B252" s="16" t="n">
        <v>247</v>
      </c>
      <c r="C252" s="16" t="inlineStr">
        <is>
          <t>多协议高频时序数据实时采集与异构设备统一接入服务</t>
        </is>
      </c>
      <c r="D252" s="16" t="inlineStr">
        <is>
          <t>高频采集调度</t>
        </is>
      </c>
      <c r="E252" s="16" t="inlineStr">
        <is>
          <t>采集策略</t>
        </is>
      </c>
      <c r="F252" s="16" t="inlineStr">
        <is>
          <t>错峰调度</t>
        </is>
      </c>
      <c r="G252" s="17" t="inlineStr">
        <is>
          <t xml:space="preserve"> 提供同一网关下采集错峰避免广播风暴服务</t>
        </is>
      </c>
      <c r="H252" s="18" t="inlineStr">
        <is>
          <t>EI</t>
        </is>
      </c>
      <c r="I252" s="18">
        <f>IF(H252="ILF",10,IF(H252="EIF",7,IF(H252="EI",4,IF(H252="EO",5,IF(H252="EQ",4,"")))))</f>
        <v/>
      </c>
      <c r="J252" s="18" t="inlineStr">
        <is>
          <t>低</t>
        </is>
      </c>
      <c r="K252" s="18">
        <f>IF(J252="高",0.33,IF(J252="中",0.67,IF(J252="低",1,"")))</f>
        <v/>
      </c>
      <c r="L252" s="18" t="inlineStr">
        <is>
          <t>新增</t>
        </is>
      </c>
      <c r="M252" s="18">
        <f>IF(L252="新增",1,IF(L252="修改",0.8,IF(L252="删除",0.2,"")))</f>
        <v/>
      </c>
      <c r="N252" s="18">
        <f>I252*K252*M252</f>
        <v/>
      </c>
    </row>
    <row r="253" ht="19" customHeight="1" s="1">
      <c r="B253" s="16" t="n">
        <v>248</v>
      </c>
      <c r="C253" s="16" t="inlineStr">
        <is>
          <t>多协议高频时序数据实时采集与异构设备统一接入服务</t>
        </is>
      </c>
      <c r="D253" s="16" t="inlineStr">
        <is>
          <t>高频采集调度</t>
        </is>
      </c>
      <c r="E253" s="16" t="inlineStr">
        <is>
          <t>采集策略</t>
        </is>
      </c>
      <c r="F253" s="16" t="inlineStr">
        <is>
          <t>任务编排</t>
        </is>
      </c>
      <c r="G253" s="17" t="inlineStr">
        <is>
          <t xml:space="preserve"> 提供采集任务调度编排和优先级管理服务</t>
        </is>
      </c>
      <c r="H253" s="18" t="inlineStr">
        <is>
          <t>EI</t>
        </is>
      </c>
      <c r="I253" s="18">
        <f>IF(H253="ILF",10,IF(H253="EIF",7,IF(H253="EI",4,IF(H253="EO",5,IF(H253="EQ",4,"")))))</f>
        <v/>
      </c>
      <c r="J253" s="18" t="inlineStr">
        <is>
          <t>低</t>
        </is>
      </c>
      <c r="K253" s="18">
        <f>IF(J253="高",0.33,IF(J253="中",0.67,IF(J253="低",1,"")))</f>
        <v/>
      </c>
      <c r="L253" s="18" t="inlineStr">
        <is>
          <t>新增</t>
        </is>
      </c>
      <c r="M253" s="18">
        <f>IF(L253="新增",1,IF(L253="修改",0.8,IF(L253="删除",0.2,"")))</f>
        <v/>
      </c>
      <c r="N253" s="18">
        <f>I253*K253*M253</f>
        <v/>
      </c>
    </row>
    <row r="254" ht="19" customHeight="1" s="1">
      <c r="B254" s="16" t="n">
        <v>249</v>
      </c>
      <c r="C254" s="16" t="inlineStr">
        <is>
          <t>多协议高频时序数据实时采集与异构设备统一接入服务</t>
        </is>
      </c>
      <c r="D254" s="16" t="inlineStr">
        <is>
          <t>高频采集调度</t>
        </is>
      </c>
      <c r="E254" s="16" t="inlineStr">
        <is>
          <t>采集策略</t>
        </is>
      </c>
      <c r="F254" s="16" t="inlineStr">
        <is>
          <t>负载均衡</t>
        </is>
      </c>
      <c r="G254" s="17" t="inlineStr">
        <is>
          <t xml:space="preserve"> 提供多节点间采集任务负载均衡服务</t>
        </is>
      </c>
      <c r="H254" s="18" t="inlineStr">
        <is>
          <t>EI</t>
        </is>
      </c>
      <c r="I254" s="18">
        <f>IF(H254="ILF",10,IF(H254="EIF",7,IF(H254="EI",4,IF(H254="EO",5,IF(H254="EQ",4,"")))))</f>
        <v/>
      </c>
      <c r="J254" s="18" t="inlineStr">
        <is>
          <t>低</t>
        </is>
      </c>
      <c r="K254" s="18">
        <f>IF(J254="高",0.33,IF(J254="中",0.67,IF(J254="低",1,"")))</f>
        <v/>
      </c>
      <c r="L254" s="18" t="inlineStr">
        <is>
          <t>新增</t>
        </is>
      </c>
      <c r="M254" s="18">
        <f>IF(L254="新增",1,IF(L254="修改",0.8,IF(L254="删除",0.2,"")))</f>
        <v/>
      </c>
      <c r="N254" s="18">
        <f>I254*K254*M254</f>
        <v/>
      </c>
    </row>
    <row r="255" ht="19" customHeight="1" s="1">
      <c r="B255" s="16" t="n">
        <v>250</v>
      </c>
      <c r="C255" s="16" t="inlineStr">
        <is>
          <t>多协议高频时序数据实时采集与异构设备统一接入服务</t>
        </is>
      </c>
      <c r="D255" s="16" t="inlineStr">
        <is>
          <t>高频采集调度</t>
        </is>
      </c>
      <c r="E255" s="16" t="inlineStr">
        <is>
          <t>采集策略</t>
        </is>
      </c>
      <c r="F255" s="16" t="inlineStr">
        <is>
          <t>策略热加载</t>
        </is>
      </c>
      <c r="G255" s="17" t="inlineStr">
        <is>
          <t xml:space="preserve"> 提供采集策略变更后热加载生效服务</t>
        </is>
      </c>
      <c r="H255" s="18" t="inlineStr">
        <is>
          <t>EI</t>
        </is>
      </c>
      <c r="I255" s="18">
        <f>IF(H255="ILF",10,IF(H255="EIF",7,IF(H255="EI",4,IF(H255="EO",5,IF(H255="EQ",4,"")))))</f>
        <v/>
      </c>
      <c r="J255" s="18" t="inlineStr">
        <is>
          <t>低</t>
        </is>
      </c>
      <c r="K255" s="18">
        <f>IF(J255="高",0.33,IF(J255="中",0.67,IF(J255="低",1,"")))</f>
        <v/>
      </c>
      <c r="L255" s="18" t="inlineStr">
        <is>
          <t>新增</t>
        </is>
      </c>
      <c r="M255" s="18">
        <f>IF(L255="新增",1,IF(L255="修改",0.8,IF(L255="删除",0.2,"")))</f>
        <v/>
      </c>
      <c r="N255" s="18">
        <f>I255*K255*M255</f>
        <v/>
      </c>
    </row>
    <row r="256" ht="19" customHeight="1" s="1">
      <c r="B256" s="16" t="n">
        <v>251</v>
      </c>
      <c r="C256" s="16" t="inlineStr">
        <is>
          <t>多协议高频时序数据实时采集与异构设备统一接入服务</t>
        </is>
      </c>
      <c r="D256" s="16" t="inlineStr">
        <is>
          <t>高频采集调度</t>
        </is>
      </c>
      <c r="E256" s="16" t="inlineStr">
        <is>
          <t>采集策略</t>
        </is>
      </c>
      <c r="F256" s="16" t="inlineStr">
        <is>
          <t>策略版本</t>
        </is>
      </c>
      <c r="G256" s="17" t="inlineStr">
        <is>
          <t xml:space="preserve"> 提供采集策略版本历史追溯和回滚服务</t>
        </is>
      </c>
      <c r="H256" s="18" t="inlineStr">
        <is>
          <t>EI</t>
        </is>
      </c>
      <c r="I256" s="18">
        <f>IF(H256="ILF",10,IF(H256="EIF",7,IF(H256="EI",4,IF(H256="EO",5,IF(H256="EQ",4,"")))))</f>
        <v/>
      </c>
      <c r="J256" s="18" t="inlineStr">
        <is>
          <t>低</t>
        </is>
      </c>
      <c r="K256" s="18">
        <f>IF(J256="高",0.33,IF(J256="中",0.67,IF(J256="低",1,"")))</f>
        <v/>
      </c>
      <c r="L256" s="18" t="inlineStr">
        <is>
          <t>新增</t>
        </is>
      </c>
      <c r="M256" s="18">
        <f>IF(L256="新增",1,IF(L256="修改",0.8,IF(L256="删除",0.2,"")))</f>
        <v/>
      </c>
      <c r="N256" s="18">
        <f>I256*K256*M256</f>
        <v/>
      </c>
    </row>
    <row r="257" ht="19" customHeight="1" s="1">
      <c r="B257" s="16" t="n">
        <v>252</v>
      </c>
      <c r="C257" s="16" t="inlineStr">
        <is>
          <t>多协议高频时序数据实时采集与异构设备统一接入服务</t>
        </is>
      </c>
      <c r="D257" s="16" t="inlineStr">
        <is>
          <t>高频采集调度</t>
        </is>
      </c>
      <c r="E257" s="16" t="inlineStr">
        <is>
          <t>弱网优化</t>
        </is>
      </c>
      <c r="F257" s="16" t="inlineStr">
        <is>
          <t>4G分时</t>
        </is>
      </c>
      <c r="G257" s="17" t="inlineStr">
        <is>
          <t xml:space="preserve"> 提供按地理位置分组编排时间窗避免通频拥塞服务</t>
        </is>
      </c>
      <c r="H257" s="18" t="inlineStr">
        <is>
          <t>EI</t>
        </is>
      </c>
      <c r="I257" s="18">
        <f>IF(H257="ILF",10,IF(H257="EIF",7,IF(H257="EI",4,IF(H257="EO",5,IF(H257="EQ",4,"")))))</f>
        <v/>
      </c>
      <c r="J257" s="18" t="inlineStr">
        <is>
          <t>低</t>
        </is>
      </c>
      <c r="K257" s="18">
        <f>IF(J257="高",0.33,IF(J257="中",0.67,IF(J257="低",1,"")))</f>
        <v/>
      </c>
      <c r="L257" s="18" t="inlineStr">
        <is>
          <t>新增</t>
        </is>
      </c>
      <c r="M257" s="18">
        <f>IF(L257="新增",1,IF(L257="修改",0.8,IF(L257="删除",0.2,"")))</f>
        <v/>
      </c>
      <c r="N257" s="18">
        <f>I257*K257*M257</f>
        <v/>
      </c>
    </row>
    <row r="258" ht="19" customHeight="1" s="1">
      <c r="B258" s="16" t="n">
        <v>253</v>
      </c>
      <c r="C258" s="16" t="inlineStr">
        <is>
          <t>多协议高频时序数据实时采集与异构设备统一接入服务</t>
        </is>
      </c>
      <c r="D258" s="16" t="inlineStr">
        <is>
          <t>高频采集调度</t>
        </is>
      </c>
      <c r="E258" s="16" t="inlineStr">
        <is>
          <t>弱网优化</t>
        </is>
      </c>
      <c r="F258" s="16" t="inlineStr">
        <is>
          <t>低电量优化</t>
        </is>
      </c>
      <c r="G258" s="17" t="inlineStr">
        <is>
          <t xml:space="preserve"> 提供电池供电设备减少采集频次延长续航服务</t>
        </is>
      </c>
      <c r="H258" s="18" t="inlineStr">
        <is>
          <t>EI</t>
        </is>
      </c>
      <c r="I258" s="18">
        <f>IF(H258="ILF",10,IF(H258="EIF",7,IF(H258="EI",4,IF(H258="EO",5,IF(H258="EQ",4,"")))))</f>
        <v/>
      </c>
      <c r="J258" s="18" t="inlineStr">
        <is>
          <t>低</t>
        </is>
      </c>
      <c r="K258" s="18">
        <f>IF(J258="高",0.33,IF(J258="中",0.67,IF(J258="低",1,"")))</f>
        <v/>
      </c>
      <c r="L258" s="18" t="inlineStr">
        <is>
          <t>新增</t>
        </is>
      </c>
      <c r="M258" s="18">
        <f>IF(L258="新增",1,IF(L258="修改",0.8,IF(L258="删除",0.2,"")))</f>
        <v/>
      </c>
      <c r="N258" s="18">
        <f>I258*K258*M258</f>
        <v/>
      </c>
    </row>
    <row r="259" ht="19" customHeight="1" s="1">
      <c r="B259" s="16" t="n">
        <v>254</v>
      </c>
      <c r="C259" s="16" t="inlineStr">
        <is>
          <t>多协议高频时序数据实时采集与异构设备统一接入服务</t>
        </is>
      </c>
      <c r="D259" s="16" t="inlineStr">
        <is>
          <t>高频采集调度</t>
        </is>
      </c>
      <c r="E259" s="16" t="inlineStr">
        <is>
          <t>弱网优化</t>
        </is>
      </c>
      <c r="F259" s="16" t="inlineStr">
        <is>
          <t>断网缓存</t>
        </is>
      </c>
      <c r="G259" s="17" t="inlineStr">
        <is>
          <t xml:space="preserve"> 提供断网时数据缓存至本地SQLite≥7天服务</t>
        </is>
      </c>
      <c r="H259" s="18" t="inlineStr">
        <is>
          <t>EI</t>
        </is>
      </c>
      <c r="I259" s="18">
        <f>IF(H259="ILF",10,IF(H259="EIF",7,IF(H259="EI",4,IF(H259="EO",5,IF(H259="EQ",4,"")))))</f>
        <v/>
      </c>
      <c r="J259" s="18" t="inlineStr">
        <is>
          <t>低</t>
        </is>
      </c>
      <c r="K259" s="18">
        <f>IF(J259="高",0.33,IF(J259="中",0.67,IF(J259="低",1,"")))</f>
        <v/>
      </c>
      <c r="L259" s="18" t="inlineStr">
        <is>
          <t>新增</t>
        </is>
      </c>
      <c r="M259" s="18">
        <f>IF(L259="新增",1,IF(L259="修改",0.8,IF(L259="删除",0.2,"")))</f>
        <v/>
      </c>
      <c r="N259" s="18">
        <f>I259*K259*M259</f>
        <v/>
      </c>
    </row>
    <row r="260" ht="19" customHeight="1" s="1">
      <c r="B260" s="16" t="n">
        <v>255</v>
      </c>
      <c r="C260" s="16" t="inlineStr">
        <is>
          <t>多协议高频时序数据实时采集与异构设备统一接入服务</t>
        </is>
      </c>
      <c r="D260" s="16" t="inlineStr">
        <is>
          <t>高频采集调度</t>
        </is>
      </c>
      <c r="E260" s="16" t="inlineStr">
        <is>
          <t>弱网优化</t>
        </is>
      </c>
      <c r="F260" s="16" t="inlineStr">
        <is>
          <t>自动补传</t>
        </is>
      </c>
      <c r="G260" s="17" t="inlineStr">
        <is>
          <t xml:space="preserve"> 提供网络恢复后按时间戳顺序自动补传数据服务</t>
        </is>
      </c>
      <c r="H260" s="18" t="inlineStr">
        <is>
          <t>EI</t>
        </is>
      </c>
      <c r="I260" s="18">
        <f>IF(H260="ILF",10,IF(H260="EIF",7,IF(H260="EI",4,IF(H260="EO",5,IF(H260="EQ",4,"")))))</f>
        <v/>
      </c>
      <c r="J260" s="18" t="inlineStr">
        <is>
          <t>低</t>
        </is>
      </c>
      <c r="K260" s="18">
        <f>IF(J260="高",0.33,IF(J260="中",0.67,IF(J260="低",1,"")))</f>
        <v/>
      </c>
      <c r="L260" s="18" t="inlineStr">
        <is>
          <t>新增</t>
        </is>
      </c>
      <c r="M260" s="18">
        <f>IF(L260="新增",1,IF(L260="修改",0.8,IF(L260="删除",0.2,"")))</f>
        <v/>
      </c>
      <c r="N260" s="18">
        <f>I260*K260*M260</f>
        <v/>
      </c>
    </row>
    <row r="261" ht="19" customHeight="1" s="1">
      <c r="B261" s="16" t="n">
        <v>256</v>
      </c>
      <c r="C261" s="16" t="inlineStr">
        <is>
          <t>多协议高频时序数据实时采集与异构设备统一接入服务</t>
        </is>
      </c>
      <c r="D261" s="16" t="inlineStr">
        <is>
          <t>高频采集调度</t>
        </is>
      </c>
      <c r="E261" s="16" t="inlineStr">
        <is>
          <t>弱网优化</t>
        </is>
      </c>
      <c r="F261" s="16" t="inlineStr">
        <is>
          <t>丢包降频</t>
        </is>
      </c>
      <c r="G261" s="17" t="inlineStr">
        <is>
          <t xml:space="preserve"> 提供丢包率&gt;10%时自动倍频降频服务</t>
        </is>
      </c>
      <c r="H261" s="18" t="inlineStr">
        <is>
          <t>EI</t>
        </is>
      </c>
      <c r="I261" s="18">
        <f>IF(H261="ILF",10,IF(H261="EIF",7,IF(H261="EI",4,IF(H261="EO",5,IF(H261="EQ",4,"")))))</f>
        <v/>
      </c>
      <c r="J261" s="18" t="inlineStr">
        <is>
          <t>低</t>
        </is>
      </c>
      <c r="K261" s="18">
        <f>IF(J261="高",0.33,IF(J261="中",0.67,IF(J261="低",1,"")))</f>
        <v/>
      </c>
      <c r="L261" s="18" t="inlineStr">
        <is>
          <t>新增</t>
        </is>
      </c>
      <c r="M261" s="18">
        <f>IF(L261="新增",1,IF(L261="修改",0.8,IF(L261="删除",0.2,"")))</f>
        <v/>
      </c>
      <c r="N261" s="18">
        <f>I261*K261*M261</f>
        <v/>
      </c>
    </row>
    <row r="262" ht="19" customHeight="1" s="1">
      <c r="B262" s="16" t="n">
        <v>257</v>
      </c>
      <c r="C262" s="16" t="inlineStr">
        <is>
          <t>多协议高频时序数据实时采集与异构设备统一接入服务</t>
        </is>
      </c>
      <c r="D262" s="16" t="inlineStr">
        <is>
          <t>高频采集调度</t>
        </is>
      </c>
      <c r="E262" s="16" t="inlineStr">
        <is>
          <t>弱网优化</t>
        </is>
      </c>
      <c r="F262" s="16" t="inlineStr">
        <is>
          <t>延迟降频</t>
        </is>
      </c>
      <c r="G262" s="17" t="inlineStr">
        <is>
          <t xml:space="preserve"> 提供响应延迟&gt;2000ms时自动降频服务</t>
        </is>
      </c>
      <c r="H262" s="18" t="inlineStr">
        <is>
          <t>EI</t>
        </is>
      </c>
      <c r="I262" s="18">
        <f>IF(H262="ILF",10,IF(H262="EIF",7,IF(H262="EI",4,IF(H262="EO",5,IF(H262="EQ",4,"")))))</f>
        <v/>
      </c>
      <c r="J262" s="18" t="inlineStr">
        <is>
          <t>低</t>
        </is>
      </c>
      <c r="K262" s="18">
        <f>IF(J262="高",0.33,IF(J262="中",0.67,IF(J262="低",1,"")))</f>
        <v/>
      </c>
      <c r="L262" s="18" t="inlineStr">
        <is>
          <t>新增</t>
        </is>
      </c>
      <c r="M262" s="18">
        <f>IF(L262="新增",1,IF(L262="修改",0.8,IF(L262="删除",0.2,"")))</f>
        <v/>
      </c>
      <c r="N262" s="18">
        <f>I262*K262*M262</f>
        <v/>
      </c>
    </row>
    <row r="263" ht="19" customHeight="1" s="1">
      <c r="B263" s="16" t="n">
        <v>258</v>
      </c>
      <c r="C263" s="16" t="inlineStr">
        <is>
          <t>多协议高频时序数据实时采集与异构设备统一接入服务</t>
        </is>
      </c>
      <c r="D263" s="16" t="inlineStr">
        <is>
          <t>高频采集调度</t>
        </is>
      </c>
      <c r="E263" s="16" t="inlineStr">
        <is>
          <t>弱网优化</t>
        </is>
      </c>
      <c r="F263" s="16" t="inlineStr">
        <is>
          <t>链路配置</t>
        </is>
      </c>
      <c r="G263" s="17" t="inlineStr">
        <is>
          <t xml:space="preserve"> 提供TCP超时/重试次数/退避间隔独立配置服务</t>
        </is>
      </c>
      <c r="H263" s="18" t="inlineStr">
        <is>
          <t>EI</t>
        </is>
      </c>
      <c r="I263" s="18">
        <f>IF(H263="ILF",10,IF(H263="EIF",7,IF(H263="EI",4,IF(H263="EO",5,IF(H263="EQ",4,"")))))</f>
        <v/>
      </c>
      <c r="J263" s="18" t="inlineStr">
        <is>
          <t>低</t>
        </is>
      </c>
      <c r="K263" s="18">
        <f>IF(J263="高",0.33,IF(J263="中",0.67,IF(J263="低",1,"")))</f>
        <v/>
      </c>
      <c r="L263" s="18" t="inlineStr">
        <is>
          <t>新增</t>
        </is>
      </c>
      <c r="M263" s="18">
        <f>IF(L263="新增",1,IF(L263="修改",0.8,IF(L263="删除",0.2,"")))</f>
        <v/>
      </c>
      <c r="N263" s="18">
        <f>I263*K263*M263</f>
        <v/>
      </c>
    </row>
    <row r="264" ht="19" customHeight="1" s="1">
      <c r="B264" s="16" t="n">
        <v>259</v>
      </c>
      <c r="C264" s="16" t="inlineStr">
        <is>
          <t>多协议高频时序数据实时采集与异构设备统一接入服务</t>
        </is>
      </c>
      <c r="D264" s="16" t="inlineStr">
        <is>
          <t>高频采集调度</t>
        </is>
      </c>
      <c r="E264" s="16" t="inlineStr">
        <is>
          <t>弱网优化</t>
        </is>
      </c>
      <c r="F264" s="16" t="inlineStr">
        <is>
          <t>弱网标记</t>
        </is>
      </c>
      <c r="G264" s="17" t="inlineStr">
        <is>
          <t xml:space="preserve"> 提供月成功率&lt;80%自动标记弱网设备服务</t>
        </is>
      </c>
      <c r="H264" s="18" t="inlineStr">
        <is>
          <t>EI</t>
        </is>
      </c>
      <c r="I264" s="18">
        <f>IF(H264="ILF",10,IF(H264="EIF",7,IF(H264="EI",4,IF(H264="EO",5,IF(H264="EQ",4,"")))))</f>
        <v/>
      </c>
      <c r="J264" s="18" t="inlineStr">
        <is>
          <t>低</t>
        </is>
      </c>
      <c r="K264" s="18">
        <f>IF(J264="高",0.33,IF(J264="中",0.67,IF(J264="低",1,"")))</f>
        <v/>
      </c>
      <c r="L264" s="18" t="inlineStr">
        <is>
          <t>新增</t>
        </is>
      </c>
      <c r="M264" s="18">
        <f>IF(L264="新增",1,IF(L264="修改",0.8,IF(L264="删除",0.2,"")))</f>
        <v/>
      </c>
      <c r="N264" s="18">
        <f>I264*K264*M264</f>
        <v/>
      </c>
    </row>
    <row r="265" ht="19" customHeight="1" s="1">
      <c r="B265" s="16" t="n">
        <v>260</v>
      </c>
      <c r="C265" s="16" t="inlineStr">
        <is>
          <t>多协议高频时序数据实时采集与异构设备统一接入服务</t>
        </is>
      </c>
      <c r="D265" s="16" t="inlineStr">
        <is>
          <t>高频采集调度</t>
        </is>
      </c>
      <c r="E265" s="16" t="inlineStr">
        <is>
          <t>弱网优化</t>
        </is>
      </c>
      <c r="F265" s="16" t="inlineStr">
        <is>
          <t>补传验证</t>
        </is>
      </c>
      <c r="G265" s="17" t="inlineStr">
        <is>
          <t xml:space="preserve"> 提供网络恢复补传数据完整性和时序验证服务</t>
        </is>
      </c>
      <c r="H265" s="18" t="inlineStr">
        <is>
          <t>EI</t>
        </is>
      </c>
      <c r="I265" s="18">
        <f>IF(H265="ILF",10,IF(H265="EIF",7,IF(H265="EI",4,IF(H265="EO",5,IF(H265="EQ",4,"")))))</f>
        <v/>
      </c>
      <c r="J265" s="18" t="inlineStr">
        <is>
          <t>低</t>
        </is>
      </c>
      <c r="K265" s="18">
        <f>IF(J265="高",0.33,IF(J265="中",0.67,IF(J265="低",1,"")))</f>
        <v/>
      </c>
      <c r="L265" s="18" t="inlineStr">
        <is>
          <t>新增</t>
        </is>
      </c>
      <c r="M265" s="18">
        <f>IF(L265="新增",1,IF(L265="修改",0.8,IF(L265="删除",0.2,"")))</f>
        <v/>
      </c>
      <c r="N265" s="18">
        <f>I265*K265*M265</f>
        <v/>
      </c>
    </row>
    <row r="266" ht="19" customHeight="1" s="1">
      <c r="B266" s="16" t="n">
        <v>261</v>
      </c>
      <c r="C266" s="16" t="inlineStr">
        <is>
          <t>多协议高频时序数据实时采集与异构设备统一接入服务</t>
        </is>
      </c>
      <c r="D266" s="16" t="inlineStr">
        <is>
          <t>A11协同保障</t>
        </is>
      </c>
      <c r="E266" s="16" t="inlineStr">
        <is>
          <t>ID与时序</t>
        </is>
      </c>
      <c r="F266" s="16" t="inlineStr">
        <is>
          <t>A11会话ID</t>
        </is>
      </c>
      <c r="G266" s="17" t="inlineStr">
        <is>
          <t xml:space="preserve"> 提供A11沿用原有编号1~100的会话ID管理服务</t>
        </is>
      </c>
      <c r="H266" s="18" t="inlineStr">
        <is>
          <t>EI</t>
        </is>
      </c>
      <c r="I266" s="18">
        <f>IF(H266="ILF",10,IF(H266="EIF",7,IF(H266="EI",4,IF(H266="EO",5,IF(H266="EQ",4,"")))))</f>
        <v/>
      </c>
      <c r="J266" s="18" t="inlineStr">
        <is>
          <t>低</t>
        </is>
      </c>
      <c r="K266" s="18">
        <f>IF(J266="高",0.33,IF(J266="中",0.67,IF(J266="低",1,"")))</f>
        <v/>
      </c>
      <c r="L266" s="18" t="inlineStr">
        <is>
          <t>新增</t>
        </is>
      </c>
      <c r="M266" s="18">
        <f>IF(L266="新增",1,IF(L266="修改",0.8,IF(L266="删除",0.2,"")))</f>
        <v/>
      </c>
      <c r="N266" s="18">
        <f>I266*K266*M266</f>
        <v/>
      </c>
    </row>
    <row r="267" ht="19" customHeight="1" s="1">
      <c r="B267" s="16" t="n">
        <v>262</v>
      </c>
      <c r="C267" s="16" t="inlineStr">
        <is>
          <t>多协议高频时序数据实时采集与异构设备统一接入服务</t>
        </is>
      </c>
      <c r="D267" s="16" t="inlineStr">
        <is>
          <t>A11协同保障</t>
        </is>
      </c>
      <c r="E267" s="16" t="inlineStr">
        <is>
          <t>ID与时序</t>
        </is>
      </c>
      <c r="F267" s="16" t="inlineStr">
        <is>
          <t>我方会话ID</t>
        </is>
      </c>
      <c r="G267" s="17" t="inlineStr">
        <is>
          <t xml:space="preserve"> 提供我方独立段1001~2000会话ID管理服务</t>
        </is>
      </c>
      <c r="H267" s="18" t="inlineStr">
        <is>
          <t>EI</t>
        </is>
      </c>
      <c r="I267" s="18">
        <f>IF(H267="ILF",10,IF(H267="EIF",7,IF(H267="EI",4,IF(H267="EO",5,IF(H267="EQ",4,"")))))</f>
        <v/>
      </c>
      <c r="J267" s="18" t="inlineStr">
        <is>
          <t>低</t>
        </is>
      </c>
      <c r="K267" s="18">
        <f>IF(J267="高",0.33,IF(J267="中",0.67,IF(J267="低",1,"")))</f>
        <v/>
      </c>
      <c r="L267" s="18" t="inlineStr">
        <is>
          <t>新增</t>
        </is>
      </c>
      <c r="M267" s="18">
        <f>IF(L267="新增",1,IF(L267="修改",0.8,IF(L267="删除",0.2,"")))</f>
        <v/>
      </c>
      <c r="N267" s="18">
        <f>I267*K267*M267</f>
        <v/>
      </c>
    </row>
    <row r="268" ht="19" customHeight="1" s="1">
      <c r="B268" s="16" t="n">
        <v>263</v>
      </c>
      <c r="C268" s="16" t="inlineStr">
        <is>
          <t>多协议高频时序数据实时采集与异构设备统一接入服务</t>
        </is>
      </c>
      <c r="D268" s="16" t="inlineStr">
        <is>
          <t>A11协同保障</t>
        </is>
      </c>
      <c r="E268" s="16" t="inlineStr">
        <is>
          <t>ID与时序</t>
        </is>
      </c>
      <c r="F268" s="16" t="inlineStr">
        <is>
          <t>ID冲突检测</t>
        </is>
      </c>
      <c r="G268" s="17" t="inlineStr">
        <is>
          <t xml:space="preserve"> 提供会话ID冲突实时检测服务</t>
        </is>
      </c>
      <c r="H268" s="18" t="inlineStr">
        <is>
          <t>EI</t>
        </is>
      </c>
      <c r="I268" s="18">
        <f>IF(H268="ILF",10,IF(H268="EIF",7,IF(H268="EI",4,IF(H268="EO",5,IF(H268="EQ",4,"")))))</f>
        <v/>
      </c>
      <c r="J268" s="18" t="inlineStr">
        <is>
          <t>低</t>
        </is>
      </c>
      <c r="K268" s="18">
        <f>IF(J268="高",0.33,IF(J268="中",0.67,IF(J268="低",1,"")))</f>
        <v/>
      </c>
      <c r="L268" s="18" t="inlineStr">
        <is>
          <t>新增</t>
        </is>
      </c>
      <c r="M268" s="18">
        <f>IF(L268="新增",1,IF(L268="修改",0.8,IF(L268="删除",0.2,"")))</f>
        <v/>
      </c>
      <c r="N268" s="18">
        <f>I268*K268*M268</f>
        <v/>
      </c>
    </row>
    <row r="269" ht="19" customHeight="1" s="1">
      <c r="B269" s="16" t="n">
        <v>264</v>
      </c>
      <c r="C269" s="16" t="inlineStr">
        <is>
          <t>多协议高频时序数据实时采集与异构设备统一接入服务</t>
        </is>
      </c>
      <c r="D269" s="16" t="inlineStr">
        <is>
          <t>A11协同保障</t>
        </is>
      </c>
      <c r="E269" s="16" t="inlineStr">
        <is>
          <t>ID与时序</t>
        </is>
      </c>
      <c r="F269" s="16" t="inlineStr">
        <is>
          <t>ID回收</t>
        </is>
      </c>
      <c r="G269" s="17" t="inlineStr">
        <is>
          <t xml:space="preserve"> 提供会话结束后ID回收和复用服务</t>
        </is>
      </c>
      <c r="H269" s="18" t="inlineStr">
        <is>
          <t>EI</t>
        </is>
      </c>
      <c r="I269" s="18">
        <f>IF(H269="ILF",10,IF(H269="EIF",7,IF(H269="EI",4,IF(H269="EO",5,IF(H269="EQ",4,"")))))</f>
        <v/>
      </c>
      <c r="J269" s="18" t="inlineStr">
        <is>
          <t>低</t>
        </is>
      </c>
      <c r="K269" s="18">
        <f>IF(J269="高",0.33,IF(J269="中",0.67,IF(J269="低",1,"")))</f>
        <v/>
      </c>
      <c r="L269" s="18" t="inlineStr">
        <is>
          <t>新增</t>
        </is>
      </c>
      <c r="M269" s="18">
        <f>IF(L269="新增",1,IF(L269="修改",0.8,IF(L269="删除",0.2,"")))</f>
        <v/>
      </c>
      <c r="N269" s="18">
        <f>I269*K269*M269</f>
        <v/>
      </c>
    </row>
    <row r="270" ht="19" customHeight="1" s="1">
      <c r="B270" s="16" t="n">
        <v>265</v>
      </c>
      <c r="C270" s="16" t="inlineStr">
        <is>
          <t>多协议高频时序数据实时采集与异构设备统一接入服务</t>
        </is>
      </c>
      <c r="D270" s="16" t="inlineStr">
        <is>
          <t>A11协同保障</t>
        </is>
      </c>
      <c r="E270" s="16" t="inlineStr">
        <is>
          <t>ID与时序</t>
        </is>
      </c>
      <c r="F270" s="16" t="inlineStr">
        <is>
          <t>ID统计</t>
        </is>
      </c>
      <c r="G270" s="17" t="inlineStr">
        <is>
          <t xml:space="preserve"> 提供会话ID使用率和分配统计服务</t>
        </is>
      </c>
      <c r="H270" s="18" t="inlineStr">
        <is>
          <t>EI</t>
        </is>
      </c>
      <c r="I270" s="18">
        <f>IF(H270="ILF",10,IF(H270="EIF",7,IF(H270="EI",4,IF(H270="EO",5,IF(H270="EQ",4,"")))))</f>
        <v/>
      </c>
      <c r="J270" s="18" t="inlineStr">
        <is>
          <t>低</t>
        </is>
      </c>
      <c r="K270" s="18">
        <f>IF(J270="高",0.33,IF(J270="中",0.67,IF(J270="低",1,"")))</f>
        <v/>
      </c>
      <c r="L270" s="18" t="inlineStr">
        <is>
          <t>新增</t>
        </is>
      </c>
      <c r="M270" s="18">
        <f>IF(L270="新增",1,IF(L270="修改",0.8,IF(L270="删除",0.2,"")))</f>
        <v/>
      </c>
      <c r="N270" s="18">
        <f>I270*K270*M270</f>
        <v/>
      </c>
    </row>
    <row r="271" ht="19" customHeight="1" s="1">
      <c r="B271" s="16" t="n">
        <v>266</v>
      </c>
      <c r="C271" s="16" t="inlineStr">
        <is>
          <t>多协议高频时序数据实时采集与异构设备统一接入服务</t>
        </is>
      </c>
      <c r="D271" s="16" t="inlineStr">
        <is>
          <t>A11协同保障</t>
        </is>
      </c>
      <c r="E271" s="16" t="inlineStr">
        <is>
          <t>ID与时序</t>
        </is>
      </c>
      <c r="F271" s="16" t="inlineStr">
        <is>
          <t>串行队列</t>
        </is>
      </c>
      <c r="G271" s="17" t="inlineStr">
        <is>
          <t xml:space="preserve"> 提供按时间戳排序的串行化输出队列保障指令时序</t>
        </is>
      </c>
      <c r="H271" s="18" t="inlineStr">
        <is>
          <t>EI</t>
        </is>
      </c>
      <c r="I271" s="18">
        <f>IF(H271="ILF",10,IF(H271="EIF",7,IF(H271="EI",4,IF(H271="EO",5,IF(H271="EQ",4,"")))))</f>
        <v/>
      </c>
      <c r="J271" s="18" t="inlineStr">
        <is>
          <t>低</t>
        </is>
      </c>
      <c r="K271" s="18">
        <f>IF(J271="高",0.33,IF(J271="中",0.67,IF(J271="低",1,"")))</f>
        <v/>
      </c>
      <c r="L271" s="18" t="inlineStr">
        <is>
          <t>新增</t>
        </is>
      </c>
      <c r="M271" s="18">
        <f>IF(L271="新增",1,IF(L271="修改",0.8,IF(L271="删除",0.2,"")))</f>
        <v/>
      </c>
      <c r="N271" s="18">
        <f>I271*K271*M271</f>
        <v/>
      </c>
    </row>
    <row r="272" ht="19" customHeight="1" s="1">
      <c r="B272" s="16" t="n">
        <v>267</v>
      </c>
      <c r="C272" s="16" t="inlineStr">
        <is>
          <t>多协议高频时序数据实时采集与异构设备统一接入服务</t>
        </is>
      </c>
      <c r="D272" s="16" t="inlineStr">
        <is>
          <t>A11协同保障</t>
        </is>
      </c>
      <c r="E272" s="16" t="inlineStr">
        <is>
          <t>ID与时序</t>
        </is>
      </c>
      <c r="F272" s="16" t="inlineStr">
        <is>
          <t>请求日志</t>
        </is>
      </c>
      <c r="G272" s="17" t="inlineStr">
        <is>
          <t xml:space="preserve"> 提供源会话ID/时间戳/报文内容记录服务</t>
        </is>
      </c>
      <c r="H272" s="18" t="inlineStr">
        <is>
          <t>EI</t>
        </is>
      </c>
      <c r="I272" s="18">
        <f>IF(H272="ILF",10,IF(H272="EIF",7,IF(H272="EI",4,IF(H272="EO",5,IF(H272="EQ",4,"")))))</f>
        <v/>
      </c>
      <c r="J272" s="18" t="inlineStr">
        <is>
          <t>低</t>
        </is>
      </c>
      <c r="K272" s="18">
        <f>IF(J272="高",0.33,IF(J272="中",0.67,IF(J272="低",1,"")))</f>
        <v/>
      </c>
      <c r="L272" s="18" t="inlineStr">
        <is>
          <t>新增</t>
        </is>
      </c>
      <c r="M272" s="18">
        <f>IF(L272="新增",1,IF(L272="修改",0.8,IF(L272="删除",0.2,"")))</f>
        <v/>
      </c>
      <c r="N272" s="18">
        <f>I272*K272*M272</f>
        <v/>
      </c>
    </row>
    <row r="273" ht="19" customHeight="1" s="1">
      <c r="B273" s="16" t="n">
        <v>268</v>
      </c>
      <c r="C273" s="16" t="inlineStr">
        <is>
          <t>多协议高频时序数据实时采集与异构设备统一接入服务</t>
        </is>
      </c>
      <c r="D273" s="16" t="inlineStr">
        <is>
          <t>A11协同保障</t>
        </is>
      </c>
      <c r="E273" s="16" t="inlineStr">
        <is>
          <t>ID与时序</t>
        </is>
      </c>
      <c r="F273" s="16" t="inlineStr">
        <is>
          <t>归属识别</t>
        </is>
      </c>
      <c r="G273" s="17" t="inlineStr">
        <is>
          <t xml:space="preserve"> 提供代理根据请求ID识别应答归属转发服务</t>
        </is>
      </c>
      <c r="H273" s="18" t="inlineStr">
        <is>
          <t>EI</t>
        </is>
      </c>
      <c r="I273" s="18">
        <f>IF(H273="ILF",10,IF(H273="EIF",7,IF(H273="EI",4,IF(H273="EO",5,IF(H273="EQ",4,"")))))</f>
        <v/>
      </c>
      <c r="J273" s="18" t="inlineStr">
        <is>
          <t>中</t>
        </is>
      </c>
      <c r="K273" s="18">
        <f>IF(J273="高",0.33,IF(J273="中",0.67,IF(J273="低",1,"")))</f>
        <v/>
      </c>
      <c r="L273" s="18" t="inlineStr">
        <is>
          <t>新增</t>
        </is>
      </c>
      <c r="M273" s="18">
        <f>IF(L273="新增",1,IF(L273="修改",0.8,IF(L273="删除",0.2,"")))</f>
        <v/>
      </c>
      <c r="N273" s="18">
        <f>I273*K273*M273</f>
        <v/>
      </c>
    </row>
    <row r="274" ht="19" customHeight="1" s="1">
      <c r="B274" s="16" t="n">
        <v>269</v>
      </c>
      <c r="C274" s="16" t="inlineStr">
        <is>
          <t>多协议高频时序数据实时采集与异构设备统一接入服务</t>
        </is>
      </c>
      <c r="D274" s="16" t="inlineStr">
        <is>
          <t>A11协同保障</t>
        </is>
      </c>
      <c r="E274" s="16" t="inlineStr">
        <is>
          <t>ID与时序</t>
        </is>
      </c>
      <c r="F274" s="16" t="inlineStr">
        <is>
          <t>优先级保障</t>
        </is>
      </c>
      <c r="G274" s="17" t="inlineStr">
        <is>
          <t xml:space="preserve"> 提供A11指令最高优先级调度服务</t>
        </is>
      </c>
      <c r="H274" s="18" t="inlineStr">
        <is>
          <t>EI</t>
        </is>
      </c>
      <c r="I274" s="18">
        <f>IF(H274="ILF",10,IF(H274="EIF",7,IF(H274="EI",4,IF(H274="EO",5,IF(H274="EQ",4,"")))))</f>
        <v/>
      </c>
      <c r="J274" s="18" t="inlineStr">
        <is>
          <t>中</t>
        </is>
      </c>
      <c r="K274" s="18">
        <f>IF(J274="高",0.33,IF(J274="中",0.67,IF(J274="低",1,"")))</f>
        <v/>
      </c>
      <c r="L274" s="18" t="inlineStr">
        <is>
          <t>新增</t>
        </is>
      </c>
      <c r="M274" s="18">
        <f>IF(L274="新增",1,IF(L274="修改",0.8,IF(L274="删除",0.2,"")))</f>
        <v/>
      </c>
      <c r="N274" s="18">
        <f>I274*K274*M274</f>
        <v/>
      </c>
    </row>
    <row r="275" ht="19" customHeight="1" s="1">
      <c r="B275" s="16" t="n">
        <v>270</v>
      </c>
      <c r="C275" s="16" t="inlineStr">
        <is>
          <t>多协议高频时序数据实时采集与异构设备统一接入服务</t>
        </is>
      </c>
      <c r="D275" s="16" t="inlineStr">
        <is>
          <t>固定IP设备接入</t>
        </is>
      </c>
      <c r="E275" s="16" t="inlineStr">
        <is>
          <t>协议解析</t>
        </is>
      </c>
      <c r="F275" s="16" t="inlineStr">
        <is>
          <t>16位整数</t>
        </is>
      </c>
      <c r="G275" s="17" t="inlineStr">
        <is>
          <t xml:space="preserve"> 提供16位有符号/无符号整数解析服务</t>
        </is>
      </c>
      <c r="H275" s="18" t="inlineStr">
        <is>
          <t>EI</t>
        </is>
      </c>
      <c r="I275" s="18">
        <f>IF(H275="ILF",10,IF(H275="EIF",7,IF(H275="EI",4,IF(H275="EO",5,IF(H275="EQ",4,"")))))</f>
        <v/>
      </c>
      <c r="J275" s="18" t="inlineStr">
        <is>
          <t>中</t>
        </is>
      </c>
      <c r="K275" s="18">
        <f>IF(J275="高",0.33,IF(J275="中",0.67,IF(J275="低",1,"")))</f>
        <v/>
      </c>
      <c r="L275" s="18" t="inlineStr">
        <is>
          <t>新增</t>
        </is>
      </c>
      <c r="M275" s="18">
        <f>IF(L275="新增",1,IF(L275="修改",0.8,IF(L275="删除",0.2,"")))</f>
        <v/>
      </c>
      <c r="N275" s="18">
        <f>I275*K275*M275</f>
        <v/>
      </c>
    </row>
    <row r="276" ht="19" customHeight="1" s="1">
      <c r="B276" s="16" t="n">
        <v>271</v>
      </c>
      <c r="C276" s="16" t="inlineStr">
        <is>
          <t>多协议高频时序数据实时采集与异构设备统一接入服务</t>
        </is>
      </c>
      <c r="D276" s="16" t="inlineStr">
        <is>
          <t>固定IP设备接入</t>
        </is>
      </c>
      <c r="E276" s="16" t="inlineStr">
        <is>
          <t>协议解析</t>
        </is>
      </c>
      <c r="F276" s="16" t="inlineStr">
        <is>
          <t>32位整数</t>
        </is>
      </c>
      <c r="G276" s="17" t="inlineStr">
        <is>
          <t xml:space="preserve"> 提供32位有符号/无符号整数解析服务</t>
        </is>
      </c>
      <c r="H276" s="18" t="inlineStr">
        <is>
          <t>EI</t>
        </is>
      </c>
      <c r="I276" s="18">
        <f>IF(H276="ILF",10,IF(H276="EIF",7,IF(H276="EI",4,IF(H276="EO",5,IF(H276="EQ",4,"")))))</f>
        <v/>
      </c>
      <c r="J276" s="18" t="inlineStr">
        <is>
          <t>中</t>
        </is>
      </c>
      <c r="K276" s="18">
        <f>IF(J276="高",0.33,IF(J276="中",0.67,IF(J276="低",1,"")))</f>
        <v/>
      </c>
      <c r="L276" s="18" t="inlineStr">
        <is>
          <t>新增</t>
        </is>
      </c>
      <c r="M276" s="18">
        <f>IF(L276="新增",1,IF(L276="修改",0.8,IF(L276="删除",0.2,"")))</f>
        <v/>
      </c>
      <c r="N276" s="18">
        <f>I276*K276*M276</f>
        <v/>
      </c>
    </row>
    <row r="277" ht="19" customHeight="1" s="1">
      <c r="B277" s="16" t="n">
        <v>272</v>
      </c>
      <c r="C277" s="16" t="inlineStr">
        <is>
          <t>多协议高频时序数据实时采集与异构设备统一接入服务</t>
        </is>
      </c>
      <c r="D277" s="16" t="inlineStr">
        <is>
          <t>固定IP设备接入</t>
        </is>
      </c>
      <c r="E277" s="16" t="inlineStr">
        <is>
          <t>协议解析</t>
        </is>
      </c>
      <c r="F277" s="16" t="inlineStr">
        <is>
          <t>浮点数解析</t>
        </is>
      </c>
      <c r="G277" s="17" t="inlineStr">
        <is>
          <t xml:space="preserve"> 提供32位IEEE754浮点数解析服务</t>
        </is>
      </c>
      <c r="H277" s="18" t="inlineStr">
        <is>
          <t>EI</t>
        </is>
      </c>
      <c r="I277" s="18">
        <f>IF(H277="ILF",10,IF(H277="EIF",7,IF(H277="EI",4,IF(H277="EO",5,IF(H277="EQ",4,"")))))</f>
        <v/>
      </c>
      <c r="J277" s="18" t="inlineStr">
        <is>
          <t>中</t>
        </is>
      </c>
      <c r="K277" s="18">
        <f>IF(J277="高",0.33,IF(J277="中",0.67,IF(J277="低",1,"")))</f>
        <v/>
      </c>
      <c r="L277" s="18" t="inlineStr">
        <is>
          <t>新增</t>
        </is>
      </c>
      <c r="M277" s="18">
        <f>IF(L277="新增",1,IF(L277="修改",0.8,IF(L277="删除",0.2,"")))</f>
        <v/>
      </c>
      <c r="N277" s="18">
        <f>I277*K277*M277</f>
        <v/>
      </c>
    </row>
    <row r="278" ht="19" customHeight="1" s="1">
      <c r="B278" s="16" t="n">
        <v>273</v>
      </c>
      <c r="C278" s="16" t="inlineStr">
        <is>
          <t>多协议高频时序数据实时采集与异构设备统一接入服务</t>
        </is>
      </c>
      <c r="D278" s="16" t="inlineStr">
        <is>
          <t>固定IP设备接入</t>
        </is>
      </c>
      <c r="E278" s="16" t="inlineStr">
        <is>
          <t>协议解析</t>
        </is>
      </c>
      <c r="F278" s="16" t="inlineStr">
        <is>
          <t>批量读取</t>
        </is>
      </c>
      <c r="G278" s="17" t="inlineStr">
        <is>
          <t xml:space="preserve"> 提供批量读取125个寄存器的数据采集服务</t>
        </is>
      </c>
      <c r="H278" s="18" t="inlineStr">
        <is>
          <t>EI</t>
        </is>
      </c>
      <c r="I278" s="18">
        <f>IF(H278="ILF",10,IF(H278="EIF",7,IF(H278="EI",4,IF(H278="EO",5,IF(H278="EQ",4,"")))))</f>
        <v/>
      </c>
      <c r="J278" s="18" t="inlineStr">
        <is>
          <t>中</t>
        </is>
      </c>
      <c r="K278" s="18">
        <f>IF(J278="高",0.33,IF(J278="中",0.67,IF(J278="低",1,"")))</f>
        <v/>
      </c>
      <c r="L278" s="18" t="inlineStr">
        <is>
          <t>新增</t>
        </is>
      </c>
      <c r="M278" s="18">
        <f>IF(L278="新增",1,IF(L278="修改",0.8,IF(L278="删除",0.2,"")))</f>
        <v/>
      </c>
      <c r="N278" s="18">
        <f>I278*K278*M278</f>
        <v/>
      </c>
    </row>
    <row r="279" ht="19" customHeight="1" s="1">
      <c r="B279" s="16" t="n">
        <v>274</v>
      </c>
      <c r="C279" s="16" t="inlineStr">
        <is>
          <t>多协议高频时序数据实时采集与异构设备统一接入服务</t>
        </is>
      </c>
      <c r="D279" s="16" t="inlineStr">
        <is>
          <t>固定IP设备接入</t>
        </is>
      </c>
      <c r="E279" s="16" t="inlineStr">
        <is>
          <t>协议解析</t>
        </is>
      </c>
      <c r="F279" s="16" t="inlineStr">
        <is>
          <t>服务码3</t>
        </is>
      </c>
      <c r="G279" s="17" t="inlineStr">
        <is>
          <t xml:space="preserve"> 提供Modbus服务码3读取保持寄存器服务</t>
        </is>
      </c>
      <c r="H279" s="18" t="inlineStr">
        <is>
          <t>EI</t>
        </is>
      </c>
      <c r="I279" s="18">
        <f>IF(H279="ILF",10,IF(H279="EIF",7,IF(H279="EI",4,IF(H279="EO",5,IF(H279="EQ",4,"")))))</f>
        <v/>
      </c>
      <c r="J279" s="18" t="inlineStr">
        <is>
          <t>中</t>
        </is>
      </c>
      <c r="K279" s="18">
        <f>IF(J279="高",0.33,IF(J279="中",0.67,IF(J279="低",1,"")))</f>
        <v/>
      </c>
      <c r="L279" s="18" t="inlineStr">
        <is>
          <t>新增</t>
        </is>
      </c>
      <c r="M279" s="18">
        <f>IF(L279="新增",1,IF(L279="修改",0.8,IF(L279="删除",0.2,"")))</f>
        <v/>
      </c>
      <c r="N279" s="18">
        <f>I279*K279*M279</f>
        <v/>
      </c>
    </row>
    <row r="280" ht="19" customHeight="1" s="1">
      <c r="B280" s="16" t="n">
        <v>275</v>
      </c>
      <c r="C280" s="16" t="inlineStr">
        <is>
          <t>多协议高频时序数据实时采集与异构设备统一接入服务</t>
        </is>
      </c>
      <c r="D280" s="16" t="inlineStr">
        <is>
          <t>固定IP设备接入</t>
        </is>
      </c>
      <c r="E280" s="16" t="inlineStr">
        <is>
          <t>协议解析</t>
        </is>
      </c>
      <c r="F280" s="16" t="inlineStr">
        <is>
          <t>服务码4</t>
        </is>
      </c>
      <c r="G280" s="17" t="inlineStr">
        <is>
          <t xml:space="preserve"> 提供Modbus服务码4读取输入寄存器服务</t>
        </is>
      </c>
      <c r="H280" s="18" t="inlineStr">
        <is>
          <t>EI</t>
        </is>
      </c>
      <c r="I280" s="18">
        <f>IF(H280="ILF",10,IF(H280="EIF",7,IF(H280="EI",4,IF(H280="EO",5,IF(H280="EQ",4,"")))))</f>
        <v/>
      </c>
      <c r="J280" s="18" t="inlineStr">
        <is>
          <t>中</t>
        </is>
      </c>
      <c r="K280" s="18">
        <f>IF(J280="高",0.33,IF(J280="中",0.67,IF(J280="低",1,"")))</f>
        <v/>
      </c>
      <c r="L280" s="18" t="inlineStr">
        <is>
          <t>新增</t>
        </is>
      </c>
      <c r="M280" s="18">
        <f>IF(L280="新增",1,IF(L280="修改",0.8,IF(L280="删除",0.2,"")))</f>
        <v/>
      </c>
      <c r="N280" s="18">
        <f>I280*K280*M280</f>
        <v/>
      </c>
    </row>
    <row r="281" ht="19" customHeight="1" s="1">
      <c r="B281" s="16" t="n">
        <v>276</v>
      </c>
      <c r="C281" s="16" t="inlineStr">
        <is>
          <t>多协议高频时序数据实时采集与异构设备统一接入服务</t>
        </is>
      </c>
      <c r="D281" s="16" t="inlineStr">
        <is>
          <t>固定IP设备接入</t>
        </is>
      </c>
      <c r="E281" s="16" t="inlineStr">
        <is>
          <t>协议解析</t>
        </is>
      </c>
      <c r="F281" s="16" t="inlineStr">
        <is>
          <t>OPC DA读取</t>
        </is>
      </c>
      <c r="G281" s="17" t="inlineStr">
        <is>
          <t xml:space="preserve"> 提供Windows Agent读取OPC DA数据服务</t>
        </is>
      </c>
      <c r="H281" s="18" t="inlineStr">
        <is>
          <t>EI</t>
        </is>
      </c>
      <c r="I281" s="18">
        <f>IF(H281="ILF",10,IF(H281="EIF",7,IF(H281="EI",4,IF(H281="EO",5,IF(H281="EQ",4,"")))))</f>
        <v/>
      </c>
      <c r="J281" s="18" t="inlineStr">
        <is>
          <t>中</t>
        </is>
      </c>
      <c r="K281" s="18">
        <f>IF(J281="高",0.33,IF(J281="中",0.67,IF(J281="低",1,"")))</f>
        <v/>
      </c>
      <c r="L281" s="18" t="inlineStr">
        <is>
          <t>新增</t>
        </is>
      </c>
      <c r="M281" s="18">
        <f>IF(L281="新增",1,IF(L281="修改",0.8,IF(L281="删除",0.2,"")))</f>
        <v/>
      </c>
      <c r="N281" s="18">
        <f>I281*K281*M281</f>
        <v/>
      </c>
    </row>
    <row r="282" ht="19" customHeight="1" s="1">
      <c r="B282" s="16" t="n">
        <v>277</v>
      </c>
      <c r="C282" s="16" t="inlineStr">
        <is>
          <t>多协议高频时序数据实时采集与异构设备统一接入服务</t>
        </is>
      </c>
      <c r="D282" s="16" t="inlineStr">
        <is>
          <t>固定IP设备接入</t>
        </is>
      </c>
      <c r="E282" s="16" t="inlineStr">
        <is>
          <t>协议解析</t>
        </is>
      </c>
      <c r="F282" s="16" t="inlineStr">
        <is>
          <t>OPC UA订阅</t>
        </is>
      </c>
      <c r="G282" s="17" t="inlineStr">
        <is>
          <t xml:space="preserve"> 提供OPC UA跨平台节点订阅和数据采集服务</t>
        </is>
      </c>
      <c r="H282" s="18" t="inlineStr">
        <is>
          <t>EI</t>
        </is>
      </c>
      <c r="I282" s="18">
        <f>IF(H282="ILF",10,IF(H282="EIF",7,IF(H282="EI",4,IF(H282="EO",5,IF(H282="EQ",4,"")))))</f>
        <v/>
      </c>
      <c r="J282" s="18" t="inlineStr">
        <is>
          <t>中</t>
        </is>
      </c>
      <c r="K282" s="18">
        <f>IF(J282="高",0.33,IF(J282="中",0.67,IF(J282="低",1,"")))</f>
        <v/>
      </c>
      <c r="L282" s="18" t="inlineStr">
        <is>
          <t>新增</t>
        </is>
      </c>
      <c r="M282" s="18">
        <f>IF(L282="新增",1,IF(L282="修改",0.8,IF(L282="删除",0.2,"")))</f>
        <v/>
      </c>
      <c r="N282" s="18">
        <f>I282*K282*M282</f>
        <v/>
      </c>
    </row>
    <row r="283" ht="19" customHeight="1" s="1">
      <c r="B283" s="16" t="n">
        <v>278</v>
      </c>
      <c r="C283" s="16" t="inlineStr">
        <is>
          <t>多协议高频时序数据实时采集与异构设备统一接入服务</t>
        </is>
      </c>
      <c r="D283" s="16" t="inlineStr">
        <is>
          <t>固定IP设备接入</t>
        </is>
      </c>
      <c r="E283" s="16" t="inlineStr">
        <is>
          <t>协议解析</t>
        </is>
      </c>
      <c r="F283" s="16" t="inlineStr">
        <is>
          <t>MQTT订阅</t>
        </is>
      </c>
      <c r="G283" s="17" t="inlineStr">
        <is>
          <t xml:space="preserve"> 提供MQTT协议数据订阅和消息处理服务</t>
        </is>
      </c>
      <c r="H283" s="18" t="inlineStr">
        <is>
          <t>EI</t>
        </is>
      </c>
      <c r="I283" s="18">
        <f>IF(H283="ILF",10,IF(H283="EIF",7,IF(H283="EI",4,IF(H283="EO",5,IF(H283="EQ",4,"")))))</f>
        <v/>
      </c>
      <c r="J283" s="18" t="inlineStr">
        <is>
          <t>中</t>
        </is>
      </c>
      <c r="K283" s="18">
        <f>IF(J283="高",0.33,IF(J283="中",0.67,IF(J283="低",1,"")))</f>
        <v/>
      </c>
      <c r="L283" s="18" t="inlineStr">
        <is>
          <t>新增</t>
        </is>
      </c>
      <c r="M283" s="18">
        <f>IF(L283="新增",1,IF(L283="修改",0.8,IF(L283="删除",0.2,"")))</f>
        <v/>
      </c>
      <c r="N283" s="18">
        <f>I283*K283*M283</f>
        <v/>
      </c>
    </row>
    <row r="284" ht="19" customHeight="1" s="1">
      <c r="B284" s="16" t="n">
        <v>279</v>
      </c>
      <c r="C284" s="16" t="inlineStr">
        <is>
          <t>多协议高频时序数据实时采集与异构设备统一接入服务</t>
        </is>
      </c>
      <c r="D284" s="16" t="inlineStr">
        <is>
          <t>固定IP设备接入</t>
        </is>
      </c>
      <c r="E284" s="16" t="inlineStr">
        <is>
          <t>协议解析</t>
        </is>
      </c>
      <c r="F284" s="16" t="inlineStr">
        <is>
          <t>自定义协议</t>
        </is>
      </c>
      <c r="G284" s="17" t="inlineStr">
        <is>
          <t xml:space="preserve"> 提供新型设备自定义协议适配≤3天/类服务</t>
        </is>
      </c>
      <c r="H284" s="18" t="inlineStr">
        <is>
          <t>EI</t>
        </is>
      </c>
      <c r="I284" s="18">
        <f>IF(H284="ILF",10,IF(H284="EIF",7,IF(H284="EI",4,IF(H284="EO",5,IF(H284="EQ",4,"")))))</f>
        <v/>
      </c>
      <c r="J284" s="18" t="inlineStr">
        <is>
          <t>中</t>
        </is>
      </c>
      <c r="K284" s="18">
        <f>IF(J284="高",0.33,IF(J284="中",0.67,IF(J284="低",1,"")))</f>
        <v/>
      </c>
      <c r="L284" s="18" t="inlineStr">
        <is>
          <t>新增</t>
        </is>
      </c>
      <c r="M284" s="18">
        <f>IF(L284="新增",1,IF(L284="修改",0.8,IF(L284="删除",0.2,"")))</f>
        <v/>
      </c>
      <c r="N284" s="18">
        <f>I284*K284*M284</f>
        <v/>
      </c>
    </row>
    <row r="285" ht="19" customHeight="1" s="1">
      <c r="B285" s="16" t="n">
        <v>280</v>
      </c>
      <c r="C285" s="16" t="inlineStr">
        <is>
          <t>多协议高频时序数据实时采集与异构设备统一接入服务</t>
        </is>
      </c>
      <c r="D285" s="16" t="inlineStr">
        <is>
          <t>固定IP设备接入</t>
        </is>
      </c>
      <c r="E285" s="16" t="inlineStr">
        <is>
          <t>协议解析</t>
        </is>
      </c>
      <c r="F285" s="16" t="inlineStr">
        <is>
          <t>数据格式转换</t>
        </is>
      </c>
      <c r="G285" s="17" t="inlineStr">
        <is>
          <t xml:space="preserve"> 提供多协议数据统一转换为JSON服务</t>
        </is>
      </c>
      <c r="H285" s="18" t="inlineStr">
        <is>
          <t>EI</t>
        </is>
      </c>
      <c r="I285" s="18">
        <f>IF(H285="ILF",10,IF(H285="EIF",7,IF(H285="EI",4,IF(H285="EO",5,IF(H285="EQ",4,"")))))</f>
        <v/>
      </c>
      <c r="J285" s="18" t="inlineStr">
        <is>
          <t>中</t>
        </is>
      </c>
      <c r="K285" s="18">
        <f>IF(J285="高",0.33,IF(J285="中",0.67,IF(J285="低",1,"")))</f>
        <v/>
      </c>
      <c r="L285" s="18" t="inlineStr">
        <is>
          <t>新增</t>
        </is>
      </c>
      <c r="M285" s="18">
        <f>IF(L285="新增",1,IF(L285="修改",0.8,IF(L285="删除",0.2,"")))</f>
        <v/>
      </c>
      <c r="N285" s="18">
        <f>I285*K285*M285</f>
        <v/>
      </c>
    </row>
    <row r="286" ht="19" customHeight="1" s="1">
      <c r="B286" s="16" t="n">
        <v>281</v>
      </c>
      <c r="C286" s="16" t="inlineStr">
        <is>
          <t>多协议高频时序数据实时采集与异构设备统一接入服务</t>
        </is>
      </c>
      <c r="D286" s="16" t="inlineStr">
        <is>
          <t>固定IP设备接入</t>
        </is>
      </c>
      <c r="E286" s="16" t="inlineStr">
        <is>
          <t>协议解析</t>
        </is>
      </c>
      <c r="F286" s="16" t="inlineStr">
        <is>
          <t>异常报文</t>
        </is>
      </c>
      <c r="G286" s="17" t="inlineStr">
        <is>
          <t xml:space="preserve"> 提供异常报文的鉴别和容错处理服务</t>
        </is>
      </c>
      <c r="H286" s="18" t="inlineStr">
        <is>
          <t>EI</t>
        </is>
      </c>
      <c r="I286" s="18">
        <f>IF(H286="ILF",10,IF(H286="EIF",7,IF(H286="EI",4,IF(H286="EO",5,IF(H286="EQ",4,"")))))</f>
        <v/>
      </c>
      <c r="J286" s="18" t="inlineStr">
        <is>
          <t>中</t>
        </is>
      </c>
      <c r="K286" s="18">
        <f>IF(J286="高",0.33,IF(J286="中",0.67,IF(J286="低",1,"")))</f>
        <v/>
      </c>
      <c r="L286" s="18" t="inlineStr">
        <is>
          <t>新增</t>
        </is>
      </c>
      <c r="M286" s="18">
        <f>IF(L286="新增",1,IF(L286="修改",0.8,IF(L286="删除",0.2,"")))</f>
        <v/>
      </c>
      <c r="N286" s="18">
        <f>I286*K286*M286</f>
        <v/>
      </c>
    </row>
    <row r="287" ht="19" customHeight="1" s="1">
      <c r="B287" s="16" t="n">
        <v>282</v>
      </c>
      <c r="C287" s="16" t="inlineStr">
        <is>
          <t>多协议高频时序数据实时采集与异构设备统一接入服务</t>
        </is>
      </c>
      <c r="D287" s="16" t="inlineStr">
        <is>
          <t>固定IP设备接入</t>
        </is>
      </c>
      <c r="E287" s="16" t="inlineStr">
        <is>
          <t>协议解析</t>
        </is>
      </c>
      <c r="F287" s="16" t="inlineStr">
        <is>
          <t>版本兼容</t>
        </is>
      </c>
      <c r="G287" s="17" t="inlineStr">
        <is>
          <t xml:space="preserve"> 提供不同协议版本兼容处理服务</t>
        </is>
      </c>
      <c r="H287" s="18" t="inlineStr">
        <is>
          <t>EI</t>
        </is>
      </c>
      <c r="I287" s="18">
        <f>IF(H287="ILF",10,IF(H287="EIF",7,IF(H287="EI",4,IF(H287="EO",5,IF(H287="EQ",4,"")))))</f>
        <v/>
      </c>
      <c r="J287" s="18" t="inlineStr">
        <is>
          <t>中</t>
        </is>
      </c>
      <c r="K287" s="18">
        <f>IF(J287="高",0.33,IF(J287="中",0.67,IF(J287="低",1,"")))</f>
        <v/>
      </c>
      <c r="L287" s="18" t="inlineStr">
        <is>
          <t>新增</t>
        </is>
      </c>
      <c r="M287" s="18">
        <f>IF(L287="新增",1,IF(L287="修改",0.8,IF(L287="删除",0.2,"")))</f>
        <v/>
      </c>
      <c r="N287" s="18">
        <f>I287*K287*M287</f>
        <v/>
      </c>
    </row>
    <row r="288" ht="19" customHeight="1" s="1">
      <c r="B288" s="16" t="n">
        <v>283</v>
      </c>
      <c r="C288" s="16" t="inlineStr">
        <is>
          <t>多协议高频时序数据实时采集与异构设备统一接入服务</t>
        </is>
      </c>
      <c r="D288" s="16" t="inlineStr">
        <is>
          <t>高频采集调度</t>
        </is>
      </c>
      <c r="E288" s="16" t="inlineStr">
        <is>
          <t>采集策略</t>
        </is>
      </c>
      <c r="F288" s="16" t="inlineStr">
        <is>
          <t>类型差异化</t>
        </is>
      </c>
      <c r="G288" s="17" t="inlineStr">
        <is>
          <t xml:space="preserve"> 提供按抽油机/电泵井/注入井差异化配置服务</t>
        </is>
      </c>
      <c r="H288" s="18" t="inlineStr">
        <is>
          <t>EI</t>
        </is>
      </c>
      <c r="I288" s="18">
        <f>IF(H288="ILF",10,IF(H288="EIF",7,IF(H288="EI",4,IF(H288="EO",5,IF(H288="EQ",4,"")))))</f>
        <v/>
      </c>
      <c r="J288" s="18" t="inlineStr">
        <is>
          <t>中</t>
        </is>
      </c>
      <c r="K288" s="18">
        <f>IF(J288="高",0.33,IF(J288="中",0.67,IF(J288="低",1,"")))</f>
        <v/>
      </c>
      <c r="L288" s="18" t="inlineStr">
        <is>
          <t>新增</t>
        </is>
      </c>
      <c r="M288" s="18">
        <f>IF(L288="新增",1,IF(L288="修改",0.8,IF(L288="删除",0.2,"")))</f>
        <v/>
      </c>
      <c r="N288" s="18">
        <f>I288*K288*M288</f>
        <v/>
      </c>
    </row>
    <row r="289" ht="19" customHeight="1" s="1">
      <c r="B289" s="16" t="n">
        <v>284</v>
      </c>
      <c r="C289" s="16" t="inlineStr">
        <is>
          <t>多协议高频时序数据实时采集与异构设备统一接入服务</t>
        </is>
      </c>
      <c r="D289" s="16" t="inlineStr">
        <is>
          <t>高频采集调度</t>
        </is>
      </c>
      <c r="E289" s="16" t="inlineStr">
        <is>
          <t>采集策略</t>
        </is>
      </c>
      <c r="F289" s="16" t="inlineStr">
        <is>
          <t>状态自适应</t>
        </is>
      </c>
      <c r="G289" s="17" t="inlineStr">
        <is>
          <t xml:space="preserve"> 提供停机降频/复产恢复等状态调整采集频率服务</t>
        </is>
      </c>
      <c r="H289" s="18" t="inlineStr">
        <is>
          <t>EI</t>
        </is>
      </c>
      <c r="I289" s="18">
        <f>IF(H289="ILF",10,IF(H289="EIF",7,IF(H289="EI",4,IF(H289="EO",5,IF(H289="EQ",4,"")))))</f>
        <v/>
      </c>
      <c r="J289" s="18" t="inlineStr">
        <is>
          <t>中</t>
        </is>
      </c>
      <c r="K289" s="18">
        <f>IF(J289="高",0.33,IF(J289="中",0.67,IF(J289="低",1,"")))</f>
        <v/>
      </c>
      <c r="L289" s="18" t="inlineStr">
        <is>
          <t>新增</t>
        </is>
      </c>
      <c r="M289" s="18">
        <f>IF(L289="新增",1,IF(L289="修改",0.8,IF(L289="删除",0.2,"")))</f>
        <v/>
      </c>
      <c r="N289" s="18">
        <f>I289*K289*M289</f>
        <v/>
      </c>
    </row>
    <row r="290" ht="19" customHeight="1" s="1">
      <c r="B290" s="16" t="n">
        <v>285</v>
      </c>
      <c r="C290" s="16" t="inlineStr">
        <is>
          <t>多协议高频时序数据实时采集与异构设备统一接入服务</t>
        </is>
      </c>
      <c r="D290" s="16" t="inlineStr">
        <is>
          <t>高频采集调度</t>
        </is>
      </c>
      <c r="E290" s="16" t="inlineStr">
        <is>
          <t>采集策略</t>
        </is>
      </c>
      <c r="F290" s="16" t="inlineStr">
        <is>
          <t>时段差异化</t>
        </is>
      </c>
      <c r="G290" s="17" t="inlineStr">
        <is>
          <t xml:space="preserve"> 提供白天加密/夜间降频的时段差异化采集服务</t>
        </is>
      </c>
      <c r="H290" s="18" t="inlineStr">
        <is>
          <t>EI</t>
        </is>
      </c>
      <c r="I290" s="18">
        <f>IF(H290="ILF",10,IF(H290="EIF",7,IF(H290="EI",4,IF(H290="EO",5,IF(H290="EQ",4,"")))))</f>
        <v/>
      </c>
      <c r="J290" s="18" t="inlineStr">
        <is>
          <t>中</t>
        </is>
      </c>
      <c r="K290" s="18">
        <f>IF(J290="高",0.33,IF(J290="中",0.67,IF(J290="低",1,"")))</f>
        <v/>
      </c>
      <c r="L290" s="18" t="inlineStr">
        <is>
          <t>新增</t>
        </is>
      </c>
      <c r="M290" s="18">
        <f>IF(L290="新增",1,IF(L290="修改",0.8,IF(L290="删除",0.2,"")))</f>
        <v/>
      </c>
      <c r="N290" s="18">
        <f>I290*K290*M290</f>
        <v/>
      </c>
    </row>
    <row r="291" ht="19" customHeight="1" s="1">
      <c r="B291" s="16" t="n">
        <v>286</v>
      </c>
      <c r="C291" s="16" t="inlineStr">
        <is>
          <t>多协议高频时序数据实时采集与异构设备统一接入服务</t>
        </is>
      </c>
      <c r="D291" s="16" t="inlineStr">
        <is>
          <t>高频采集调度</t>
        </is>
      </c>
      <c r="E291" s="16" t="inlineStr">
        <is>
          <t>采集策略</t>
        </is>
      </c>
      <c r="F291" s="16" t="inlineStr">
        <is>
          <t>值变化触发</t>
        </is>
      </c>
      <c r="G291" s="17" t="inlineStr">
        <is>
          <t xml:space="preserve"> 提供参数变化超过0.5MPa触发即时采集服务</t>
        </is>
      </c>
      <c r="H291" s="18" t="inlineStr">
        <is>
          <t>EI</t>
        </is>
      </c>
      <c r="I291" s="18">
        <f>IF(H291="ILF",10,IF(H291="EIF",7,IF(H291="EI",4,IF(H291="EO",5,IF(H291="EQ",4,"")))))</f>
        <v/>
      </c>
      <c r="J291" s="18" t="inlineStr">
        <is>
          <t>中</t>
        </is>
      </c>
      <c r="K291" s="18">
        <f>IF(J291="高",0.33,IF(J291="中",0.67,IF(J291="低",1,"")))</f>
        <v/>
      </c>
      <c r="L291" s="18" t="inlineStr">
        <is>
          <t>新增</t>
        </is>
      </c>
      <c r="M291" s="18">
        <f>IF(L291="新增",1,IF(L291="修改",0.8,IF(L291="删除",0.2,"")))</f>
        <v/>
      </c>
      <c r="N291" s="18">
        <f>I291*K291*M291</f>
        <v/>
      </c>
    </row>
    <row r="292" ht="19" customHeight="1" s="1">
      <c r="B292" s="16" t="n">
        <v>287</v>
      </c>
      <c r="C292" s="16" t="inlineStr">
        <is>
          <t>多协议高频时序数据实时采集与异构设备统一接入服务</t>
        </is>
      </c>
      <c r="D292" s="16" t="inlineStr">
        <is>
          <t>高频采集调度</t>
        </is>
      </c>
      <c r="E292" s="16" t="inlineStr">
        <is>
          <t>采集策略</t>
        </is>
      </c>
      <c r="F292" s="16" t="inlineStr">
        <is>
          <t>网络自适应</t>
        </is>
      </c>
      <c r="G292" s="17" t="inlineStr">
        <is>
          <t xml:space="preserve"> 提供根据丢包率和延迟调整采集频率服务</t>
        </is>
      </c>
      <c r="H292" s="18" t="inlineStr">
        <is>
          <t>EI</t>
        </is>
      </c>
      <c r="I292" s="18">
        <f>IF(H292="ILF",10,IF(H292="EIF",7,IF(H292="EI",4,IF(H292="EO",5,IF(H292="EQ",4,"")))))</f>
        <v/>
      </c>
      <c r="J292" s="18" t="inlineStr">
        <is>
          <t>中</t>
        </is>
      </c>
      <c r="K292" s="18">
        <f>IF(J292="高",0.33,IF(J292="中",0.67,IF(J292="低",1,"")))</f>
        <v/>
      </c>
      <c r="L292" s="18" t="inlineStr">
        <is>
          <t>新增</t>
        </is>
      </c>
      <c r="M292" s="18">
        <f>IF(L292="新增",1,IF(L292="修改",0.8,IF(L292="删除",0.2,"")))</f>
        <v/>
      </c>
      <c r="N292" s="18">
        <f>I292*K292*M292</f>
        <v/>
      </c>
    </row>
    <row r="293" ht="19" customHeight="1" s="1">
      <c r="B293" s="16" t="n">
        <v>288</v>
      </c>
      <c r="C293" s="16" t="inlineStr">
        <is>
          <t>多协议高频时序数据实时采集与异构设备统一接入服务</t>
        </is>
      </c>
      <c r="D293" s="16" t="inlineStr">
        <is>
          <t>高频采集调度</t>
        </is>
      </c>
      <c r="E293" s="16" t="inlineStr">
        <is>
          <t>采集策略</t>
        </is>
      </c>
      <c r="F293" s="16" t="inlineStr">
        <is>
          <t>线程池</t>
        </is>
      </c>
      <c r="G293" s="17" t="inlineStr">
        <is>
          <t xml:space="preserve"> 提供线程池并发采集max_workers可配服务</t>
        </is>
      </c>
      <c r="H293" s="18" t="inlineStr">
        <is>
          <t>EI</t>
        </is>
      </c>
      <c r="I293" s="18">
        <f>IF(H293="ILF",10,IF(H293="EIF",7,IF(H293="EI",4,IF(H293="EO",5,IF(H293="EQ",4,"")))))</f>
        <v/>
      </c>
      <c r="J293" s="18" t="inlineStr">
        <is>
          <t>中</t>
        </is>
      </c>
      <c r="K293" s="18">
        <f>IF(J293="高",0.33,IF(J293="中",0.67,IF(J293="低",1,"")))</f>
        <v/>
      </c>
      <c r="L293" s="18" t="inlineStr">
        <is>
          <t>新增</t>
        </is>
      </c>
      <c r="M293" s="18">
        <f>IF(L293="新增",1,IF(L293="修改",0.8,IF(L293="删除",0.2,"")))</f>
        <v/>
      </c>
      <c r="N293" s="18">
        <f>I293*K293*M293</f>
        <v/>
      </c>
    </row>
    <row r="294" ht="19" customHeight="1" s="1">
      <c r="B294" s="16" t="n">
        <v>289</v>
      </c>
      <c r="C294" s="16" t="inlineStr">
        <is>
          <t>多协议高频时序数据实时采集与异构设备统一接入服务</t>
        </is>
      </c>
      <c r="D294" s="16" t="inlineStr">
        <is>
          <t>高频采集调度</t>
        </is>
      </c>
      <c r="E294" s="16" t="inlineStr">
        <is>
          <t>采集策略</t>
        </is>
      </c>
      <c r="F294" s="16" t="inlineStr">
        <is>
          <t>退避重试</t>
        </is>
      </c>
      <c r="G294" s="17" t="inlineStr">
        <is>
          <t xml:space="preserve"> 提供3次退避重试1s/5s/30s间隔服务</t>
        </is>
      </c>
      <c r="H294" s="18" t="inlineStr">
        <is>
          <t>EI</t>
        </is>
      </c>
      <c r="I294" s="18">
        <f>IF(H294="ILF",10,IF(H294="EIF",7,IF(H294="EI",4,IF(H294="EO",5,IF(H294="EQ",4,"")))))</f>
        <v/>
      </c>
      <c r="J294" s="18" t="inlineStr">
        <is>
          <t>中</t>
        </is>
      </c>
      <c r="K294" s="18">
        <f>IF(J294="高",0.33,IF(J294="中",0.67,IF(J294="低",1,"")))</f>
        <v/>
      </c>
      <c r="L294" s="18" t="inlineStr">
        <is>
          <t>新增</t>
        </is>
      </c>
      <c r="M294" s="18">
        <f>IF(L294="新增",1,IF(L294="修改",0.8,IF(L294="删除",0.2,"")))</f>
        <v/>
      </c>
      <c r="N294" s="18">
        <f>I294*K294*M294</f>
        <v/>
      </c>
    </row>
    <row r="295" ht="19" customHeight="1" s="1">
      <c r="B295" s="16" t="n">
        <v>290</v>
      </c>
      <c r="C295" s="16" t="inlineStr">
        <is>
          <t>多协议高频时序数据实时采集与异构设备统一接入服务</t>
        </is>
      </c>
      <c r="D295" s="16" t="inlineStr">
        <is>
          <t>高频采集调度</t>
        </is>
      </c>
      <c r="E295" s="16" t="inlineStr">
        <is>
          <t>采集策略</t>
        </is>
      </c>
      <c r="F295" s="16" t="inlineStr">
        <is>
          <t>错峰调度</t>
        </is>
      </c>
      <c r="G295" s="17" t="inlineStr">
        <is>
          <t xml:space="preserve"> 提供同一网关下采集错峰避免广播风暴服务</t>
        </is>
      </c>
      <c r="H295" s="18" t="inlineStr">
        <is>
          <t>EI</t>
        </is>
      </c>
      <c r="I295" s="18">
        <f>IF(H295="ILF",10,IF(H295="EIF",7,IF(H295="EI",4,IF(H295="EO",5,IF(H295="EQ",4,"")))))</f>
        <v/>
      </c>
      <c r="J295" s="18" t="inlineStr">
        <is>
          <t>中</t>
        </is>
      </c>
      <c r="K295" s="18">
        <f>IF(J295="高",0.33,IF(J295="中",0.67,IF(J295="低",1,"")))</f>
        <v/>
      </c>
      <c r="L295" s="18" t="inlineStr">
        <is>
          <t>新增</t>
        </is>
      </c>
      <c r="M295" s="18">
        <f>IF(L295="新增",1,IF(L295="修改",0.8,IF(L295="删除",0.2,"")))</f>
        <v/>
      </c>
      <c r="N295" s="18">
        <f>I295*K295*M295</f>
        <v/>
      </c>
    </row>
    <row r="296" ht="19" customHeight="1" s="1">
      <c r="B296" s="16" t="n">
        <v>291</v>
      </c>
      <c r="C296" s="16" t="inlineStr">
        <is>
          <t>多协议高频时序数据实时采集与异构设备统一接入服务</t>
        </is>
      </c>
      <c r="D296" s="16" t="inlineStr">
        <is>
          <t>高频采集调度</t>
        </is>
      </c>
      <c r="E296" s="16" t="inlineStr">
        <is>
          <t>采集策略</t>
        </is>
      </c>
      <c r="F296" s="16" t="inlineStr">
        <is>
          <t>任务编排</t>
        </is>
      </c>
      <c r="G296" s="17" t="inlineStr">
        <is>
          <t xml:space="preserve"> 提供采集任务调度编排和优先级管理服务</t>
        </is>
      </c>
      <c r="H296" s="18" t="inlineStr">
        <is>
          <t>EI</t>
        </is>
      </c>
      <c r="I296" s="18">
        <f>IF(H296="ILF",10,IF(H296="EIF",7,IF(H296="EI",4,IF(H296="EO",5,IF(H296="EQ",4,"")))))</f>
        <v/>
      </c>
      <c r="J296" s="18" t="inlineStr">
        <is>
          <t>中</t>
        </is>
      </c>
      <c r="K296" s="18">
        <f>IF(J296="高",0.33,IF(J296="中",0.67,IF(J296="低",1,"")))</f>
        <v/>
      </c>
      <c r="L296" s="18" t="inlineStr">
        <is>
          <t>新增</t>
        </is>
      </c>
      <c r="M296" s="18">
        <f>IF(L296="新增",1,IF(L296="修改",0.8,IF(L296="删除",0.2,"")))</f>
        <v/>
      </c>
      <c r="N296" s="18">
        <f>I296*K296*M296</f>
        <v/>
      </c>
    </row>
    <row r="297" ht="19" customHeight="1" s="1">
      <c r="B297" s="16" t="n">
        <v>292</v>
      </c>
      <c r="C297" s="16" t="inlineStr">
        <is>
          <t>多协议高频时序数据实时采集与异构设备统一接入服务</t>
        </is>
      </c>
      <c r="D297" s="16" t="inlineStr">
        <is>
          <t>高频采集调度</t>
        </is>
      </c>
      <c r="E297" s="16" t="inlineStr">
        <is>
          <t>采集策略</t>
        </is>
      </c>
      <c r="F297" s="16" t="inlineStr">
        <is>
          <t>负载均衡</t>
        </is>
      </c>
      <c r="G297" s="17" t="inlineStr">
        <is>
          <t xml:space="preserve"> 提供多节点间采集任务负载均衡服务</t>
        </is>
      </c>
      <c r="H297" s="18" t="inlineStr">
        <is>
          <t>EI</t>
        </is>
      </c>
      <c r="I297" s="18">
        <f>IF(H297="ILF",10,IF(H297="EIF",7,IF(H297="EI",4,IF(H297="EO",5,IF(H297="EQ",4,"")))))</f>
        <v/>
      </c>
      <c r="J297" s="18" t="inlineStr">
        <is>
          <t>中</t>
        </is>
      </c>
      <c r="K297" s="18">
        <f>IF(J297="高",0.33,IF(J297="中",0.67,IF(J297="低",1,"")))</f>
        <v/>
      </c>
      <c r="L297" s="18" t="inlineStr">
        <is>
          <t>新增</t>
        </is>
      </c>
      <c r="M297" s="18">
        <f>IF(L297="新增",1,IF(L297="修改",0.8,IF(L297="删除",0.2,"")))</f>
        <v/>
      </c>
      <c r="N297" s="18">
        <f>I297*K297*M297</f>
        <v/>
      </c>
    </row>
    <row r="298" ht="19" customHeight="1" s="1">
      <c r="B298" s="16" t="n">
        <v>293</v>
      </c>
      <c r="C298" s="16" t="inlineStr">
        <is>
          <t>多协议高频时序数据实时采集与异构设备统一接入服务</t>
        </is>
      </c>
      <c r="D298" s="16" t="inlineStr">
        <is>
          <t>高频采集调度</t>
        </is>
      </c>
      <c r="E298" s="16" t="inlineStr">
        <is>
          <t>采集策略</t>
        </is>
      </c>
      <c r="F298" s="16" t="inlineStr">
        <is>
          <t>策略热加载</t>
        </is>
      </c>
      <c r="G298" s="17" t="inlineStr">
        <is>
          <t xml:space="preserve"> 提供采集策略变更后热加载生效服务</t>
        </is>
      </c>
      <c r="H298" s="18" t="inlineStr">
        <is>
          <t>EI</t>
        </is>
      </c>
      <c r="I298" s="18">
        <f>IF(H298="ILF",10,IF(H298="EIF",7,IF(H298="EI",4,IF(H298="EO",5,IF(H298="EQ",4,"")))))</f>
        <v/>
      </c>
      <c r="J298" s="18" t="inlineStr">
        <is>
          <t>中</t>
        </is>
      </c>
      <c r="K298" s="18">
        <f>IF(J298="高",0.33,IF(J298="中",0.67,IF(J298="低",1,"")))</f>
        <v/>
      </c>
      <c r="L298" s="18" t="inlineStr">
        <is>
          <t>新增</t>
        </is>
      </c>
      <c r="M298" s="18">
        <f>IF(L298="新增",1,IF(L298="修改",0.8,IF(L298="删除",0.2,"")))</f>
        <v/>
      </c>
      <c r="N298" s="18">
        <f>I298*K298*M298</f>
        <v/>
      </c>
    </row>
    <row r="299" ht="19" customHeight="1" s="1">
      <c r="B299" s="16" t="n">
        <v>294</v>
      </c>
      <c r="C299" s="16" t="inlineStr">
        <is>
          <t>多协议高频时序数据实时采集与异构设备统一接入服务</t>
        </is>
      </c>
      <c r="D299" s="16" t="inlineStr">
        <is>
          <t>高频采集调度</t>
        </is>
      </c>
      <c r="E299" s="16" t="inlineStr">
        <is>
          <t>采集策略</t>
        </is>
      </c>
      <c r="F299" s="16" t="inlineStr">
        <is>
          <t>策略版本</t>
        </is>
      </c>
      <c r="G299" s="17" t="inlineStr">
        <is>
          <t xml:space="preserve"> 提供采集策略版本历史追溯和回滚服务</t>
        </is>
      </c>
      <c r="H299" s="18" t="inlineStr">
        <is>
          <t>EI</t>
        </is>
      </c>
      <c r="I299" s="18">
        <f>IF(H299="ILF",10,IF(H299="EIF",7,IF(H299="EI",4,IF(H299="EO",5,IF(H299="EQ",4,"")))))</f>
        <v/>
      </c>
      <c r="J299" s="18" t="inlineStr">
        <is>
          <t>中</t>
        </is>
      </c>
      <c r="K299" s="18">
        <f>IF(J299="高",0.33,IF(J299="中",0.67,IF(J299="低",1,"")))</f>
        <v/>
      </c>
      <c r="L299" s="18" t="inlineStr">
        <is>
          <t>新增</t>
        </is>
      </c>
      <c r="M299" s="18">
        <f>IF(L299="新增",1,IF(L299="修改",0.8,IF(L299="删除",0.2,"")))</f>
        <v/>
      </c>
      <c r="N299" s="18">
        <f>I299*K299*M299</f>
        <v/>
      </c>
    </row>
    <row r="300" ht="19" customHeight="1" s="1">
      <c r="B300" s="16" t="n">
        <v>295</v>
      </c>
      <c r="C300" s="16" t="inlineStr">
        <is>
          <t>多协议高频时序数据实时采集与异构设备统一接入服务</t>
        </is>
      </c>
      <c r="D300" s="16" t="inlineStr">
        <is>
          <t>高频采集调度</t>
        </is>
      </c>
      <c r="E300" s="16" t="inlineStr">
        <is>
          <t>弱网优化</t>
        </is>
      </c>
      <c r="F300" s="16" t="inlineStr">
        <is>
          <t>4G分时</t>
        </is>
      </c>
      <c r="G300" s="17" t="inlineStr">
        <is>
          <t xml:space="preserve"> 提供按地理位置分组编排时间窗避免通频拥塞服务</t>
        </is>
      </c>
      <c r="H300" s="18" t="inlineStr">
        <is>
          <t>EI</t>
        </is>
      </c>
      <c r="I300" s="18">
        <f>IF(H300="ILF",10,IF(H300="EIF",7,IF(H300="EI",4,IF(H300="EO",5,IF(H300="EQ",4,"")))))</f>
        <v/>
      </c>
      <c r="J300" s="18" t="inlineStr">
        <is>
          <t>中</t>
        </is>
      </c>
      <c r="K300" s="18">
        <f>IF(J300="高",0.33,IF(J300="中",0.67,IF(J300="低",1,"")))</f>
        <v/>
      </c>
      <c r="L300" s="18" t="inlineStr">
        <is>
          <t>新增</t>
        </is>
      </c>
      <c r="M300" s="18">
        <f>IF(L300="新增",1,IF(L300="修改",0.8,IF(L300="删除",0.2,"")))</f>
        <v/>
      </c>
      <c r="N300" s="18">
        <f>I300*K300*M300</f>
        <v/>
      </c>
    </row>
    <row r="301" ht="19" customHeight="1" s="1">
      <c r="B301" s="16" t="n">
        <v>296</v>
      </c>
      <c r="C301" s="16" t="inlineStr">
        <is>
          <t>多协议高频时序数据实时采集与异构设备统一接入服务</t>
        </is>
      </c>
      <c r="D301" s="16" t="inlineStr">
        <is>
          <t>高频采集调度</t>
        </is>
      </c>
      <c r="E301" s="16" t="inlineStr">
        <is>
          <t>弱网优化</t>
        </is>
      </c>
      <c r="F301" s="16" t="inlineStr">
        <is>
          <t>低电量优化</t>
        </is>
      </c>
      <c r="G301" s="17" t="inlineStr">
        <is>
          <t xml:space="preserve"> 提供电池供电设备减少采集频次延长续航服务</t>
        </is>
      </c>
      <c r="H301" s="18" t="inlineStr">
        <is>
          <t>EI</t>
        </is>
      </c>
      <c r="I301" s="18">
        <f>IF(H301="ILF",10,IF(H301="EIF",7,IF(H301="EI",4,IF(H301="EO",5,IF(H301="EQ",4,"")))))</f>
        <v/>
      </c>
      <c r="J301" s="18" t="inlineStr">
        <is>
          <t>中</t>
        </is>
      </c>
      <c r="K301" s="18">
        <f>IF(J301="高",0.33,IF(J301="中",0.67,IF(J301="低",1,"")))</f>
        <v/>
      </c>
      <c r="L301" s="18" t="inlineStr">
        <is>
          <t>新增</t>
        </is>
      </c>
      <c r="M301" s="18">
        <f>IF(L301="新增",1,IF(L301="修改",0.8,IF(L301="删除",0.2,"")))</f>
        <v/>
      </c>
      <c r="N301" s="18">
        <f>I301*K301*M301</f>
        <v/>
      </c>
    </row>
    <row r="302" ht="19" customHeight="1" s="1">
      <c r="B302" s="16" t="n">
        <v>297</v>
      </c>
      <c r="C302" s="16" t="inlineStr">
        <is>
          <t>多协议高频时序数据实时采集与异构设备统一接入服务</t>
        </is>
      </c>
      <c r="D302" s="16" t="inlineStr">
        <is>
          <t>高频采集调度</t>
        </is>
      </c>
      <c r="E302" s="16" t="inlineStr">
        <is>
          <t>弱网优化</t>
        </is>
      </c>
      <c r="F302" s="16" t="inlineStr">
        <is>
          <t>断网缓存</t>
        </is>
      </c>
      <c r="G302" s="17" t="inlineStr">
        <is>
          <t xml:space="preserve"> 提供断网时数据缓存至本地SQLite≥7天服务</t>
        </is>
      </c>
      <c r="H302" s="18" t="inlineStr">
        <is>
          <t>EI</t>
        </is>
      </c>
      <c r="I302" s="18">
        <f>IF(H302="ILF",10,IF(H302="EIF",7,IF(H302="EI",4,IF(H302="EO",5,IF(H302="EQ",4,"")))))</f>
        <v/>
      </c>
      <c r="J302" s="18" t="inlineStr">
        <is>
          <t>中</t>
        </is>
      </c>
      <c r="K302" s="18">
        <f>IF(J302="高",0.33,IF(J302="中",0.67,IF(J302="低",1,"")))</f>
        <v/>
      </c>
      <c r="L302" s="18" t="inlineStr">
        <is>
          <t>新增</t>
        </is>
      </c>
      <c r="M302" s="18">
        <f>IF(L302="新增",1,IF(L302="修改",0.8,IF(L302="删除",0.2,"")))</f>
        <v/>
      </c>
      <c r="N302" s="18">
        <f>I302*K302*M302</f>
        <v/>
      </c>
    </row>
    <row r="303" ht="19" customHeight="1" s="1">
      <c r="B303" s="16" t="n">
        <v>298</v>
      </c>
      <c r="C303" s="16" t="inlineStr">
        <is>
          <t>多协议高频时序数据实时采集与异构设备统一接入服务</t>
        </is>
      </c>
      <c r="D303" s="16" t="inlineStr">
        <is>
          <t>高频采集调度</t>
        </is>
      </c>
      <c r="E303" s="16" t="inlineStr">
        <is>
          <t>弱网优化</t>
        </is>
      </c>
      <c r="F303" s="16" t="inlineStr">
        <is>
          <t>自动补传</t>
        </is>
      </c>
      <c r="G303" s="17" t="inlineStr">
        <is>
          <t xml:space="preserve"> 提供网络恢复后按时间戳顺序自动补传数据服务</t>
        </is>
      </c>
      <c r="H303" s="18" t="inlineStr">
        <is>
          <t>EI</t>
        </is>
      </c>
      <c r="I303" s="18">
        <f>IF(H303="ILF",10,IF(H303="EIF",7,IF(H303="EI",4,IF(H303="EO",5,IF(H303="EQ",4,"")))))</f>
        <v/>
      </c>
      <c r="J303" s="18" t="inlineStr">
        <is>
          <t>中</t>
        </is>
      </c>
      <c r="K303" s="18">
        <f>IF(J303="高",0.33,IF(J303="中",0.67,IF(J303="低",1,"")))</f>
        <v/>
      </c>
      <c r="L303" s="18" t="inlineStr">
        <is>
          <t>新增</t>
        </is>
      </c>
      <c r="M303" s="18">
        <f>IF(L303="新增",1,IF(L303="修改",0.8,IF(L303="删除",0.2,"")))</f>
        <v/>
      </c>
      <c r="N303" s="18">
        <f>I303*K303*M303</f>
        <v/>
      </c>
    </row>
    <row r="304" ht="19" customHeight="1" s="1">
      <c r="B304" s="16" t="n">
        <v>299</v>
      </c>
      <c r="C304" s="16" t="inlineStr">
        <is>
          <t>多协议高频时序数据实时采集与异构设备统一接入服务</t>
        </is>
      </c>
      <c r="D304" s="16" t="inlineStr">
        <is>
          <t>高频采集调度</t>
        </is>
      </c>
      <c r="E304" s="16" t="inlineStr">
        <is>
          <t>弱网优化</t>
        </is>
      </c>
      <c r="F304" s="16" t="inlineStr">
        <is>
          <t>丢包降频</t>
        </is>
      </c>
      <c r="G304" s="17" t="inlineStr">
        <is>
          <t xml:space="preserve"> 提供丢包率&gt;10%时自动倍频降频服务</t>
        </is>
      </c>
      <c r="H304" s="18" t="inlineStr">
        <is>
          <t>EI</t>
        </is>
      </c>
      <c r="I304" s="18">
        <f>IF(H304="ILF",10,IF(H304="EIF",7,IF(H304="EI",4,IF(H304="EO",5,IF(H304="EQ",4,"")))))</f>
        <v/>
      </c>
      <c r="J304" s="18" t="inlineStr">
        <is>
          <t>中</t>
        </is>
      </c>
      <c r="K304" s="18">
        <f>IF(J304="高",0.33,IF(J304="中",0.67,IF(J304="低",1,"")))</f>
        <v/>
      </c>
      <c r="L304" s="18" t="inlineStr">
        <is>
          <t>新增</t>
        </is>
      </c>
      <c r="M304" s="18">
        <f>IF(L304="新增",1,IF(L304="修改",0.8,IF(L304="删除",0.2,"")))</f>
        <v/>
      </c>
      <c r="N304" s="18">
        <f>I304*K304*M304</f>
        <v/>
      </c>
    </row>
    <row r="305" ht="19" customHeight="1" s="1">
      <c r="B305" s="16" t="n">
        <v>300</v>
      </c>
      <c r="C305" s="16" t="inlineStr">
        <is>
          <t>多协议高频时序数据实时采集与异构设备统一接入服务</t>
        </is>
      </c>
      <c r="D305" s="16" t="inlineStr">
        <is>
          <t>高频采集调度</t>
        </is>
      </c>
      <c r="E305" s="16" t="inlineStr">
        <is>
          <t>弱网优化</t>
        </is>
      </c>
      <c r="F305" s="16" t="inlineStr">
        <is>
          <t>延迟降频</t>
        </is>
      </c>
      <c r="G305" s="17" t="inlineStr">
        <is>
          <t xml:space="preserve"> 提供响应延迟&gt;2000ms时自动降频服务</t>
        </is>
      </c>
      <c r="H305" s="18" t="inlineStr">
        <is>
          <t>EI</t>
        </is>
      </c>
      <c r="I305" s="18">
        <f>IF(H305="ILF",10,IF(H305="EIF",7,IF(H305="EI",4,IF(H305="EO",5,IF(H305="EQ",4,"")))))</f>
        <v/>
      </c>
      <c r="J305" s="18" t="inlineStr">
        <is>
          <t>中</t>
        </is>
      </c>
      <c r="K305" s="18">
        <f>IF(J305="高",0.33,IF(J305="中",0.67,IF(J305="低",1,"")))</f>
        <v/>
      </c>
      <c r="L305" s="18" t="inlineStr">
        <is>
          <t>新增</t>
        </is>
      </c>
      <c r="M305" s="18">
        <f>IF(L305="新增",1,IF(L305="修改",0.8,IF(L305="删除",0.2,"")))</f>
        <v/>
      </c>
      <c r="N305" s="18">
        <f>I305*K305*M305</f>
        <v/>
      </c>
    </row>
    <row r="306" ht="19" customHeight="1" s="1">
      <c r="B306" s="16" t="n">
        <v>301</v>
      </c>
      <c r="C306" s="16" t="inlineStr">
        <is>
          <t>多协议高频时序数据实时采集与异构设备统一接入服务</t>
        </is>
      </c>
      <c r="D306" s="16" t="inlineStr">
        <is>
          <t>高频采集调度</t>
        </is>
      </c>
      <c r="E306" s="16" t="inlineStr">
        <is>
          <t>弱网优化</t>
        </is>
      </c>
      <c r="F306" s="16" t="inlineStr">
        <is>
          <t>链路配置</t>
        </is>
      </c>
      <c r="G306" s="17" t="inlineStr">
        <is>
          <t xml:space="preserve"> 提供TCP超时/重试次数/退避间隔独立配置服务</t>
        </is>
      </c>
      <c r="H306" s="18" t="inlineStr">
        <is>
          <t>EI</t>
        </is>
      </c>
      <c r="I306" s="18">
        <f>IF(H306="ILF",10,IF(H306="EIF",7,IF(H306="EI",4,IF(H306="EO",5,IF(H306="EQ",4,"")))))</f>
        <v/>
      </c>
      <c r="J306" s="18" t="inlineStr">
        <is>
          <t>中</t>
        </is>
      </c>
      <c r="K306" s="18">
        <f>IF(J306="高",0.33,IF(J306="中",0.67,IF(J306="低",1,"")))</f>
        <v/>
      </c>
      <c r="L306" s="18" t="inlineStr">
        <is>
          <t>新增</t>
        </is>
      </c>
      <c r="M306" s="18">
        <f>IF(L306="新增",1,IF(L306="修改",0.8,IF(L306="删除",0.2,"")))</f>
        <v/>
      </c>
      <c r="N306" s="18">
        <f>I306*K306*M306</f>
        <v/>
      </c>
    </row>
    <row r="307" ht="19" customHeight="1" s="1">
      <c r="B307" s="16" t="n">
        <v>302</v>
      </c>
      <c r="C307" s="16" t="inlineStr">
        <is>
          <t>多协议高频时序数据实时采集与异构设备统一接入服务</t>
        </is>
      </c>
      <c r="D307" s="16" t="inlineStr">
        <is>
          <t>高频采集调度</t>
        </is>
      </c>
      <c r="E307" s="16" t="inlineStr">
        <is>
          <t>弱网优化</t>
        </is>
      </c>
      <c r="F307" s="16" t="inlineStr">
        <is>
          <t>弱网标记</t>
        </is>
      </c>
      <c r="G307" s="17" t="inlineStr">
        <is>
          <t xml:space="preserve"> 提供月成功率&lt;80%自动标记弱网设备服务</t>
        </is>
      </c>
      <c r="H307" s="18" t="inlineStr">
        <is>
          <t>EI</t>
        </is>
      </c>
      <c r="I307" s="18">
        <f>IF(H307="ILF",10,IF(H307="EIF",7,IF(H307="EI",4,IF(H307="EO",5,IF(H307="EQ",4,"")))))</f>
        <v/>
      </c>
      <c r="J307" s="18" t="inlineStr">
        <is>
          <t>中</t>
        </is>
      </c>
      <c r="K307" s="18">
        <f>IF(J307="高",0.33,IF(J307="中",0.67,IF(J307="低",1,"")))</f>
        <v/>
      </c>
      <c r="L307" s="18" t="inlineStr">
        <is>
          <t>新增</t>
        </is>
      </c>
      <c r="M307" s="18">
        <f>IF(L307="新增",1,IF(L307="修改",0.8,IF(L307="删除",0.2,"")))</f>
        <v/>
      </c>
      <c r="N307" s="18">
        <f>I307*K307*M307</f>
        <v/>
      </c>
    </row>
    <row r="308" ht="19" customHeight="1" s="1">
      <c r="B308" s="16" t="n">
        <v>303</v>
      </c>
      <c r="C308" s="16" t="inlineStr">
        <is>
          <t>多协议高频时序数据实时采集与异构设备统一接入服务</t>
        </is>
      </c>
      <c r="D308" s="16" t="inlineStr">
        <is>
          <t>高频采集调度</t>
        </is>
      </c>
      <c r="E308" s="16" t="inlineStr">
        <is>
          <t>弱网优化</t>
        </is>
      </c>
      <c r="F308" s="16" t="inlineStr">
        <is>
          <t>补传验证</t>
        </is>
      </c>
      <c r="G308" s="17" t="inlineStr">
        <is>
          <t xml:space="preserve"> 提供网络恢复补传数据完整性和时序验证服务</t>
        </is>
      </c>
      <c r="H308" s="18" t="inlineStr">
        <is>
          <t>EI</t>
        </is>
      </c>
      <c r="I308" s="18">
        <f>IF(H308="ILF",10,IF(H308="EIF",7,IF(H308="EI",4,IF(H308="EO",5,IF(H308="EQ",4,"")))))</f>
        <v/>
      </c>
      <c r="J308" s="18" t="inlineStr">
        <is>
          <t>中</t>
        </is>
      </c>
      <c r="K308" s="18">
        <f>IF(J308="高",0.33,IF(J308="中",0.67,IF(J308="低",1,"")))</f>
        <v/>
      </c>
      <c r="L308" s="18" t="inlineStr">
        <is>
          <t>新增</t>
        </is>
      </c>
      <c r="M308" s="18">
        <f>IF(L308="新增",1,IF(L308="修改",0.8,IF(L308="删除",0.2,"")))</f>
        <v/>
      </c>
      <c r="N308" s="18">
        <f>I308*K308*M308</f>
        <v/>
      </c>
    </row>
    <row r="309" ht="19" customHeight="1" s="1">
      <c r="B309" s="16" t="n">
        <v>304</v>
      </c>
      <c r="C309" s="16" t="inlineStr">
        <is>
          <t>多协议高频时序数据实时采集与异构设备统一接入服务</t>
        </is>
      </c>
      <c r="D309" s="16" t="inlineStr">
        <is>
          <t>A11协同保障</t>
        </is>
      </c>
      <c r="E309" s="16" t="inlineStr">
        <is>
          <t>ID与时序</t>
        </is>
      </c>
      <c r="F309" s="16" t="inlineStr">
        <is>
          <t>A11会话ID</t>
        </is>
      </c>
      <c r="G309" s="17" t="inlineStr">
        <is>
          <t xml:space="preserve"> 提供A11沿用原有编号1~100的会话ID管理服务</t>
        </is>
      </c>
      <c r="H309" s="18" t="inlineStr">
        <is>
          <t>EI</t>
        </is>
      </c>
      <c r="I309" s="18">
        <f>IF(H309="ILF",10,IF(H309="EIF",7,IF(H309="EI",4,IF(H309="EO",5,IF(H309="EQ",4,"")))))</f>
        <v/>
      </c>
      <c r="J309" s="18" t="inlineStr">
        <is>
          <t>中</t>
        </is>
      </c>
      <c r="K309" s="18">
        <f>IF(J309="高",0.33,IF(J309="中",0.67,IF(J309="低",1,"")))</f>
        <v/>
      </c>
      <c r="L309" s="18" t="inlineStr">
        <is>
          <t>新增</t>
        </is>
      </c>
      <c r="M309" s="18">
        <f>IF(L309="新增",1,IF(L309="修改",0.8,IF(L309="删除",0.2,"")))</f>
        <v/>
      </c>
      <c r="N309" s="18">
        <f>I309*K309*M309</f>
        <v/>
      </c>
    </row>
    <row r="310" ht="19" customHeight="1" s="1">
      <c r="B310" s="16" t="n">
        <v>305</v>
      </c>
      <c r="C310" s="16" t="inlineStr">
        <is>
          <t>多协议高频时序数据实时采集与异构设备统一接入服务</t>
        </is>
      </c>
      <c r="D310" s="16" t="inlineStr">
        <is>
          <t>A11协同保障</t>
        </is>
      </c>
      <c r="E310" s="16" t="inlineStr">
        <is>
          <t>ID与时序</t>
        </is>
      </c>
      <c r="F310" s="16" t="inlineStr">
        <is>
          <t>我方会话ID</t>
        </is>
      </c>
      <c r="G310" s="17" t="inlineStr">
        <is>
          <t xml:space="preserve"> 提供我方独立段1001~2000会话ID管理服务</t>
        </is>
      </c>
      <c r="H310" s="18" t="inlineStr">
        <is>
          <t>EI</t>
        </is>
      </c>
      <c r="I310" s="18">
        <f>IF(H310="ILF",10,IF(H310="EIF",7,IF(H310="EI",4,IF(H310="EO",5,IF(H310="EQ",4,"")))))</f>
        <v/>
      </c>
      <c r="J310" s="18" t="inlineStr">
        <is>
          <t>中</t>
        </is>
      </c>
      <c r="K310" s="18">
        <f>IF(J310="高",0.33,IF(J310="中",0.67,IF(J310="低",1,"")))</f>
        <v/>
      </c>
      <c r="L310" s="18" t="inlineStr">
        <is>
          <t>新增</t>
        </is>
      </c>
      <c r="M310" s="18">
        <f>IF(L310="新增",1,IF(L310="修改",0.8,IF(L310="删除",0.2,"")))</f>
        <v/>
      </c>
      <c r="N310" s="18">
        <f>I310*K310*M310</f>
        <v/>
      </c>
    </row>
    <row r="311" ht="19" customHeight="1" s="1">
      <c r="B311" s="16" t="n">
        <v>306</v>
      </c>
      <c r="C311" s="16" t="inlineStr">
        <is>
          <t>多协议高频时序数据实时采集与异构设备统一接入服务</t>
        </is>
      </c>
      <c r="D311" s="16" t="inlineStr">
        <is>
          <t>A11协同保障</t>
        </is>
      </c>
      <c r="E311" s="16" t="inlineStr">
        <is>
          <t>ID与时序</t>
        </is>
      </c>
      <c r="F311" s="16" t="inlineStr">
        <is>
          <t>ID冲突检测</t>
        </is>
      </c>
      <c r="G311" s="17" t="inlineStr">
        <is>
          <t xml:space="preserve"> 提供会话ID冲突实时检测服务</t>
        </is>
      </c>
      <c r="H311" s="18" t="inlineStr">
        <is>
          <t>EI</t>
        </is>
      </c>
      <c r="I311" s="18">
        <f>IF(H311="ILF",10,IF(H311="EIF",7,IF(H311="EI",4,IF(H311="EO",5,IF(H311="EQ",4,"")))))</f>
        <v/>
      </c>
      <c r="J311" s="18" t="inlineStr">
        <is>
          <t>中</t>
        </is>
      </c>
      <c r="K311" s="18">
        <f>IF(J311="高",0.33,IF(J311="中",0.67,IF(J311="低",1,"")))</f>
        <v/>
      </c>
      <c r="L311" s="18" t="inlineStr">
        <is>
          <t>新增</t>
        </is>
      </c>
      <c r="M311" s="18">
        <f>IF(L311="新增",1,IF(L311="修改",0.8,IF(L311="删除",0.2,"")))</f>
        <v/>
      </c>
      <c r="N311" s="18">
        <f>I311*K311*M311</f>
        <v/>
      </c>
    </row>
    <row r="312" ht="19" customHeight="1" s="1">
      <c r="B312" s="16" t="n">
        <v>307</v>
      </c>
      <c r="C312" s="16" t="inlineStr">
        <is>
          <t>多协议高频时序数据实时采集与异构设备统一接入服务</t>
        </is>
      </c>
      <c r="D312" s="16" t="inlineStr">
        <is>
          <t>A11协同保障</t>
        </is>
      </c>
      <c r="E312" s="16" t="inlineStr">
        <is>
          <t>ID与时序</t>
        </is>
      </c>
      <c r="F312" s="16" t="inlineStr">
        <is>
          <t>ID回收</t>
        </is>
      </c>
      <c r="G312" s="17" t="inlineStr">
        <is>
          <t xml:space="preserve"> 提供会话结束后ID回收和复用服务</t>
        </is>
      </c>
      <c r="H312" s="18" t="inlineStr">
        <is>
          <t>EI</t>
        </is>
      </c>
      <c r="I312" s="18">
        <f>IF(H312="ILF",10,IF(H312="EIF",7,IF(H312="EI",4,IF(H312="EO",5,IF(H312="EQ",4,"")))))</f>
        <v/>
      </c>
      <c r="J312" s="18" t="inlineStr">
        <is>
          <t>中</t>
        </is>
      </c>
      <c r="K312" s="18">
        <f>IF(J312="高",0.33,IF(J312="中",0.67,IF(J312="低",1,"")))</f>
        <v/>
      </c>
      <c r="L312" s="18" t="inlineStr">
        <is>
          <t>新增</t>
        </is>
      </c>
      <c r="M312" s="18">
        <f>IF(L312="新增",1,IF(L312="修改",0.8,IF(L312="删除",0.2,"")))</f>
        <v/>
      </c>
      <c r="N312" s="18">
        <f>I312*K312*M312</f>
        <v/>
      </c>
    </row>
    <row r="313" ht="19" customHeight="1" s="1">
      <c r="B313" s="16" t="n">
        <v>308</v>
      </c>
      <c r="C313" s="16" t="inlineStr">
        <is>
          <t>多协议高频时序数据实时采集与异构设备统一接入服务</t>
        </is>
      </c>
      <c r="D313" s="16" t="inlineStr">
        <is>
          <t>A11协同保障</t>
        </is>
      </c>
      <c r="E313" s="16" t="inlineStr">
        <is>
          <t>ID与时序</t>
        </is>
      </c>
      <c r="F313" s="16" t="inlineStr">
        <is>
          <t>ID统计</t>
        </is>
      </c>
      <c r="G313" s="17" t="inlineStr">
        <is>
          <t xml:space="preserve"> 提供会话ID使用率和分配统计服务</t>
        </is>
      </c>
      <c r="H313" s="18" t="inlineStr">
        <is>
          <t>EI</t>
        </is>
      </c>
      <c r="I313" s="18">
        <f>IF(H313="ILF",10,IF(H313="EIF",7,IF(H313="EI",4,IF(H313="EO",5,IF(H313="EQ",4,"")))))</f>
        <v/>
      </c>
      <c r="J313" s="18" t="inlineStr">
        <is>
          <t>中</t>
        </is>
      </c>
      <c r="K313" s="18">
        <f>IF(J313="高",0.33,IF(J313="中",0.67,IF(J313="低",1,"")))</f>
        <v/>
      </c>
      <c r="L313" s="18" t="inlineStr">
        <is>
          <t>新增</t>
        </is>
      </c>
      <c r="M313" s="18">
        <f>IF(L313="新增",1,IF(L313="修改",0.8,IF(L313="删除",0.2,"")))</f>
        <v/>
      </c>
      <c r="N313" s="18">
        <f>I313*K313*M313</f>
        <v/>
      </c>
    </row>
    <row r="314" ht="19" customHeight="1" s="1">
      <c r="B314" s="16" t="n">
        <v>309</v>
      </c>
      <c r="C314" s="16" t="inlineStr">
        <is>
          <t>多协议高频时序数据实时采集与异构设备统一接入服务</t>
        </is>
      </c>
      <c r="D314" s="16" t="inlineStr">
        <is>
          <t>A11协同保障</t>
        </is>
      </c>
      <c r="E314" s="16" t="inlineStr">
        <is>
          <t>ID与时序</t>
        </is>
      </c>
      <c r="F314" s="16" t="inlineStr">
        <is>
          <t>串行队列</t>
        </is>
      </c>
      <c r="G314" s="17" t="inlineStr">
        <is>
          <t xml:space="preserve"> 提供按时间戳排序的串行化输出队列保障指令时序</t>
        </is>
      </c>
      <c r="H314" s="18" t="inlineStr">
        <is>
          <t>EI</t>
        </is>
      </c>
      <c r="I314" s="18">
        <f>IF(H314="ILF",10,IF(H314="EIF",7,IF(H314="EI",4,IF(H314="EO",5,IF(H314="EQ",4,"")))))</f>
        <v/>
      </c>
      <c r="J314" s="18" t="inlineStr">
        <is>
          <t>中</t>
        </is>
      </c>
      <c r="K314" s="18">
        <f>IF(J314="高",0.33,IF(J314="中",0.67,IF(J314="低",1,"")))</f>
        <v/>
      </c>
      <c r="L314" s="18" t="inlineStr">
        <is>
          <t>新增</t>
        </is>
      </c>
      <c r="M314" s="18">
        <f>IF(L314="新增",1,IF(L314="修改",0.8,IF(L314="删除",0.2,"")))</f>
        <v/>
      </c>
      <c r="N314" s="18">
        <f>I314*K314*M314</f>
        <v/>
      </c>
    </row>
    <row r="315" ht="19" customHeight="1" s="1">
      <c r="B315" s="16" t="n">
        <v>310</v>
      </c>
      <c r="C315" s="16" t="inlineStr">
        <is>
          <t>多协议高频时序数据实时采集与异构设备统一接入服务</t>
        </is>
      </c>
      <c r="D315" s="16" t="inlineStr">
        <is>
          <t>A11协同保障</t>
        </is>
      </c>
      <c r="E315" s="16" t="inlineStr">
        <is>
          <t>ID与时序</t>
        </is>
      </c>
      <c r="F315" s="16" t="inlineStr">
        <is>
          <t>请求日志</t>
        </is>
      </c>
      <c r="G315" s="17" t="inlineStr">
        <is>
          <t xml:space="preserve"> 提供源会话ID/时间戳/报文内容记录服务</t>
        </is>
      </c>
      <c r="H315" s="18" t="inlineStr">
        <is>
          <t>EI</t>
        </is>
      </c>
      <c r="I315" s="18">
        <f>IF(H315="ILF",10,IF(H315="EIF",7,IF(H315="EI",4,IF(H315="EO",5,IF(H315="EQ",4,"")))))</f>
        <v/>
      </c>
      <c r="J315" s="18" t="inlineStr">
        <is>
          <t>中</t>
        </is>
      </c>
      <c r="K315" s="18">
        <f>IF(J315="高",0.33,IF(J315="中",0.67,IF(J315="低",1,"")))</f>
        <v/>
      </c>
      <c r="L315" s="18" t="inlineStr">
        <is>
          <t>新增</t>
        </is>
      </c>
      <c r="M315" s="18">
        <f>IF(L315="新增",1,IF(L315="修改",0.8,IF(L315="删除",0.2,"")))</f>
        <v/>
      </c>
      <c r="N315" s="18">
        <f>I315*K315*M315</f>
        <v/>
      </c>
    </row>
    <row r="316" ht="19" customHeight="1" s="1">
      <c r="B316" s="16" t="n">
        <v>311</v>
      </c>
      <c r="C316" s="16" t="inlineStr">
        <is>
          <t>多协议高频时序数据实时采集与异构设备统一接入服务</t>
        </is>
      </c>
      <c r="D316" s="16" t="inlineStr">
        <is>
          <t>A11协同保障</t>
        </is>
      </c>
      <c r="E316" s="16" t="inlineStr">
        <is>
          <t>ID与时序</t>
        </is>
      </c>
      <c r="F316" s="16" t="inlineStr">
        <is>
          <t>归属识别</t>
        </is>
      </c>
      <c r="G316" s="17" t="inlineStr">
        <is>
          <t xml:space="preserve"> 提供代理根据请求ID识别应答归属转发服务</t>
        </is>
      </c>
      <c r="H316" s="18" t="inlineStr">
        <is>
          <t>EI</t>
        </is>
      </c>
      <c r="I316" s="18">
        <f>IF(H316="ILF",10,IF(H316="EIF",7,IF(H316="EI",4,IF(H316="EO",5,IF(H316="EQ",4,"")))))</f>
        <v/>
      </c>
      <c r="J316" s="18" t="inlineStr">
        <is>
          <t>中</t>
        </is>
      </c>
      <c r="K316" s="18">
        <f>IF(J316="高",0.33,IF(J316="中",0.67,IF(J316="低",1,"")))</f>
        <v/>
      </c>
      <c r="L316" s="18" t="inlineStr">
        <is>
          <t>新增</t>
        </is>
      </c>
      <c r="M316" s="18">
        <f>IF(L316="新增",1,IF(L316="修改",0.8,IF(L316="删除",0.2,"")))</f>
        <v/>
      </c>
      <c r="N316" s="18">
        <f>I316*K316*M316</f>
        <v/>
      </c>
    </row>
    <row r="317" ht="19" customHeight="1" s="1">
      <c r="B317" s="16" t="n">
        <v>312</v>
      </c>
      <c r="C317" s="16" t="inlineStr">
        <is>
          <t>多协议高频时序数据实时采集与异构设备统一接入服务</t>
        </is>
      </c>
      <c r="D317" s="16" t="inlineStr">
        <is>
          <t>A11协同保障</t>
        </is>
      </c>
      <c r="E317" s="16" t="inlineStr">
        <is>
          <t>ID与时序</t>
        </is>
      </c>
      <c r="F317" s="16" t="inlineStr">
        <is>
          <t>优先级保障</t>
        </is>
      </c>
      <c r="G317" s="17" t="inlineStr">
        <is>
          <t xml:space="preserve"> 提供A11指令最高优先级调度服务</t>
        </is>
      </c>
      <c r="H317" s="18" t="inlineStr">
        <is>
          <t>EI</t>
        </is>
      </c>
      <c r="I317" s="18">
        <f>IF(H317="ILF",10,IF(H317="EIF",7,IF(H317="EI",4,IF(H317="EO",5,IF(H317="EQ",4,"")))))</f>
        <v/>
      </c>
      <c r="J317" s="18" t="inlineStr">
        <is>
          <t>中</t>
        </is>
      </c>
      <c r="K317" s="18">
        <f>IF(J317="高",0.33,IF(J317="中",0.67,IF(J317="低",1,"")))</f>
        <v/>
      </c>
      <c r="L317" s="18" t="inlineStr">
        <is>
          <t>新增</t>
        </is>
      </c>
      <c r="M317" s="18">
        <f>IF(L317="新增",1,IF(L317="修改",0.8,IF(L317="删除",0.2,"")))</f>
        <v/>
      </c>
      <c r="N317" s="18">
        <f>I317*K317*M317</f>
        <v/>
      </c>
    </row>
    <row r="318" ht="19" customHeight="1" s="1">
      <c r="B318" s="16" t="n">
        <v>313</v>
      </c>
      <c r="C318" s="16" t="inlineStr">
        <is>
          <t>多协议高频时序数据实时采集与异构设备统一接入服务</t>
        </is>
      </c>
      <c r="D318" s="16" t="inlineStr">
        <is>
          <t>A11协同保障</t>
        </is>
      </c>
      <c r="E318" s="16" t="inlineStr">
        <is>
          <t>ID与时序</t>
        </is>
      </c>
      <c r="F318" s="16" t="inlineStr">
        <is>
          <t>时序告警</t>
        </is>
      </c>
      <c r="G318" s="17" t="inlineStr">
        <is>
          <t xml:space="preserve"> 提供指令时序异常检测和告警服务</t>
        </is>
      </c>
      <c r="H318" s="18" t="inlineStr">
        <is>
          <t>EI</t>
        </is>
      </c>
      <c r="I318" s="18">
        <f>IF(H318="ILF",10,IF(H318="EIF",7,IF(H318="EI",4,IF(H318="EO",5,IF(H318="EQ",4,"")))))</f>
        <v/>
      </c>
      <c r="J318" s="18" t="inlineStr">
        <is>
          <t>高</t>
        </is>
      </c>
      <c r="K318" s="18">
        <f>IF(J318="高",0.33,IF(J318="中",0.67,IF(J318="低",1,"")))</f>
        <v/>
      </c>
      <c r="L318" s="18" t="inlineStr">
        <is>
          <t>新增</t>
        </is>
      </c>
      <c r="M318" s="18">
        <f>IF(L318="新增",1,IF(L318="修改",0.8,IF(L318="删除",0.2,"")))</f>
        <v/>
      </c>
      <c r="N318" s="18">
        <f>I318*K318*M318</f>
        <v/>
      </c>
    </row>
    <row r="319" ht="19" customHeight="1" s="1">
      <c r="B319" s="16" t="n">
        <v>314</v>
      </c>
      <c r="C319" s="16" t="inlineStr">
        <is>
          <t>多协议高频时序数据实时采集与异构设备统一接入服务</t>
        </is>
      </c>
      <c r="D319" s="16" t="inlineStr">
        <is>
          <t>高频采集调度</t>
        </is>
      </c>
      <c r="E319" s="16" t="inlineStr">
        <is>
          <t>采集效率管理</t>
        </is>
      </c>
      <c r="F319" s="16" t="inlineStr">
        <is>
          <t>采集覆盖率统计</t>
        </is>
      </c>
      <c r="G319" s="17" t="inlineStr">
        <is>
          <t xml:space="preserve"> 提供采集设备覆盖率的统计分析技术服务</t>
        </is>
      </c>
      <c r="H319" s="18" t="inlineStr">
        <is>
          <t>EI</t>
        </is>
      </c>
      <c r="I319" s="18">
        <f>IF(H319="ILF",10,IF(H319="EIF",7,IF(H319="EI",4,IF(H319="EO",5,IF(H319="EQ",4,"")))))</f>
        <v/>
      </c>
      <c r="J319" s="18" t="inlineStr">
        <is>
          <t>高</t>
        </is>
      </c>
      <c r="K319" s="18">
        <f>IF(J319="高",0.33,IF(J319="中",0.67,IF(J319="低",1,"")))</f>
        <v/>
      </c>
      <c r="L319" s="18" t="inlineStr">
        <is>
          <t>新增</t>
        </is>
      </c>
      <c r="M319" s="18">
        <f>IF(L319="新增",1,IF(L319="修改",0.8,IF(L319="删除",0.2,"")))</f>
        <v/>
      </c>
      <c r="N319" s="18">
        <f>I319*K319*M319</f>
        <v/>
      </c>
    </row>
    <row r="320" ht="19" customHeight="1" s="1">
      <c r="B320" s="16" t="n">
        <v>315</v>
      </c>
      <c r="C320" s="16" t="inlineStr">
        <is>
          <t>多协议高频时序数据实时采集与异构设备统一接入服务</t>
        </is>
      </c>
      <c r="D320" s="16" t="inlineStr">
        <is>
          <t>高频采集调度</t>
        </is>
      </c>
      <c r="E320" s="16" t="inlineStr">
        <is>
          <t>采集效率管理</t>
        </is>
      </c>
      <c r="F320" s="16" t="inlineStr">
        <is>
          <t>采集数据质量统计</t>
        </is>
      </c>
      <c r="G320" s="17" t="inlineStr">
        <is>
          <t xml:space="preserve"> 提供采集数据质量的统计分析技术服务</t>
        </is>
      </c>
      <c r="H320" s="18" t="inlineStr">
        <is>
          <t>EI</t>
        </is>
      </c>
      <c r="I320" s="18">
        <f>IF(H320="ILF",10,IF(H320="EIF",7,IF(H320="EI",4,IF(H320="EO",5,IF(H320="EQ",4,"")))))</f>
        <v/>
      </c>
      <c r="J320" s="18" t="inlineStr">
        <is>
          <t>高</t>
        </is>
      </c>
      <c r="K320" s="18">
        <f>IF(J320="高",0.33,IF(J320="中",0.67,IF(J320="低",1,"")))</f>
        <v/>
      </c>
      <c r="L320" s="18" t="inlineStr">
        <is>
          <t>新增</t>
        </is>
      </c>
      <c r="M320" s="18">
        <f>IF(L320="新增",1,IF(L320="修改",0.8,IF(L320="删除",0.2,"")))</f>
        <v/>
      </c>
      <c r="N320" s="18">
        <f>I320*K320*M320</f>
        <v/>
      </c>
    </row>
    <row r="321" ht="19" customHeight="1" s="1">
      <c r="B321" s="16" t="n">
        <v>316</v>
      </c>
      <c r="C321" s="16" t="inlineStr">
        <is>
          <t>多协议高频时序数据实时采集与异构设备统一接入服务</t>
        </is>
      </c>
      <c r="D321" s="16" t="inlineStr">
        <is>
          <t>高频采集调度</t>
        </is>
      </c>
      <c r="E321" s="16" t="inlineStr">
        <is>
          <t>采集效率管理</t>
        </is>
      </c>
      <c r="F321" s="16" t="inlineStr">
        <is>
          <t>采集链路可用率统计</t>
        </is>
      </c>
      <c r="G321" s="17" t="inlineStr">
        <is>
          <t xml:space="preserve"> 提供采集链路可用率的统计分析技术服务</t>
        </is>
      </c>
      <c r="H321" s="18" t="inlineStr">
        <is>
          <t>EI</t>
        </is>
      </c>
      <c r="I321" s="18">
        <f>IF(H321="ILF",10,IF(H321="EIF",7,IF(H321="EI",4,IF(H321="EO",5,IF(H321="EQ",4,"")))))</f>
        <v/>
      </c>
      <c r="J321" s="18" t="inlineStr">
        <is>
          <t>高</t>
        </is>
      </c>
      <c r="K321" s="18">
        <f>IF(J321="高",0.33,IF(J321="中",0.67,IF(J321="低",1,"")))</f>
        <v/>
      </c>
      <c r="L321" s="18" t="inlineStr">
        <is>
          <t>新增</t>
        </is>
      </c>
      <c r="M321" s="18">
        <f>IF(L321="新增",1,IF(L321="修改",0.8,IF(L321="删除",0.2,"")))</f>
        <v/>
      </c>
      <c r="N321" s="18">
        <f>I321*K321*M321</f>
        <v/>
      </c>
    </row>
    <row r="322" ht="19" customHeight="1" s="1">
      <c r="B322" s="16" t="n">
        <v>317</v>
      </c>
      <c r="C322" s="16" t="inlineStr">
        <is>
          <t>多协议高频时序数据实时采集与异构设备统一接入服务</t>
        </is>
      </c>
      <c r="D322" s="16" t="inlineStr">
        <is>
          <t>高频采集调度</t>
        </is>
      </c>
      <c r="E322" s="16" t="inlineStr">
        <is>
          <t>采集任务管理</t>
        </is>
      </c>
      <c r="F322" s="16" t="inlineStr">
        <is>
          <t>采集任务优先级配置</t>
        </is>
      </c>
      <c r="G322" s="17" t="inlineStr">
        <is>
          <t xml:space="preserve"> 提供采集任务优先级参数配置服务</t>
        </is>
      </c>
      <c r="H322" s="18" t="inlineStr">
        <is>
          <t>EI</t>
        </is>
      </c>
      <c r="I322" s="18">
        <f>IF(H322="ILF",10,IF(H322="EIF",7,IF(H322="EI",4,IF(H322="EO",5,IF(H322="EQ",4,"")))))</f>
        <v/>
      </c>
      <c r="J322" s="18" t="inlineStr">
        <is>
          <t>高</t>
        </is>
      </c>
      <c r="K322" s="18">
        <f>IF(J322="高",0.33,IF(J322="中",0.67,IF(J322="低",1,"")))</f>
        <v/>
      </c>
      <c r="L322" s="18" t="inlineStr">
        <is>
          <t>新增</t>
        </is>
      </c>
      <c r="M322" s="18">
        <f>IF(L322="新增",1,IF(L322="修改",0.8,IF(L322="删除",0.2,"")))</f>
        <v/>
      </c>
      <c r="N322" s="18">
        <f>I322*K322*M322</f>
        <v/>
      </c>
    </row>
    <row r="323" ht="19" customHeight="1" s="1">
      <c r="B323" s="16" t="n">
        <v>318</v>
      </c>
      <c r="C323" s="16" t="inlineStr">
        <is>
          <t>多协议高频时序数据实时采集与异构设备统一接入服务</t>
        </is>
      </c>
      <c r="D323" s="16" t="inlineStr">
        <is>
          <t>高频采集调度</t>
        </is>
      </c>
      <c r="E323" s="16" t="inlineStr">
        <is>
          <t>采集任务管理</t>
        </is>
      </c>
      <c r="F323" s="16" t="inlineStr">
        <is>
          <t>采集任务依赖配置</t>
        </is>
      </c>
      <c r="G323" s="17" t="inlineStr">
        <is>
          <t xml:space="preserve"> 提供采集任务依赖关系配置服务</t>
        </is>
      </c>
      <c r="H323" s="18" t="inlineStr">
        <is>
          <t>EI</t>
        </is>
      </c>
      <c r="I323" s="18">
        <f>IF(H323="ILF",10,IF(H323="EIF",7,IF(H323="EI",4,IF(H323="EO",5,IF(H323="EQ",4,"")))))</f>
        <v/>
      </c>
      <c r="J323" s="18" t="inlineStr">
        <is>
          <t>高</t>
        </is>
      </c>
      <c r="K323" s="18">
        <f>IF(J323="高",0.33,IF(J323="中",0.67,IF(J323="低",1,"")))</f>
        <v/>
      </c>
      <c r="L323" s="18" t="inlineStr">
        <is>
          <t>新增</t>
        </is>
      </c>
      <c r="M323" s="18">
        <f>IF(L323="新增",1,IF(L323="修改",0.8,IF(L323="删除",0.2,"")))</f>
        <v/>
      </c>
      <c r="N323" s="18">
        <f>I323*K323*M323</f>
        <v/>
      </c>
    </row>
    <row r="324" ht="19" customHeight="1" s="1">
      <c r="B324" s="16" t="n">
        <v>319</v>
      </c>
      <c r="C324" s="16" t="inlineStr">
        <is>
          <t>多协议高频时序数据实时采集与异构设备统一接入服务</t>
        </is>
      </c>
      <c r="D324" s="16" t="inlineStr">
        <is>
          <t>高频采集调度</t>
        </is>
      </c>
      <c r="E324" s="16" t="inlineStr">
        <is>
          <t>采集任务管理</t>
        </is>
      </c>
      <c r="F324" s="16" t="inlineStr">
        <is>
          <t>采集任务日历配置</t>
        </is>
      </c>
      <c r="G324" s="17" t="inlineStr">
        <is>
          <t xml:space="preserve"> 提供采集任务执行日历配置服务</t>
        </is>
      </c>
      <c r="H324" s="18" t="inlineStr">
        <is>
          <t>EO</t>
        </is>
      </c>
      <c r="I324" s="18">
        <f>IF(H324="ILF",10,IF(H324="EIF",7,IF(H324="EI",4,IF(H324="EO",5,IF(H324="EQ",4,"")))))</f>
        <v/>
      </c>
      <c r="J324" s="18" t="inlineStr">
        <is>
          <t>低</t>
        </is>
      </c>
      <c r="K324" s="18">
        <f>IF(J324="高",0.33,IF(J324="中",0.67,IF(J324="低",1,"")))</f>
        <v/>
      </c>
      <c r="L324" s="18" t="inlineStr">
        <is>
          <t>新增</t>
        </is>
      </c>
      <c r="M324" s="18">
        <f>IF(L324="新增",1,IF(L324="修改",0.8,IF(L324="删除",0.2,"")))</f>
        <v/>
      </c>
      <c r="N324" s="18">
        <f>I324*K324*M324</f>
        <v/>
      </c>
    </row>
    <row r="325" ht="19" customHeight="1" s="1">
      <c r="B325" s="16" t="n">
        <v>320</v>
      </c>
      <c r="C325" s="16" t="inlineStr">
        <is>
          <t>多协议高频时序数据实时采集与异构设备统一接入服务</t>
        </is>
      </c>
      <c r="D325" s="16" t="inlineStr">
        <is>
          <t>高频采集调度</t>
        </is>
      </c>
      <c r="E325" s="16" t="inlineStr">
        <is>
          <t>采集效率统计</t>
        </is>
      </c>
      <c r="F325" s="16" t="inlineStr">
        <is>
          <t>采集成功率统计报表</t>
        </is>
      </c>
      <c r="G325" s="17" t="inlineStr">
        <is>
          <t xml:space="preserve"> 提供采集成功率统计报表服务</t>
        </is>
      </c>
      <c r="H325" s="18" t="inlineStr">
        <is>
          <t>EO</t>
        </is>
      </c>
      <c r="I325" s="18">
        <f>IF(H325="ILF",10,IF(H325="EIF",7,IF(H325="EI",4,IF(H325="EO",5,IF(H325="EQ",4,"")))))</f>
        <v/>
      </c>
      <c r="J325" s="18" t="inlineStr">
        <is>
          <t>低</t>
        </is>
      </c>
      <c r="K325" s="18">
        <f>IF(J325="高",0.33,IF(J325="中",0.67,IF(J325="低",1,"")))</f>
        <v/>
      </c>
      <c r="L325" s="18" t="inlineStr">
        <is>
          <t>新增</t>
        </is>
      </c>
      <c r="M325" s="18">
        <f>IF(L325="新增",1,IF(L325="修改",0.8,IF(L325="删除",0.2,"")))</f>
        <v/>
      </c>
      <c r="N325" s="18">
        <f>I325*K325*M325</f>
        <v/>
      </c>
    </row>
    <row r="326" ht="19" customHeight="1" s="1">
      <c r="B326" s="16" t="n">
        <v>321</v>
      </c>
      <c r="C326" s="16" t="inlineStr">
        <is>
          <t>多协议高频时序数据实时采集与异构设备统一接入服务</t>
        </is>
      </c>
      <c r="D326" s="16" t="inlineStr">
        <is>
          <t>高频采集调度</t>
        </is>
      </c>
      <c r="E326" s="16" t="inlineStr">
        <is>
          <t>采集效率统计</t>
        </is>
      </c>
      <c r="F326" s="16" t="inlineStr">
        <is>
          <t>采集延迟统计报表</t>
        </is>
      </c>
      <c r="G326" s="17" t="inlineStr">
        <is>
          <t xml:space="preserve"> 提供采集延迟统计报表服务</t>
        </is>
      </c>
      <c r="H326" s="18" t="inlineStr">
        <is>
          <t>EO</t>
        </is>
      </c>
      <c r="I326" s="18">
        <f>IF(H326="ILF",10,IF(H326="EIF",7,IF(H326="EI",4,IF(H326="EO",5,IF(H326="EQ",4,"")))))</f>
        <v/>
      </c>
      <c r="J326" s="18" t="inlineStr">
        <is>
          <t>低</t>
        </is>
      </c>
      <c r="K326" s="18">
        <f>IF(J326="高",0.33,IF(J326="中",0.67,IF(J326="低",1,"")))</f>
        <v/>
      </c>
      <c r="L326" s="18" t="inlineStr">
        <is>
          <t>新增</t>
        </is>
      </c>
      <c r="M326" s="18">
        <f>IF(L326="新增",1,IF(L326="修改",0.8,IF(L326="删除",0.2,"")))</f>
        <v/>
      </c>
      <c r="N326" s="18">
        <f>I326*K326*M326</f>
        <v/>
      </c>
    </row>
    <row r="327" ht="19" customHeight="1" s="1">
      <c r="B327" s="16" t="n">
        <v>322</v>
      </c>
      <c r="C327" s="16" t="inlineStr">
        <is>
          <t>多协议高频时序数据实时采集与异构设备统一接入服务</t>
        </is>
      </c>
      <c r="D327" s="16" t="inlineStr">
        <is>
          <t>A11协同保障</t>
        </is>
      </c>
      <c r="E327" s="16" t="inlineStr">
        <is>
          <t>协同保障服务</t>
        </is>
      </c>
      <c r="F327" s="16" t="inlineStr">
        <is>
          <t>数据一致性比对</t>
        </is>
      </c>
      <c r="G327" s="17" t="inlineStr">
        <is>
          <t xml:space="preserve"> 提供A11与边缘中枢数据一致性比对服务</t>
        </is>
      </c>
      <c r="H327" s="18" t="inlineStr">
        <is>
          <t>EO</t>
        </is>
      </c>
      <c r="I327" s="18">
        <f>IF(H327="ILF",10,IF(H327="EIF",7,IF(H327="EI",4,IF(H327="EO",5,IF(H327="EQ",4,"")))))</f>
        <v/>
      </c>
      <c r="J327" s="18" t="inlineStr">
        <is>
          <t>低</t>
        </is>
      </c>
      <c r="K327" s="18">
        <f>IF(J327="高",0.33,IF(J327="中",0.67,IF(J327="低",1,"")))</f>
        <v/>
      </c>
      <c r="L327" s="18" t="inlineStr">
        <is>
          <t>新增</t>
        </is>
      </c>
      <c r="M327" s="18">
        <f>IF(L327="新增",1,IF(L327="修改",0.8,IF(L327="删除",0.2,"")))</f>
        <v/>
      </c>
      <c r="N327" s="18">
        <f>I327*K327*M327</f>
        <v/>
      </c>
    </row>
    <row r="328" ht="19" customHeight="1" s="1">
      <c r="B328" s="16" t="n">
        <v>323</v>
      </c>
      <c r="C328" s="16" t="inlineStr">
        <is>
          <t>多协议高频时序数据实时采集与异构设备统一接入服务</t>
        </is>
      </c>
      <c r="D328" s="16" t="inlineStr">
        <is>
          <t>A11协同保障</t>
        </is>
      </c>
      <c r="E328" s="16" t="inlineStr">
        <is>
          <t>协同保障服务</t>
        </is>
      </c>
      <c r="F328" s="16" t="inlineStr">
        <is>
          <t>数据差异报告生成</t>
        </is>
      </c>
      <c r="G328" s="17" t="inlineStr">
        <is>
          <t xml:space="preserve"> 提供A11与边缘中枢数据差异报告服务</t>
        </is>
      </c>
      <c r="H328" s="18" t="inlineStr">
        <is>
          <t>EO</t>
        </is>
      </c>
      <c r="I328" s="18">
        <f>IF(H328="ILF",10,IF(H328="EIF",7,IF(H328="EI",4,IF(H328="EO",5,IF(H328="EQ",4,"")))))</f>
        <v/>
      </c>
      <c r="J328" s="18" t="inlineStr">
        <is>
          <t>低</t>
        </is>
      </c>
      <c r="K328" s="18">
        <f>IF(J328="高",0.33,IF(J328="中",0.67,IF(J328="低",1,"")))</f>
        <v/>
      </c>
      <c r="L328" s="18" t="inlineStr">
        <is>
          <t>新增</t>
        </is>
      </c>
      <c r="M328" s="18">
        <f>IF(L328="新增",1,IF(L328="修改",0.8,IF(L328="删除",0.2,"")))</f>
        <v/>
      </c>
      <c r="N328" s="18">
        <f>I328*K328*M328</f>
        <v/>
      </c>
    </row>
    <row r="329" ht="19" customHeight="1" s="1">
      <c r="B329" s="16" t="n">
        <v>324</v>
      </c>
      <c r="C329" s="16" t="inlineStr">
        <is>
          <t>多协议高频时序数据实时采集与异构设备统一接入服务</t>
        </is>
      </c>
      <c r="D329" s="16" t="inlineStr">
        <is>
          <t>固定IP设备接入</t>
        </is>
      </c>
      <c r="E329" s="16" t="inlineStr">
        <is>
          <t>设备接入服务</t>
        </is>
      </c>
      <c r="F329" s="16" t="inlineStr">
        <is>
          <t>设备注册信息同步</t>
        </is>
      </c>
      <c r="G329" s="17" t="inlineStr">
        <is>
          <t xml:space="preserve"> 提供设备注册信息同步服务</t>
        </is>
      </c>
      <c r="H329" s="18" t="inlineStr">
        <is>
          <t>EO</t>
        </is>
      </c>
      <c r="I329" s="18">
        <f>IF(H329="ILF",10,IF(H329="EIF",7,IF(H329="EI",4,IF(H329="EO",5,IF(H329="EQ",4,"")))))</f>
        <v/>
      </c>
      <c r="J329" s="18" t="inlineStr">
        <is>
          <t>中</t>
        </is>
      </c>
      <c r="K329" s="18">
        <f>IF(J329="高",0.33,IF(J329="中",0.67,IF(J329="低",1,"")))</f>
        <v/>
      </c>
      <c r="L329" s="18" t="inlineStr">
        <is>
          <t>新增</t>
        </is>
      </c>
      <c r="M329" s="18">
        <f>IF(L329="新增",1,IF(L329="修改",0.8,IF(L329="删除",0.2,"")))</f>
        <v/>
      </c>
      <c r="N329" s="18">
        <f>I329*K329*M329</f>
        <v/>
      </c>
    </row>
    <row r="330" ht="19" customHeight="1" s="1">
      <c r="B330" s="16" t="n">
        <v>325</v>
      </c>
      <c r="C330" s="16" t="inlineStr">
        <is>
          <t>多协议高频时序数据实时采集与异构设备统一接入服务</t>
        </is>
      </c>
      <c r="D330" s="16" t="inlineStr">
        <is>
          <t>高频采集调度</t>
        </is>
      </c>
      <c r="E330" s="16" t="inlineStr">
        <is>
          <t>采集任务管理</t>
        </is>
      </c>
      <c r="F330" s="16" t="inlineStr">
        <is>
          <t>采集任务超时配置</t>
        </is>
      </c>
      <c r="G330" s="17" t="inlineStr">
        <is>
          <t xml:space="preserve"> 提供采集任务超时参数配置服务</t>
        </is>
      </c>
      <c r="H330" s="18" t="inlineStr">
        <is>
          <t>EO</t>
        </is>
      </c>
      <c r="I330" s="18">
        <f>IF(H330="ILF",10,IF(H330="EIF",7,IF(H330="EI",4,IF(H330="EO",5,IF(H330="EQ",4,"")))))</f>
        <v/>
      </c>
      <c r="J330" s="18" t="inlineStr">
        <is>
          <t>中</t>
        </is>
      </c>
      <c r="K330" s="18">
        <f>IF(J330="高",0.33,IF(J330="中",0.67,IF(J330="低",1,"")))</f>
        <v/>
      </c>
      <c r="L330" s="18" t="inlineStr">
        <is>
          <t>新增</t>
        </is>
      </c>
      <c r="M330" s="18">
        <f>IF(L330="新增",1,IF(L330="修改",0.8,IF(L330="删除",0.2,"")))</f>
        <v/>
      </c>
      <c r="N330" s="18">
        <f>I330*K330*M330</f>
        <v/>
      </c>
    </row>
    <row r="331" ht="19" customHeight="1" s="1">
      <c r="B331" s="16" t="n">
        <v>326</v>
      </c>
      <c r="C331" s="16" t="inlineStr">
        <is>
          <t>多协议高频时序数据实时采集与异构设备统一接入服务</t>
        </is>
      </c>
      <c r="D331" s="16" t="inlineStr">
        <is>
          <t>动态IP设备接入</t>
        </is>
      </c>
      <c r="E331" s="16" t="inlineStr">
        <is>
          <t>端口路由</t>
        </is>
      </c>
      <c r="F331" s="16" t="inlineStr">
        <is>
          <t>53001路由</t>
        </is>
      </c>
      <c r="G331" s="17" t="inlineStr">
        <is>
          <t xml:space="preserve"> 提供IO服务器53001端口流量路由至新系统端口配置服务</t>
        </is>
      </c>
      <c r="H331" s="18" t="inlineStr">
        <is>
          <t>EO</t>
        </is>
      </c>
      <c r="I331" s="18">
        <f>IF(H331="ILF",10,IF(H331="EIF",7,IF(H331="EI",4,IF(H331="EO",5,IF(H331="EQ",4,"")))))</f>
        <v/>
      </c>
      <c r="J331" s="18" t="inlineStr">
        <is>
          <t>中</t>
        </is>
      </c>
      <c r="K331" s="18">
        <f>IF(J331="高",0.33,IF(J331="中",0.67,IF(J331="低",1,"")))</f>
        <v/>
      </c>
      <c r="L331" s="18" t="inlineStr">
        <is>
          <t>新增</t>
        </is>
      </c>
      <c r="M331" s="18">
        <f>IF(L331="新增",1,IF(L331="修改",0.8,IF(L331="删除",0.2,"")))</f>
        <v/>
      </c>
      <c r="N331" s="18">
        <f>I331*K331*M331</f>
        <v/>
      </c>
    </row>
    <row r="332" ht="19" customHeight="1" s="1">
      <c r="B332" s="16" t="n">
        <v>327</v>
      </c>
      <c r="C332" s="16" t="inlineStr">
        <is>
          <t>多协议高频时序数据实时采集与异构设备统一接入服务</t>
        </is>
      </c>
      <c r="D332" s="16" t="inlineStr">
        <is>
          <t>动态IP设备接入</t>
        </is>
      </c>
      <c r="E332" s="16" t="inlineStr">
        <is>
          <t>端口路由</t>
        </is>
      </c>
      <c r="F332" s="16" t="inlineStr">
        <is>
          <t>53002转发</t>
        </is>
      </c>
      <c r="G332" s="17" t="inlineStr">
        <is>
          <t xml:space="preserve"> 提供DMZ代理转发端口53002接收和转发配置服务</t>
        </is>
      </c>
      <c r="H332" s="18" t="inlineStr">
        <is>
          <t>EO</t>
        </is>
      </c>
      <c r="I332" s="18">
        <f>IF(H332="ILF",10,IF(H332="EIF",7,IF(H332="EI",4,IF(H332="EO",5,IF(H332="EQ",4,"")))))</f>
        <v/>
      </c>
      <c r="J332" s="18" t="inlineStr">
        <is>
          <t>中</t>
        </is>
      </c>
      <c r="K332" s="18">
        <f>IF(J332="高",0.33,IF(J332="中",0.67,IF(J332="低",1,"")))</f>
        <v/>
      </c>
      <c r="L332" s="18" t="inlineStr">
        <is>
          <t>新增</t>
        </is>
      </c>
      <c r="M332" s="18">
        <f>IF(L332="新增",1,IF(L332="修改",0.8,IF(L332="删除",0.2,"")))</f>
        <v/>
      </c>
      <c r="N332" s="18">
        <f>I332*K332*M332</f>
        <v/>
      </c>
    </row>
    <row r="333" ht="19" customHeight="1" s="1">
      <c r="B333" s="16" t="n">
        <v>328</v>
      </c>
      <c r="C333" s="16" t="inlineStr">
        <is>
          <t>多协议高频时序数据实时采集与异构设备统一接入服务</t>
        </is>
      </c>
      <c r="D333" s="16" t="inlineStr">
        <is>
          <t>动态IP设备接入</t>
        </is>
      </c>
      <c r="E333" s="16" t="inlineStr">
        <is>
          <t>端口路由</t>
        </is>
      </c>
      <c r="F333" s="16" t="inlineStr">
        <is>
          <t>路由正确性验证</t>
        </is>
      </c>
      <c r="G333" s="17" t="inlineStr">
        <is>
          <t xml:space="preserve"> 提供路由转发策略正确性验证服务</t>
        </is>
      </c>
      <c r="H333" s="18" t="inlineStr">
        <is>
          <t>EO</t>
        </is>
      </c>
      <c r="I333" s="18">
        <f>IF(H333="ILF",10,IF(H333="EIF",7,IF(H333="EI",4,IF(H333="EO",5,IF(H333="EQ",4,"")))))</f>
        <v/>
      </c>
      <c r="J333" s="18" t="inlineStr">
        <is>
          <t>中</t>
        </is>
      </c>
      <c r="K333" s="18">
        <f>IF(J333="高",0.33,IF(J333="中",0.67,IF(J333="低",1,"")))</f>
        <v/>
      </c>
      <c r="L333" s="18" t="inlineStr">
        <is>
          <t>新增</t>
        </is>
      </c>
      <c r="M333" s="18">
        <f>IF(L333="新增",1,IF(L333="修改",0.8,IF(L333="删除",0.2,"")))</f>
        <v/>
      </c>
      <c r="N333" s="18">
        <f>I333*K333*M333</f>
        <v/>
      </c>
    </row>
    <row r="334" ht="19" customHeight="1" s="1">
      <c r="B334" s="16" t="n">
        <v>329</v>
      </c>
      <c r="C334" s="16" t="inlineStr">
        <is>
          <t>多协议高频时序数据实时采集与异构设备统一接入服务</t>
        </is>
      </c>
      <c r="D334" s="16" t="inlineStr">
        <is>
          <t>动态IP设备接入</t>
        </is>
      </c>
      <c r="E334" s="16" t="inlineStr">
        <is>
          <t>端口路由</t>
        </is>
      </c>
      <c r="F334" s="16" t="inlineStr">
        <is>
          <t>路由稳定性验证</t>
        </is>
      </c>
      <c r="G334" s="17" t="inlineStr">
        <is>
          <t xml:space="preserve"> 提供路由转发策略长期稳定性验证服务</t>
        </is>
      </c>
      <c r="H334" s="18" t="inlineStr">
        <is>
          <t>EQ</t>
        </is>
      </c>
      <c r="I334" s="18">
        <f>IF(H334="ILF",10,IF(H334="EIF",7,IF(H334="EI",4,IF(H334="EO",5,IF(H334="EQ",4,"")))))</f>
        <v/>
      </c>
      <c r="J334" s="18" t="inlineStr">
        <is>
          <t>低</t>
        </is>
      </c>
      <c r="K334" s="18">
        <f>IF(J334="高",0.33,IF(J334="中",0.67,IF(J334="低",1,"")))</f>
        <v/>
      </c>
      <c r="L334" s="18" t="inlineStr">
        <is>
          <t>新增</t>
        </is>
      </c>
      <c r="M334" s="18">
        <f>IF(L334="新增",1,IF(L334="修改",0.8,IF(L334="删除",0.2,"")))</f>
        <v/>
      </c>
      <c r="N334" s="18">
        <f>I334*K334*M334</f>
        <v/>
      </c>
    </row>
    <row r="335" ht="19" customHeight="1" s="1">
      <c r="B335" s="16" t="n">
        <v>330</v>
      </c>
      <c r="C335" s="16" t="inlineStr">
        <is>
          <t>多协议高频时序数据实时采集与异构设备统一接入服务</t>
        </is>
      </c>
      <c r="D335" s="16" t="inlineStr">
        <is>
          <t>动态IP设备接入</t>
        </is>
      </c>
      <c r="E335" s="16" t="inlineStr">
        <is>
          <t>端口路由</t>
        </is>
      </c>
      <c r="F335" s="16" t="inlineStr">
        <is>
          <t>端口映射管理</t>
        </is>
      </c>
      <c r="G335" s="17" t="inlineStr">
        <is>
          <t xml:space="preserve"> 提供端口映射规则创建/修改/删除/查询管理服务</t>
        </is>
      </c>
      <c r="H335" s="18" t="inlineStr">
        <is>
          <t>EQ</t>
        </is>
      </c>
      <c r="I335" s="18">
        <f>IF(H335="ILF",10,IF(H335="EIF",7,IF(H335="EI",4,IF(H335="EO",5,IF(H335="EQ",4,"")))))</f>
        <v/>
      </c>
      <c r="J335" s="18" t="inlineStr">
        <is>
          <t>低</t>
        </is>
      </c>
      <c r="K335" s="18">
        <f>IF(J335="高",0.33,IF(J335="中",0.67,IF(J335="低",1,"")))</f>
        <v/>
      </c>
      <c r="L335" s="18" t="inlineStr">
        <is>
          <t>新增</t>
        </is>
      </c>
      <c r="M335" s="18">
        <f>IF(L335="新增",1,IF(L335="修改",0.8,IF(L335="删除",0.2,"")))</f>
        <v/>
      </c>
      <c r="N335" s="18">
        <f>I335*K335*M335</f>
        <v/>
      </c>
    </row>
    <row r="336" ht="19" customHeight="1" s="1">
      <c r="B336" s="16" t="n">
        <v>331</v>
      </c>
      <c r="C336" s="16" t="inlineStr">
        <is>
          <t>多协议高频时序数据实时采集与异构设备统一接入服务</t>
        </is>
      </c>
      <c r="D336" s="16" t="inlineStr">
        <is>
          <t>动态IP设备接入</t>
        </is>
      </c>
      <c r="E336" s="16" t="inlineStr">
        <is>
          <t>端口路由</t>
        </is>
      </c>
      <c r="F336" s="16" t="inlineStr">
        <is>
          <t>端口映射追溯</t>
        </is>
      </c>
      <c r="G336" s="17" t="inlineStr">
        <is>
          <t xml:space="preserve"> 提供端口映射规则变更历史记录和追溯服务</t>
        </is>
      </c>
      <c r="H336" s="18" t="inlineStr">
        <is>
          <t>EQ</t>
        </is>
      </c>
      <c r="I336" s="18">
        <f>IF(H336="ILF",10,IF(H336="EIF",7,IF(H336="EI",4,IF(H336="EO",5,IF(H336="EQ",4,"")))))</f>
        <v/>
      </c>
      <c r="J336" s="18" t="inlineStr">
        <is>
          <t>低</t>
        </is>
      </c>
      <c r="K336" s="18">
        <f>IF(J336="高",0.33,IF(J336="中",0.67,IF(J336="低",1,"")))</f>
        <v/>
      </c>
      <c r="L336" s="18" t="inlineStr">
        <is>
          <t>新增</t>
        </is>
      </c>
      <c r="M336" s="18">
        <f>IF(L336="新增",1,IF(L336="修改",0.8,IF(L336="删除",0.2,"")))</f>
        <v/>
      </c>
      <c r="N336" s="18">
        <f>I336*K336*M336</f>
        <v/>
      </c>
    </row>
    <row r="337" ht="19" customHeight="1" s="1">
      <c r="B337" s="16" t="n">
        <v>332</v>
      </c>
      <c r="C337" s="16" t="inlineStr">
        <is>
          <t>多协议高频时序数据实时采集与异构设备统一接入服务</t>
        </is>
      </c>
      <c r="D337" s="16" t="inlineStr">
        <is>
          <t>动态IP设备接入</t>
        </is>
      </c>
      <c r="E337" s="16" t="inlineStr">
        <is>
          <t>端口路由</t>
        </is>
      </c>
      <c r="F337" s="16" t="inlineStr">
        <is>
          <t>路由流量监控</t>
        </is>
      </c>
      <c r="G337" s="17" t="inlineStr">
        <is>
          <t xml:space="preserve"> 提供端口路由转发流量实时监控服务</t>
        </is>
      </c>
      <c r="H337" s="18" t="inlineStr">
        <is>
          <t>EQ</t>
        </is>
      </c>
      <c r="I337" s="18">
        <f>IF(H337="ILF",10,IF(H337="EIF",7,IF(H337="EI",4,IF(H337="EO",5,IF(H337="EQ",4,"")))))</f>
        <v/>
      </c>
      <c r="J337" s="18" t="inlineStr">
        <is>
          <t>低</t>
        </is>
      </c>
      <c r="K337" s="18">
        <f>IF(J337="高",0.33,IF(J337="中",0.67,IF(J337="低",1,"")))</f>
        <v/>
      </c>
      <c r="L337" s="18" t="inlineStr">
        <is>
          <t>新增</t>
        </is>
      </c>
      <c r="M337" s="18">
        <f>IF(L337="新增",1,IF(L337="修改",0.8,IF(L337="删除",0.2,"")))</f>
        <v/>
      </c>
      <c r="N337" s="18">
        <f>I337*K337*M337</f>
        <v/>
      </c>
    </row>
    <row r="338" ht="19" customHeight="1" s="1">
      <c r="B338" s="16" t="n">
        <v>333</v>
      </c>
      <c r="C338" s="16" t="inlineStr">
        <is>
          <t>多协议高频时序数据实时采集与异构设备统一接入服务</t>
        </is>
      </c>
      <c r="D338" s="16" t="inlineStr">
        <is>
          <t>动态IP设备接入</t>
        </is>
      </c>
      <c r="E338" s="16" t="inlineStr">
        <is>
          <t>端口路由</t>
        </is>
      </c>
      <c r="F338" s="16" t="inlineStr">
        <is>
          <t>路由延迟监控</t>
        </is>
      </c>
      <c r="G338" s="17" t="inlineStr">
        <is>
          <t xml:space="preserve"> 提供端口路由转发延迟实时监控服务</t>
        </is>
      </c>
      <c r="H338" s="18" t="inlineStr">
        <is>
          <t>EQ</t>
        </is>
      </c>
      <c r="I338" s="18">
        <f>IF(H338="ILF",10,IF(H338="EIF",7,IF(H338="EI",4,IF(H338="EO",5,IF(H338="EQ",4,"")))))</f>
        <v/>
      </c>
      <c r="J338" s="18" t="inlineStr">
        <is>
          <t>低</t>
        </is>
      </c>
      <c r="K338" s="18">
        <f>IF(J338="高",0.33,IF(J338="中",0.67,IF(J338="低",1,"")))</f>
        <v/>
      </c>
      <c r="L338" s="18" t="inlineStr">
        <is>
          <t>新增</t>
        </is>
      </c>
      <c r="M338" s="18">
        <f>IF(L338="新增",1,IF(L338="修改",0.8,IF(L338="删除",0.2,"")))</f>
        <v/>
      </c>
      <c r="N338" s="18">
        <f>I338*K338*M338</f>
        <v/>
      </c>
    </row>
    <row r="339" ht="19" customHeight="1" s="1">
      <c r="B339" s="16" t="n">
        <v>334</v>
      </c>
      <c r="C339" s="16" t="inlineStr">
        <is>
          <t>多协议高频时序数据实时采集与异构设备统一接入服务</t>
        </is>
      </c>
      <c r="D339" s="16" t="inlineStr">
        <is>
          <t>动态IP设备接入</t>
        </is>
      </c>
      <c r="E339" s="16" t="inlineStr">
        <is>
          <t>端口路由</t>
        </is>
      </c>
      <c r="F339" s="16" t="inlineStr">
        <is>
          <t>路由故障切换</t>
        </is>
      </c>
      <c r="G339" s="17" t="inlineStr">
        <is>
          <t xml:space="preserve"> 提供端口路由主备故障自动切换服务</t>
        </is>
      </c>
      <c r="H339" s="18" t="inlineStr">
        <is>
          <t>EQ</t>
        </is>
      </c>
      <c r="I339" s="18">
        <f>IF(H339="ILF",10,IF(H339="EIF",7,IF(H339="EI",4,IF(H339="EO",5,IF(H339="EQ",4,"")))))</f>
        <v/>
      </c>
      <c r="J339" s="18" t="inlineStr">
        <is>
          <t>低</t>
        </is>
      </c>
      <c r="K339" s="18">
        <f>IF(J339="高",0.33,IF(J339="中",0.67,IF(J339="低",1,"")))</f>
        <v/>
      </c>
      <c r="L339" s="18" t="inlineStr">
        <is>
          <t>新增</t>
        </is>
      </c>
      <c r="M339" s="18">
        <f>IF(L339="新增",1,IF(L339="修改",0.8,IF(L339="删除",0.2,"")))</f>
        <v/>
      </c>
      <c r="N339" s="18">
        <f>I339*K339*M339</f>
        <v/>
      </c>
    </row>
    <row r="340" ht="19" customHeight="1" s="1">
      <c r="B340" s="16" t="n">
        <v>335</v>
      </c>
      <c r="C340" s="16" t="inlineStr">
        <is>
          <t>多协议高频时序数据实时采集与异构设备统一接入服务</t>
        </is>
      </c>
      <c r="D340" s="16" t="inlineStr">
        <is>
          <t>动态IP设备接入</t>
        </is>
      </c>
      <c r="E340" s="16" t="inlineStr">
        <is>
          <t>端口路由</t>
        </is>
      </c>
      <c r="F340" s="16" t="inlineStr">
        <is>
          <t>路由备份</t>
        </is>
      </c>
      <c r="G340" s="17" t="inlineStr">
        <is>
          <t xml:space="preserve"> 提供路由配置备份和恢复服务</t>
        </is>
      </c>
      <c r="H340" s="18" t="inlineStr">
        <is>
          <t>EQ</t>
        </is>
      </c>
      <c r="I340" s="18">
        <f>IF(H340="ILF",10,IF(H340="EIF",7,IF(H340="EI",4,IF(H340="EO",5,IF(H340="EQ",4,"")))))</f>
        <v/>
      </c>
      <c r="J340" s="18" t="inlineStr">
        <is>
          <t>低</t>
        </is>
      </c>
      <c r="K340" s="18">
        <f>IF(J340="高",0.33,IF(J340="中",0.67,IF(J340="低",1,"")))</f>
        <v/>
      </c>
      <c r="L340" s="18" t="inlineStr">
        <is>
          <t>新增</t>
        </is>
      </c>
      <c r="M340" s="18">
        <f>IF(L340="新增",1,IF(L340="修改",0.8,IF(L340="删除",0.2,"")))</f>
        <v/>
      </c>
      <c r="N340" s="18">
        <f>I340*K340*M340</f>
        <v/>
      </c>
    </row>
    <row r="341" ht="19" customHeight="1" s="1">
      <c r="B341" s="16" t="n">
        <v>336</v>
      </c>
      <c r="C341" s="16" t="inlineStr">
        <is>
          <t>多协议高频时序数据实时采集与异构设备统一接入服务</t>
        </is>
      </c>
      <c r="D341" s="16" t="inlineStr">
        <is>
          <t>动态IP设备接入</t>
        </is>
      </c>
      <c r="E341" s="16" t="inlineStr">
        <is>
          <t>DMZ代理</t>
        </is>
      </c>
      <c r="F341" s="16" t="inlineStr">
        <is>
          <t>DMZ部署</t>
        </is>
      </c>
      <c r="G341" s="17" t="inlineStr">
        <is>
          <t xml:space="preserve"> 提供DMZ区轻量级代理转发服务部署技术服务</t>
        </is>
      </c>
      <c r="H341" s="18" t="inlineStr">
        <is>
          <t>EQ</t>
        </is>
      </c>
      <c r="I341" s="18">
        <f>IF(H341="ILF",10,IF(H341="EIF",7,IF(H341="EI",4,IF(H341="EO",5,IF(H341="EQ",4,"")))))</f>
        <v/>
      </c>
      <c r="J341" s="18" t="inlineStr">
        <is>
          <t>低</t>
        </is>
      </c>
      <c r="K341" s="18">
        <f>IF(J341="高",0.33,IF(J341="中",0.67,IF(J341="低",1,"")))</f>
        <v/>
      </c>
      <c r="L341" s="18" t="inlineStr">
        <is>
          <t>新增</t>
        </is>
      </c>
      <c r="M341" s="18">
        <f>IF(L341="新增",1,IF(L341="修改",0.8,IF(L341="删除",0.2,"")))</f>
        <v/>
      </c>
      <c r="N341" s="18">
        <f>I341*K341*M341</f>
        <v/>
      </c>
    </row>
    <row r="342" ht="19" customHeight="1" s="1">
      <c r="B342" s="16" t="n">
        <v>337</v>
      </c>
      <c r="C342" s="16" t="inlineStr">
        <is>
          <t>多协议高频时序数据实时采集与异构设备统一接入服务</t>
        </is>
      </c>
      <c r="D342" s="16" t="inlineStr">
        <is>
          <t>动态IP设备接入</t>
        </is>
      </c>
      <c r="E342" s="16" t="inlineStr">
        <is>
          <t>DMZ代理</t>
        </is>
      </c>
      <c r="F342" s="16" t="inlineStr">
        <is>
          <t>A0注册帧</t>
        </is>
      </c>
      <c r="G342" s="17" t="inlineStr">
        <is>
          <t xml:space="preserve"> 提供兼容A0注册帧协议格式的报文解析服务</t>
        </is>
      </c>
      <c r="H342" s="18" t="inlineStr">
        <is>
          <t>EQ</t>
        </is>
      </c>
      <c r="I342" s="18">
        <f>IF(H342="ILF",10,IF(H342="EIF",7,IF(H342="EI",4,IF(H342="EO",5,IF(H342="EQ",4,"")))))</f>
        <v/>
      </c>
      <c r="J342" s="18" t="inlineStr">
        <is>
          <t>低</t>
        </is>
      </c>
      <c r="K342" s="18">
        <f>IF(J342="高",0.33,IF(J342="中",0.67,IF(J342="低",1,"")))</f>
        <v/>
      </c>
      <c r="L342" s="18" t="inlineStr">
        <is>
          <t>新增</t>
        </is>
      </c>
      <c r="M342" s="18">
        <f>IF(L342="新增",1,IF(L342="修改",0.8,IF(L342="删除",0.2,"")))</f>
        <v/>
      </c>
      <c r="N342" s="18">
        <f>I342*K342*M342</f>
        <v/>
      </c>
    </row>
    <row r="343" ht="19" customHeight="1" s="1">
      <c r="B343" s="16" t="n">
        <v>338</v>
      </c>
      <c r="C343" s="16" t="inlineStr">
        <is>
          <t>多协议高频时序数据实时采集与异构设备统一接入服务</t>
        </is>
      </c>
      <c r="D343" s="16" t="inlineStr">
        <is>
          <t>动态IP设备接入</t>
        </is>
      </c>
      <c r="E343" s="16" t="inlineStr">
        <is>
          <t>DMZ代理</t>
        </is>
      </c>
      <c r="F343" s="16" t="inlineStr">
        <is>
          <t>A81注册帧</t>
        </is>
      </c>
      <c r="G343" s="17" t="inlineStr">
        <is>
          <t xml:space="preserve"> 提供兼容A81注册帧协议格式的报文解析服务</t>
        </is>
      </c>
      <c r="H343" s="18" t="inlineStr">
        <is>
          <t>EQ</t>
        </is>
      </c>
      <c r="I343" s="18">
        <f>IF(H343="ILF",10,IF(H343="EIF",7,IF(H343="EI",4,IF(H343="EO",5,IF(H343="EQ",4,"")))))</f>
        <v/>
      </c>
      <c r="J343" s="18" t="inlineStr">
        <is>
          <t>中</t>
        </is>
      </c>
      <c r="K343" s="18">
        <f>IF(J343="高",0.33,IF(J343="中",0.67,IF(J343="低",1,"")))</f>
        <v/>
      </c>
      <c r="L343" s="18" t="inlineStr">
        <is>
          <t>新增</t>
        </is>
      </c>
      <c r="M343" s="18">
        <f>IF(L343="新增",1,IF(L343="修改",0.8,IF(L343="删除",0.2,"")))</f>
        <v/>
      </c>
      <c r="N343" s="18">
        <f>I343*K343*M343</f>
        <v/>
      </c>
    </row>
    <row r="344" ht="19" customHeight="1" s="1">
      <c r="B344" s="16" t="n">
        <v>339</v>
      </c>
      <c r="C344" s="16" t="inlineStr">
        <is>
          <t>多协议高频时序数据实时采集与异构设备统一接入服务</t>
        </is>
      </c>
      <c r="D344" s="16" t="inlineStr">
        <is>
          <t>动态IP设备接入</t>
        </is>
      </c>
      <c r="E344" s="16" t="inlineStr">
        <is>
          <t>DMZ代理</t>
        </is>
      </c>
      <c r="F344" s="16" t="inlineStr">
        <is>
          <t>进程号会话</t>
        </is>
      </c>
      <c r="G344" s="17" t="inlineStr">
        <is>
          <t xml:space="preserve"> 提供基于进程号而非IP地址的稳定会话维持服务</t>
        </is>
      </c>
      <c r="H344" s="18" t="inlineStr">
        <is>
          <t>EQ</t>
        </is>
      </c>
      <c r="I344" s="18">
        <f>IF(H344="ILF",10,IF(H344="EIF",7,IF(H344="EI",4,IF(H344="EO",5,IF(H344="EQ",4,"")))))</f>
        <v/>
      </c>
      <c r="J344" s="18" t="inlineStr">
        <is>
          <t>中</t>
        </is>
      </c>
      <c r="K344" s="18">
        <f>IF(J344="高",0.33,IF(J344="中",0.67,IF(J344="低",1,"")))</f>
        <v/>
      </c>
      <c r="L344" s="18" t="inlineStr">
        <is>
          <t>新增</t>
        </is>
      </c>
      <c r="M344" s="18">
        <f>IF(L344="新增",1,IF(L344="修改",0.8,IF(L344="删除",0.2,"")))</f>
        <v/>
      </c>
      <c r="N344" s="18">
        <f>I344*K344*M344</f>
        <v/>
      </c>
    </row>
    <row r="345" ht="19" customHeight="1" s="1">
      <c r="B345" s="16" t="n">
        <v>340</v>
      </c>
      <c r="C345" s="16" t="inlineStr">
        <is>
          <t>多协议高频时序数据实时采集与异构设备统一接入服务</t>
        </is>
      </c>
      <c r="D345" s="16" t="inlineStr">
        <is>
          <t>动态IP设备接入</t>
        </is>
      </c>
      <c r="E345" s="16" t="inlineStr">
        <is>
          <t>DMZ代理</t>
        </is>
      </c>
      <c r="F345" s="16" t="inlineStr">
        <is>
          <t>设备ID绑定</t>
        </is>
      </c>
      <c r="G345" s="17" t="inlineStr">
        <is>
          <t xml:space="preserve"> 提供设备ID与会话的绑定和映射关系管理服务</t>
        </is>
      </c>
      <c r="H345" s="18" t="inlineStr">
        <is>
          <t>EQ</t>
        </is>
      </c>
      <c r="I345" s="18">
        <f>IF(H345="ILF",10,IF(H345="EIF",7,IF(H345="EI",4,IF(H345="EO",5,IF(H345="EQ",4,"")))))</f>
        <v/>
      </c>
      <c r="J345" s="18" t="inlineStr">
        <is>
          <t>中</t>
        </is>
      </c>
      <c r="K345" s="18">
        <f>IF(J345="高",0.33,IF(J345="中",0.67,IF(J345="低",1,"")))</f>
        <v/>
      </c>
      <c r="L345" s="18" t="inlineStr">
        <is>
          <t>新增</t>
        </is>
      </c>
      <c r="M345" s="18">
        <f>IF(L345="新增",1,IF(L345="修改",0.8,IF(L345="删除",0.2,"")))</f>
        <v/>
      </c>
      <c r="N345" s="18">
        <f>I345*K345*M345</f>
        <v/>
      </c>
    </row>
    <row r="346" ht="19" customHeight="1" s="1">
      <c r="B346" s="16" t="n">
        <v>341</v>
      </c>
      <c r="C346" s="16" t="inlineStr">
        <is>
          <t>多协议高频时序数据实时采集与异构设备统一接入服务</t>
        </is>
      </c>
      <c r="D346" s="16" t="inlineStr">
        <is>
          <t>动态IP设备接入</t>
        </is>
      </c>
      <c r="E346" s="16" t="inlineStr">
        <is>
          <t>DMZ代理</t>
        </is>
      </c>
      <c r="F346" s="16" t="inlineStr">
        <is>
          <t>时间戳同步</t>
        </is>
      </c>
      <c r="G346" s="17" t="inlineStr">
        <is>
          <t xml:space="preserve"> 提供代理与设备间时间戳交互和同步服务</t>
        </is>
      </c>
      <c r="H346" s="18" t="inlineStr">
        <is>
          <t>EQ</t>
        </is>
      </c>
      <c r="I346" s="18">
        <f>IF(H346="ILF",10,IF(H346="EIF",7,IF(H346="EI",4,IF(H346="EO",5,IF(H346="EQ",4,"")))))</f>
        <v/>
      </c>
      <c r="J346" s="18" t="inlineStr">
        <is>
          <t>中</t>
        </is>
      </c>
      <c r="K346" s="18">
        <f>IF(J346="高",0.33,IF(J346="中",0.67,IF(J346="低",1,"")))</f>
        <v/>
      </c>
      <c r="L346" s="18" t="inlineStr">
        <is>
          <t>新增</t>
        </is>
      </c>
      <c r="M346" s="18">
        <f>IF(L346="新增",1,IF(L346="修改",0.8,IF(L346="删除",0.2,"")))</f>
        <v/>
      </c>
      <c r="N346" s="18">
        <f>I346*K346*M346</f>
        <v/>
      </c>
    </row>
    <row r="347" ht="19" customHeight="1" s="1">
      <c r="B347" s="16" t="n">
        <v>342</v>
      </c>
      <c r="C347" s="16" t="inlineStr">
        <is>
          <t>多协议高频时序数据实时采集与异构设备统一接入服务</t>
        </is>
      </c>
      <c r="D347" s="16" t="inlineStr">
        <is>
          <t>动态IP设备接入</t>
        </is>
      </c>
      <c r="E347" s="16" t="inlineStr">
        <is>
          <t>DMZ代理</t>
        </is>
      </c>
      <c r="F347" s="16" t="inlineStr">
        <is>
          <t>数据透传</t>
        </is>
      </c>
      <c r="G347" s="17" t="inlineStr">
        <is>
          <t xml:space="preserve"> 提供数据帧原样透传至A11 IO端口转发服务</t>
        </is>
      </c>
      <c r="H347" s="18" t="inlineStr">
        <is>
          <t>EQ</t>
        </is>
      </c>
      <c r="I347" s="18">
        <f>IF(H347="ILF",10,IF(H347="EIF",7,IF(H347="EI",4,IF(H347="EO",5,IF(H347="EQ",4,"")))))</f>
        <v/>
      </c>
      <c r="J347" s="18" t="inlineStr">
        <is>
          <t>中</t>
        </is>
      </c>
      <c r="K347" s="18">
        <f>IF(J347="高",0.33,IF(J347="中",0.67,IF(J347="低",1,"")))</f>
        <v/>
      </c>
      <c r="L347" s="18" t="inlineStr">
        <is>
          <t>新增</t>
        </is>
      </c>
      <c r="M347" s="18">
        <f>IF(L347="新增",1,IF(L347="修改",0.8,IF(L347="删除",0.2,"")))</f>
        <v/>
      </c>
      <c r="N347" s="18">
        <f>I347*K347*M347</f>
        <v/>
      </c>
    </row>
    <row r="348" ht="19" customHeight="1" s="1">
      <c r="B348" s="16" t="n">
        <v>343</v>
      </c>
      <c r="C348" s="16" t="inlineStr">
        <is>
          <t>多协议高频时序数据实时采集与异构设备统一接入服务</t>
        </is>
      </c>
      <c r="D348" s="16" t="inlineStr">
        <is>
          <t>动态IP设备接入</t>
        </is>
      </c>
      <c r="E348" s="16" t="inlineStr">
        <is>
          <t>DMZ代理</t>
        </is>
      </c>
      <c r="F348" s="16" t="inlineStr">
        <is>
          <t>双客户端</t>
        </is>
      </c>
      <c r="G348" s="17" t="inlineStr">
        <is>
          <t xml:space="preserve"> 提供A11+代理双客户端数据管理服务</t>
        </is>
      </c>
      <c r="H348" s="18" t="inlineStr">
        <is>
          <t>EQ</t>
        </is>
      </c>
      <c r="I348" s="18">
        <f>IF(H348="ILF",10,IF(H348="EIF",7,IF(H348="EI",4,IF(H348="EO",5,IF(H348="EQ",4,"")))))</f>
        <v/>
      </c>
      <c r="J348" s="18" t="inlineStr">
        <is>
          <t>中</t>
        </is>
      </c>
      <c r="K348" s="18">
        <f>IF(J348="高",0.33,IF(J348="中",0.67,IF(J348="低",1,"")))</f>
        <v/>
      </c>
      <c r="L348" s="18" t="inlineStr">
        <is>
          <t>新增</t>
        </is>
      </c>
      <c r="M348" s="18">
        <f>IF(L348="新增",1,IF(L348="修改",0.8,IF(L348="删除",0.2,"")))</f>
        <v/>
      </c>
      <c r="N348" s="18">
        <f>I348*K348*M348</f>
        <v/>
      </c>
    </row>
    <row r="349" ht="19" customHeight="1" s="1">
      <c r="B349" s="16" t="n">
        <v>344</v>
      </c>
      <c r="C349" s="16" t="inlineStr">
        <is>
          <t>多协议高频时序数据实时采集与异构设备统一接入服务</t>
        </is>
      </c>
      <c r="D349" s="16" t="inlineStr">
        <is>
          <t>动态IP设备接入</t>
        </is>
      </c>
      <c r="E349" s="16" t="inlineStr">
        <is>
          <t>DMZ代理</t>
        </is>
      </c>
      <c r="F349" s="16" t="inlineStr">
        <is>
          <t>串行队列</t>
        </is>
      </c>
      <c r="G349" s="17" t="inlineStr">
        <is>
          <t xml:space="preserve"> 提供请求按时间戳排序的串行化队列保障服务</t>
        </is>
      </c>
      <c r="H349" s="18" t="inlineStr">
        <is>
          <t>EQ</t>
        </is>
      </c>
      <c r="I349" s="18">
        <f>IF(H349="ILF",10,IF(H349="EIF",7,IF(H349="EI",4,IF(H349="EO",5,IF(H349="EQ",4,"")))))</f>
        <v/>
      </c>
      <c r="J349" s="18" t="inlineStr">
        <is>
          <t>中</t>
        </is>
      </c>
      <c r="K349" s="18">
        <f>IF(J349="高",0.33,IF(J349="中",0.67,IF(J349="低",1,"")))</f>
        <v/>
      </c>
      <c r="L349" s="18" t="inlineStr">
        <is>
          <t>新增</t>
        </is>
      </c>
      <c r="M349" s="18">
        <f>IF(L349="新增",1,IF(L349="修改",0.8,IF(L349="删除",0.2,"")))</f>
        <v/>
      </c>
      <c r="N349" s="18">
        <f>I349*K349*M349</f>
        <v/>
      </c>
    </row>
    <row r="350" ht="19" customHeight="1" s="1">
      <c r="B350" s="16" t="n">
        <v>345</v>
      </c>
      <c r="C350" s="16" t="inlineStr">
        <is>
          <t>多协议高频时序数据实时采集与异构设备统一接入服务</t>
        </is>
      </c>
      <c r="D350" s="16" t="inlineStr">
        <is>
          <t>动态IP设备接入</t>
        </is>
      </c>
      <c r="E350" s="16" t="inlineStr">
        <is>
          <t>DMZ代理</t>
        </is>
      </c>
      <c r="F350" s="16" t="inlineStr">
        <is>
          <t>代理健康监控</t>
        </is>
      </c>
      <c r="G350" s="17" t="inlineStr">
        <is>
          <t xml:space="preserve"> 提供DMZ代理运行状态和健康度实时监控服务</t>
        </is>
      </c>
      <c r="H350" s="18" t="inlineStr">
        <is>
          <t>EQ</t>
        </is>
      </c>
      <c r="I350" s="18">
        <f>IF(H350="ILF",10,IF(H350="EIF",7,IF(H350="EI",4,IF(H350="EO",5,IF(H350="EQ",4,"")))))</f>
        <v/>
      </c>
      <c r="J350" s="18" t="inlineStr">
        <is>
          <t>中</t>
        </is>
      </c>
      <c r="K350" s="18">
        <f>IF(J350="高",0.33,IF(J350="中",0.67,IF(J350="低",1,"")))</f>
        <v/>
      </c>
      <c r="L350" s="18" t="inlineStr">
        <is>
          <t>新增</t>
        </is>
      </c>
      <c r="M350" s="18">
        <f>IF(L350="新增",1,IF(L350="修改",0.8,IF(L350="删除",0.2,"")))</f>
        <v/>
      </c>
      <c r="N350" s="18">
        <f>I350*K350*M350</f>
        <v/>
      </c>
    </row>
    <row r="351" ht="19" customHeight="1" s="1">
      <c r="B351" s="16" t="n">
        <v>346</v>
      </c>
      <c r="C351" s="16" t="inlineStr">
        <is>
          <t>多协议高频时序数据实时采集与异构设备统一接入服务</t>
        </is>
      </c>
      <c r="D351" s="16" t="inlineStr">
        <is>
          <t>动态IP设备接入</t>
        </is>
      </c>
      <c r="E351" s="16" t="inlineStr">
        <is>
          <t>DMZ代理</t>
        </is>
      </c>
      <c r="F351" s="16" t="inlineStr">
        <is>
          <t>代理负载</t>
        </is>
      </c>
      <c r="G351" s="17" t="inlineStr">
        <is>
          <t xml:space="preserve"> 提供代理服务并发连接数和资源使用率监控</t>
        </is>
      </c>
      <c r="H351" s="18" t="inlineStr">
        <is>
          <t>EQ</t>
        </is>
      </c>
      <c r="I351" s="18">
        <f>IF(H351="ILF",10,IF(H351="EIF",7,IF(H351="EI",4,IF(H351="EO",5,IF(H351="EQ",4,"")))))</f>
        <v/>
      </c>
      <c r="J351" s="18" t="inlineStr">
        <is>
          <t>中</t>
        </is>
      </c>
      <c r="K351" s="18">
        <f>IF(J351="高",0.33,IF(J351="中",0.67,IF(J351="低",1,"")))</f>
        <v/>
      </c>
      <c r="L351" s="18" t="inlineStr">
        <is>
          <t>新增</t>
        </is>
      </c>
      <c r="M351" s="18">
        <f>IF(L351="新增",1,IF(L351="修改",0.8,IF(L351="删除",0.2,"")))</f>
        <v/>
      </c>
      <c r="N351" s="18">
        <f>I351*K351*M351</f>
        <v/>
      </c>
    </row>
    <row r="352" ht="19" customHeight="1" s="1">
      <c r="B352" s="16" t="n">
        <v>347</v>
      </c>
      <c r="C352" s="16" t="inlineStr">
        <is>
          <t>多协议高频时序数据实时采集与异构设备统一接入服务</t>
        </is>
      </c>
      <c r="D352" s="16" t="inlineStr">
        <is>
          <t>动态IP设备接入</t>
        </is>
      </c>
      <c r="E352" s="16" t="inlineStr">
        <is>
          <t>DMZ代理</t>
        </is>
      </c>
      <c r="F352" s="16" t="inlineStr">
        <is>
          <t>代理日志</t>
        </is>
      </c>
      <c r="G352" s="17" t="inlineStr">
        <is>
          <t xml:space="preserve"> 提供代理服务操作日志和异常日志记录服务</t>
        </is>
      </c>
      <c r="H352" s="18" t="inlineStr">
        <is>
          <t>EQ</t>
        </is>
      </c>
      <c r="I352" s="18">
        <f>IF(H352="ILF",10,IF(H352="EIF",7,IF(H352="EI",4,IF(H352="EO",5,IF(H352="EQ",4,"")))))</f>
        <v/>
      </c>
      <c r="J352" s="18" t="inlineStr">
        <is>
          <t>中</t>
        </is>
      </c>
      <c r="K352" s="18">
        <f>IF(J352="高",0.33,IF(J352="中",0.67,IF(J352="低",1,"")))</f>
        <v/>
      </c>
      <c r="L352" s="18" t="inlineStr">
        <is>
          <t>新增</t>
        </is>
      </c>
      <c r="M352" s="18">
        <f>IF(L352="新增",1,IF(L352="修改",0.8,IF(L352="删除",0.2,"")))</f>
        <v/>
      </c>
      <c r="N352" s="18">
        <f>I352*K352*M352</f>
        <v/>
      </c>
    </row>
    <row r="353" ht="19" customHeight="1" s="1">
      <c r="B353" s="16" t="n">
        <v>348</v>
      </c>
      <c r="C353" s="16" t="inlineStr">
        <is>
          <t>多协议高频时序数据实时采集与异构设备统一接入服务</t>
        </is>
      </c>
      <c r="D353" s="16" t="inlineStr">
        <is>
          <t>动态IP设备接入</t>
        </is>
      </c>
      <c r="E353" s="16" t="inlineStr">
        <is>
          <t>DMZ代理</t>
        </is>
      </c>
      <c r="F353" s="16" t="inlineStr">
        <is>
          <t>代理扩展</t>
        </is>
      </c>
      <c r="G353" s="17" t="inlineStr">
        <is>
          <t xml:space="preserve"> 提供代理服务按负载自动扩展的技术服务</t>
        </is>
      </c>
      <c r="H353" s="18" t="inlineStr">
        <is>
          <t>EQ</t>
        </is>
      </c>
      <c r="I353" s="18">
        <f>IF(H353="ILF",10,IF(H353="EIF",7,IF(H353="EI",4,IF(H353="EO",5,IF(H353="EQ",4,"")))))</f>
        <v/>
      </c>
      <c r="J353" s="18" t="inlineStr">
        <is>
          <t>中</t>
        </is>
      </c>
      <c r="K353" s="18">
        <f>IF(J353="高",0.33,IF(J353="中",0.67,IF(J353="低",1,"")))</f>
        <v/>
      </c>
      <c r="L353" s="18" t="inlineStr">
        <is>
          <t>新增</t>
        </is>
      </c>
      <c r="M353" s="18">
        <f>IF(L353="新增",1,IF(L353="修改",0.8,IF(L353="删除",0.2,"")))</f>
        <v/>
      </c>
      <c r="N353" s="18">
        <f>I353*K353*M353</f>
        <v/>
      </c>
    </row>
    <row r="354" ht="19" customHeight="1" s="1">
      <c r="B354" s="16" t="n">
        <v>349</v>
      </c>
      <c r="C354" s="16" t="inlineStr">
        <is>
          <t>多协议高频时序数据实时采集与异构设备统一接入服务</t>
        </is>
      </c>
      <c r="D354" s="16" t="inlineStr">
        <is>
          <t>动态IP设备接入</t>
        </is>
      </c>
      <c r="E354" s="16" t="inlineStr">
        <is>
          <t>DMZ代理</t>
        </is>
      </c>
      <c r="F354" s="16" t="inlineStr">
        <is>
          <t>代理切换</t>
        </is>
      </c>
      <c r="G354" s="17" t="inlineStr">
        <is>
          <t xml:space="preserve"> 提供代理服务主备自动故障切换服务</t>
        </is>
      </c>
      <c r="H354" s="18" t="inlineStr">
        <is>
          <t>EQ</t>
        </is>
      </c>
      <c r="I354" s="18">
        <f>IF(H354="ILF",10,IF(H354="EIF",7,IF(H354="EI",4,IF(H354="EO",5,IF(H354="EQ",4,"")))))</f>
        <v/>
      </c>
      <c r="J354" s="18" t="inlineStr">
        <is>
          <t>中</t>
        </is>
      </c>
      <c r="K354" s="18">
        <f>IF(J354="高",0.33,IF(J354="中",0.67,IF(J354="低",1,"")))</f>
        <v/>
      </c>
      <c r="L354" s="18" t="inlineStr">
        <is>
          <t>新增</t>
        </is>
      </c>
      <c r="M354" s="18">
        <f>IF(L354="新增",1,IF(L354="修改",0.8,IF(L354="删除",0.2,"")))</f>
        <v/>
      </c>
      <c r="N354" s="18">
        <f>I354*K354*M354</f>
        <v/>
      </c>
    </row>
    <row r="355" ht="19" customHeight="1" s="1">
      <c r="B355" s="16" t="n">
        <v>350</v>
      </c>
      <c r="C355" s="16" t="inlineStr">
        <is>
          <t>多协议高频时序数据实时采集与异构设备统一接入服务</t>
        </is>
      </c>
      <c r="D355" s="16" t="inlineStr">
        <is>
          <t>固定IP设备接入</t>
        </is>
      </c>
      <c r="E355" s="16" t="inlineStr">
        <is>
          <t>主动扫描</t>
        </is>
      </c>
      <c r="F355" s="16" t="inlineStr">
        <is>
          <t>Modbus扫描</t>
        </is>
      </c>
      <c r="G355" s="17" t="inlineStr">
        <is>
          <t xml:space="preserve"> 提供Modbus TCP扫描1-247地址范围从机设备服务</t>
        </is>
      </c>
      <c r="H355" s="18" t="inlineStr">
        <is>
          <t>EQ</t>
        </is>
      </c>
      <c r="I355" s="18">
        <f>IF(H355="ILF",10,IF(H355="EIF",7,IF(H355="EI",4,IF(H355="EO",5,IF(H355="EQ",4,"")))))</f>
        <v/>
      </c>
      <c r="J355" s="18" t="inlineStr">
        <is>
          <t>中</t>
        </is>
      </c>
      <c r="K355" s="18">
        <f>IF(J355="高",0.33,IF(J355="中",0.67,IF(J355="低",1,"")))</f>
        <v/>
      </c>
      <c r="L355" s="18" t="inlineStr">
        <is>
          <t>新增</t>
        </is>
      </c>
      <c r="M355" s="18">
        <f>IF(L355="新增",1,IF(L355="修改",0.8,IF(L355="删除",0.2,"")))</f>
        <v/>
      </c>
      <c r="N355" s="18">
        <f>I355*K355*M355</f>
        <v/>
      </c>
    </row>
    <row r="356" ht="19" customHeight="1" s="1">
      <c r="B356" s="16" t="n">
        <v>351</v>
      </c>
      <c r="C356" s="16" t="inlineStr">
        <is>
          <t>多协议高频时序数据实时采集与异构设备统一接入服务</t>
        </is>
      </c>
      <c r="D356" s="16" t="inlineStr">
        <is>
          <t>固定IP设备接入</t>
        </is>
      </c>
      <c r="E356" s="16" t="inlineStr">
        <is>
          <t>主动扫描</t>
        </is>
      </c>
      <c r="F356" s="16" t="inlineStr">
        <is>
          <t>设备发现</t>
        </is>
      </c>
      <c r="G356" s="17" t="inlineStr">
        <is>
          <t xml:space="preserve"> 提供自动发现在线RTU设备并获取设备信息服务</t>
        </is>
      </c>
      <c r="H356" s="18" t="inlineStr">
        <is>
          <t>EQ</t>
        </is>
      </c>
      <c r="I356" s="18">
        <f>IF(H356="ILF",10,IF(H356="EIF",7,IF(H356="EI",4,IF(H356="EO",5,IF(H356="EQ",4,"")))))</f>
        <v/>
      </c>
      <c r="J356" s="18" t="inlineStr">
        <is>
          <t>高</t>
        </is>
      </c>
      <c r="K356" s="18">
        <f>IF(J356="高",0.33,IF(J356="中",0.67,IF(J356="低",1,"")))</f>
        <v/>
      </c>
      <c r="L356" s="18" t="inlineStr">
        <is>
          <t>新增</t>
        </is>
      </c>
      <c r="M356" s="18">
        <f>IF(L356="新增",1,IF(L356="修改",0.8,IF(L356="删除",0.2,"")))</f>
        <v/>
      </c>
      <c r="N356" s="18">
        <f>I356*K356*M356</f>
        <v/>
      </c>
    </row>
    <row r="357" ht="19" customHeight="1" s="1">
      <c r="B357" s="16" t="n">
        <v>352</v>
      </c>
      <c r="C357" s="16" t="inlineStr">
        <is>
          <t>多协议高频时序数据实时采集与异构设备统一接入服务</t>
        </is>
      </c>
      <c r="D357" s="16" t="inlineStr">
        <is>
          <t>固定IP设备接入</t>
        </is>
      </c>
      <c r="E357" s="16" t="inlineStr">
        <is>
          <t>主动扫描</t>
        </is>
      </c>
      <c r="F357" s="16" t="inlineStr">
        <is>
          <t>报文解析</t>
        </is>
      </c>
      <c r="G357" s="17" t="inlineStr">
        <is>
          <t xml:space="preserve"> 提供解析注册报文获取设备ID/IP/端口/从机地址服务</t>
        </is>
      </c>
      <c r="H357" s="18" t="inlineStr">
        <is>
          <t>EQ</t>
        </is>
      </c>
      <c r="I357" s="18">
        <f>IF(H357="ILF",10,IF(H357="EIF",7,IF(H357="EI",4,IF(H357="EO",5,IF(H357="EQ",4,"")))))</f>
        <v/>
      </c>
      <c r="J357" s="18" t="inlineStr">
        <is>
          <t>高</t>
        </is>
      </c>
      <c r="K357" s="18">
        <f>IF(J357="高",0.33,IF(J357="中",0.67,IF(J357="低",1,"")))</f>
        <v/>
      </c>
      <c r="L357" s="18" t="inlineStr">
        <is>
          <t>新增</t>
        </is>
      </c>
      <c r="M357" s="18">
        <f>IF(L357="新增",1,IF(L357="修改",0.8,IF(L357="删除",0.2,"")))</f>
        <v/>
      </c>
      <c r="N357" s="18">
        <f>I357*K357*M357</f>
        <v/>
      </c>
    </row>
    <row r="358" ht="19" customHeight="1" s="1">
      <c r="B358" s="16" t="n">
        <v>353</v>
      </c>
      <c r="C358" s="16" t="inlineStr">
        <is>
          <t>多协议高频时序数据实时采集与异构设备统一接入服务</t>
        </is>
      </c>
      <c r="D358" s="16" t="inlineStr">
        <is>
          <t>固定IP设备接入</t>
        </is>
      </c>
      <c r="E358" s="16" t="inlineStr">
        <is>
          <t>主动扫描</t>
        </is>
      </c>
      <c r="F358" s="16" t="inlineStr">
        <is>
          <t>连接维护</t>
        </is>
      </c>
      <c r="G358" s="17" t="inlineStr">
        <is>
          <t xml:space="preserve"> 提供设备连接稳定状态维护服务</t>
        </is>
      </c>
      <c r="H358" s="18" t="inlineStr">
        <is>
          <t>EQ</t>
        </is>
      </c>
      <c r="I358" s="18">
        <f>IF(H358="ILF",10,IF(H358="EIF",7,IF(H358="EI",4,IF(H358="EO",5,IF(H358="EQ",4,"")))))</f>
        <v/>
      </c>
      <c r="J358" s="18" t="inlineStr">
        <is>
          <t>高</t>
        </is>
      </c>
      <c r="K358" s="18">
        <f>IF(J358="高",0.33,IF(J358="中",0.67,IF(J358="低",1,"")))</f>
        <v/>
      </c>
      <c r="L358" s="18" t="inlineStr">
        <is>
          <t>新增</t>
        </is>
      </c>
      <c r="M358" s="18">
        <f>IF(L358="新增",1,IF(L358="修改",0.8,IF(L358="删除",0.2,"")))</f>
        <v/>
      </c>
      <c r="N358" s="18">
        <f>I358*K358*M358</f>
        <v/>
      </c>
    </row>
    <row r="359" ht="19" customHeight="1" s="1">
      <c r="B359" s="16" t="n">
        <v>354</v>
      </c>
      <c r="C359" s="16" t="inlineStr">
        <is>
          <t>多协议高频时序数据实时采集与异构设备统一接入服务</t>
        </is>
      </c>
      <c r="D359" s="16" t="inlineStr">
        <is>
          <t>固定IP设备接入</t>
        </is>
      </c>
      <c r="E359" s="16" t="inlineStr">
        <is>
          <t>主动扫描</t>
        </is>
      </c>
      <c r="F359" s="16" t="inlineStr">
        <is>
          <t>自动重连</t>
        </is>
      </c>
      <c r="G359" s="17" t="inlineStr">
        <is>
          <t xml:space="preserve"> 提供设备断开后自动重新连接服务</t>
        </is>
      </c>
      <c r="H359" s="18" t="inlineStr">
        <is>
          <t>EQ</t>
        </is>
      </c>
      <c r="I359" s="18">
        <f>IF(H359="ILF",10,IF(H359="EIF",7,IF(H359="EI",4,IF(H359="EO",5,IF(H359="EQ",4,"")))))</f>
        <v/>
      </c>
      <c r="J359" s="18" t="inlineStr">
        <is>
          <t>高</t>
        </is>
      </c>
      <c r="K359" s="18">
        <f>IF(J359="高",0.33,IF(J359="中",0.67,IF(J359="低",1,"")))</f>
        <v/>
      </c>
      <c r="L359" s="18" t="inlineStr">
        <is>
          <t>新增</t>
        </is>
      </c>
      <c r="M359" s="18">
        <f>IF(L359="新增",1,IF(L359="修改",0.8,IF(L359="删除",0.2,"")))</f>
        <v/>
      </c>
      <c r="N359" s="18">
        <f>I359*K359*M359</f>
        <v/>
      </c>
    </row>
    <row r="360" ht="19" customHeight="1" s="1">
      <c r="B360" s="16" t="n">
        <v>355</v>
      </c>
      <c r="C360" s="16" t="inlineStr">
        <is>
          <t>边缘端前置流式计算与实时告警引擎服务</t>
        </is>
      </c>
      <c r="D360" s="16" t="inlineStr">
        <is>
          <t>边缘平台联动</t>
        </is>
      </c>
      <c r="E360" s="16" t="inlineStr">
        <is>
          <t>边缘判定</t>
        </is>
      </c>
      <c r="F360" s="16" t="inlineStr">
        <is>
          <t>结构化上报</t>
        </is>
      </c>
      <c r="G360" s="17" t="inlineStr">
        <is>
          <t xml:space="preserve"> 提供边缘仅上报标准化告警码/时间/设备事件服务</t>
        </is>
      </c>
      <c r="H360" s="18" t="inlineStr">
        <is>
          <t>ILF</t>
        </is>
      </c>
      <c r="I360" s="18">
        <f>IF(H360="ILF",10,IF(H360="EIF",7,IF(H360="EI",4,IF(H360="EO",5,IF(H360="EQ",4,"")))))</f>
        <v/>
      </c>
      <c r="J360" s="18" t="inlineStr">
        <is>
          <t>低</t>
        </is>
      </c>
      <c r="K360" s="18">
        <f>IF(J360="高",0.33,IF(J360="中",0.67,IF(J360="低",1,"")))</f>
        <v/>
      </c>
      <c r="L360" s="18" t="inlineStr">
        <is>
          <t>新增</t>
        </is>
      </c>
      <c r="M360" s="18">
        <f>IF(L360="新增",1,IF(L360="修改",0.8,IF(L360="删除",0.2,"")))</f>
        <v/>
      </c>
      <c r="N360" s="18">
        <f>I360*K360*M360</f>
        <v/>
      </c>
    </row>
    <row r="361" ht="19" customHeight="1" s="1">
      <c r="B361" s="16" t="n">
        <v>356</v>
      </c>
      <c r="C361" s="16" t="inlineStr">
        <is>
          <t>边缘端前置流式计算与实时告警引擎服务</t>
        </is>
      </c>
      <c r="D361" s="16" t="inlineStr">
        <is>
          <t>边缘平台联动</t>
        </is>
      </c>
      <c r="E361" s="16" t="inlineStr">
        <is>
          <t>边缘判定</t>
        </is>
      </c>
      <c r="F361" s="16" t="inlineStr">
        <is>
          <t>断网缓存</t>
        </is>
      </c>
      <c r="G361" s="17" t="inlineStr">
        <is>
          <t xml:space="preserve"> 提供边缘断网时告警数据缓存≥100万条服务</t>
        </is>
      </c>
      <c r="H361" s="18" t="inlineStr">
        <is>
          <t>ILF</t>
        </is>
      </c>
      <c r="I361" s="18">
        <f>IF(H361="ILF",10,IF(H361="EIF",7,IF(H361="EI",4,IF(H361="EO",5,IF(H361="EQ",4,"")))))</f>
        <v/>
      </c>
      <c r="J361" s="18" t="inlineStr">
        <is>
          <t>低</t>
        </is>
      </c>
      <c r="K361" s="18">
        <f>IF(J361="高",0.33,IF(J361="中",0.67,IF(J361="低",1,"")))</f>
        <v/>
      </c>
      <c r="L361" s="18" t="inlineStr">
        <is>
          <t>新增</t>
        </is>
      </c>
      <c r="M361" s="18">
        <f>IF(L361="新增",1,IF(L361="修改",0.8,IF(L361="删除",0.2,"")))</f>
        <v/>
      </c>
      <c r="N361" s="18">
        <f>I361*K361*M361</f>
        <v/>
      </c>
    </row>
    <row r="362" ht="19" customHeight="1" s="1">
      <c r="B362" s="16" t="n">
        <v>357</v>
      </c>
      <c r="C362" s="16" t="inlineStr">
        <is>
          <t>边缘端前置流式计算与实时告警引擎服务</t>
        </is>
      </c>
      <c r="D362" s="16" t="inlineStr">
        <is>
          <t>边缘平台联动</t>
        </is>
      </c>
      <c r="E362" s="16" t="inlineStr">
        <is>
          <t>边缘判定</t>
        </is>
      </c>
      <c r="F362" s="16" t="inlineStr">
        <is>
          <t>缓存补传</t>
        </is>
      </c>
      <c r="G362" s="17" t="inlineStr">
        <is>
          <t xml:space="preserve"> 提供网络恢复后缓存告警数据按序补传服务</t>
        </is>
      </c>
      <c r="H362" s="18" t="inlineStr">
        <is>
          <t>ILF</t>
        </is>
      </c>
      <c r="I362" s="18">
        <f>IF(H362="ILF",10,IF(H362="EIF",7,IF(H362="EI",4,IF(H362="EO",5,IF(H362="EQ",4,"")))))</f>
        <v/>
      </c>
      <c r="J362" s="18" t="inlineStr">
        <is>
          <t>低</t>
        </is>
      </c>
      <c r="K362" s="18">
        <f>IF(J362="高",0.33,IF(J362="中",0.67,IF(J362="低",1,"")))</f>
        <v/>
      </c>
      <c r="L362" s="18" t="inlineStr">
        <is>
          <t>新增</t>
        </is>
      </c>
      <c r="M362" s="18">
        <f>IF(L362="新增",1,IF(L362="修改",0.8,IF(L362="删除",0.2,"")))</f>
        <v/>
      </c>
      <c r="N362" s="18">
        <f>I362*K362*M362</f>
        <v/>
      </c>
    </row>
    <row r="363" ht="19" customHeight="1" s="1">
      <c r="B363" s="16" t="n">
        <v>358</v>
      </c>
      <c r="C363" s="16" t="inlineStr">
        <is>
          <t>边缘端前置流式计算与实时告警引擎服务</t>
        </is>
      </c>
      <c r="D363" s="16" t="inlineStr">
        <is>
          <t>边缘平台联动</t>
        </is>
      </c>
      <c r="E363" s="16" t="inlineStr">
        <is>
          <t>边缘判定</t>
        </is>
      </c>
      <c r="F363" s="16" t="inlineStr">
        <is>
          <t>自治运行</t>
        </is>
      </c>
      <c r="G363" s="17" t="inlineStr">
        <is>
          <t xml:space="preserve"> 提供断网时边缘独立完成告警判定服务</t>
        </is>
      </c>
      <c r="H363" s="18" t="inlineStr">
        <is>
          <t>ILF</t>
        </is>
      </c>
      <c r="I363" s="18">
        <f>IF(H363="ILF",10,IF(H363="EIF",7,IF(H363="EI",4,IF(H363="EO",5,IF(H363="EQ",4,"")))))</f>
        <v/>
      </c>
      <c r="J363" s="18" t="inlineStr">
        <is>
          <t>低</t>
        </is>
      </c>
      <c r="K363" s="18">
        <f>IF(J363="高",0.33,IF(J363="中",0.67,IF(J363="低",1,"")))</f>
        <v/>
      </c>
      <c r="L363" s="18" t="inlineStr">
        <is>
          <t>新增</t>
        </is>
      </c>
      <c r="M363" s="18">
        <f>IF(L363="新增",1,IF(L363="修改",0.8,IF(L363="删除",0.2,"")))</f>
        <v/>
      </c>
      <c r="N363" s="18">
        <f>I363*K363*M363</f>
        <v/>
      </c>
    </row>
    <row r="364" ht="19" customHeight="1" s="1">
      <c r="B364" s="16" t="n">
        <v>359</v>
      </c>
      <c r="C364" s="16" t="inlineStr">
        <is>
          <t>边缘端前置流式计算与实时告警引擎服务</t>
        </is>
      </c>
      <c r="D364" s="16" t="inlineStr">
        <is>
          <t>边缘平台联动</t>
        </is>
      </c>
      <c r="E364" s="16" t="inlineStr">
        <is>
          <t>边缘判定</t>
        </is>
      </c>
      <c r="F364" s="16" t="inlineStr">
        <is>
          <t>状态心跳</t>
        </is>
      </c>
      <c r="G364" s="17" t="inlineStr">
        <is>
          <t xml:space="preserve"> 提供边缘网关状态心跳上报服务</t>
        </is>
      </c>
      <c r="H364" s="18" t="inlineStr">
        <is>
          <t>ILF</t>
        </is>
      </c>
      <c r="I364" s="18">
        <f>IF(H364="ILF",10,IF(H364="EIF",7,IF(H364="EI",4,IF(H364="EO",5,IF(H364="EQ",4,"")))))</f>
        <v/>
      </c>
      <c r="J364" s="18" t="inlineStr">
        <is>
          <t>低</t>
        </is>
      </c>
      <c r="K364" s="18">
        <f>IF(J364="高",0.33,IF(J364="中",0.67,IF(J364="低",1,"")))</f>
        <v/>
      </c>
      <c r="L364" s="18" t="inlineStr">
        <is>
          <t>新增</t>
        </is>
      </c>
      <c r="M364" s="18">
        <f>IF(L364="新增",1,IF(L364="修改",0.8,IF(L364="删除",0.2,"")))</f>
        <v/>
      </c>
      <c r="N364" s="18">
        <f>I364*K364*M364</f>
        <v/>
      </c>
    </row>
    <row r="365" ht="19" customHeight="1" s="1">
      <c r="B365" s="16" t="n">
        <v>360</v>
      </c>
      <c r="C365" s="16" t="inlineStr">
        <is>
          <t>边缘端前置流式计算与实时告警引擎服务</t>
        </is>
      </c>
      <c r="D365" s="16" t="inlineStr">
        <is>
          <t>边缘平台联动</t>
        </is>
      </c>
      <c r="E365" s="16" t="inlineStr">
        <is>
          <t>边缘判定</t>
        </is>
      </c>
      <c r="F365" s="16" t="inlineStr">
        <is>
          <t>版本同步</t>
        </is>
      </c>
      <c r="G365" s="17" t="inlineStr">
        <is>
          <t xml:space="preserve"> 提供边缘网关规则版本同步服务</t>
        </is>
      </c>
      <c r="H365" s="18" t="inlineStr">
        <is>
          <t>ILF</t>
        </is>
      </c>
      <c r="I365" s="18">
        <f>IF(H365="ILF",10,IF(H365="EIF",7,IF(H365="EI",4,IF(H365="EO",5,IF(H365="EQ",4,"")))))</f>
        <v/>
      </c>
      <c r="J365" s="18" t="inlineStr">
        <is>
          <t>低</t>
        </is>
      </c>
      <c r="K365" s="18">
        <f>IF(J365="高",0.33,IF(J365="中",0.67,IF(J365="低",1,"")))</f>
        <v/>
      </c>
      <c r="L365" s="18" t="inlineStr">
        <is>
          <t>新增</t>
        </is>
      </c>
      <c r="M365" s="18">
        <f>IF(L365="新增",1,IF(L365="修改",0.8,IF(L365="删除",0.2,"")))</f>
        <v/>
      </c>
      <c r="N365" s="18">
        <f>I365*K365*M365</f>
        <v/>
      </c>
    </row>
    <row r="366" ht="19" customHeight="1" s="1">
      <c r="B366" s="16" t="n">
        <v>361</v>
      </c>
      <c r="C366" s="16" t="inlineStr">
        <is>
          <t>边缘端前置流式计算与实时告警引擎服务</t>
        </is>
      </c>
      <c r="D366" s="16" t="inlineStr">
        <is>
          <t>边缘平台联动</t>
        </is>
      </c>
      <c r="E366" s="16" t="inlineStr">
        <is>
          <t>边缘判定</t>
        </is>
      </c>
      <c r="F366" s="16" t="inlineStr">
        <is>
          <t>配置同步</t>
        </is>
      </c>
      <c r="G366" s="17" t="inlineStr">
        <is>
          <t xml:space="preserve"> 提供边缘网关配置参数同步服务</t>
        </is>
      </c>
      <c r="H366" s="18" t="inlineStr">
        <is>
          <t>ILF</t>
        </is>
      </c>
      <c r="I366" s="18">
        <f>IF(H366="ILF",10,IF(H366="EIF",7,IF(H366="EI",4,IF(H366="EO",5,IF(H366="EQ",4,"")))))</f>
        <v/>
      </c>
      <c r="J366" s="18" t="inlineStr">
        <is>
          <t>低</t>
        </is>
      </c>
      <c r="K366" s="18">
        <f>IF(J366="高",0.33,IF(J366="中",0.67,IF(J366="低",1,"")))</f>
        <v/>
      </c>
      <c r="L366" s="18" t="inlineStr">
        <is>
          <t>新增</t>
        </is>
      </c>
      <c r="M366" s="18">
        <f>IF(L366="新增",1,IF(L366="修改",0.8,IF(L366="删除",0.2,"")))</f>
        <v/>
      </c>
      <c r="N366" s="18">
        <f>I366*K366*M366</f>
        <v/>
      </c>
    </row>
    <row r="367" ht="19" customHeight="1" s="1">
      <c r="B367" s="16" t="n">
        <v>362</v>
      </c>
      <c r="C367" s="16" t="inlineStr">
        <is>
          <t>边缘端前置流式计算与实时告警引擎服务</t>
        </is>
      </c>
      <c r="D367" s="16" t="inlineStr">
        <is>
          <t>边缘平台联动</t>
        </is>
      </c>
      <c r="E367" s="16" t="inlineStr">
        <is>
          <t>告警归并</t>
        </is>
      </c>
      <c r="F367" s="16" t="inlineStr">
        <is>
          <t>重复归并</t>
        </is>
      </c>
      <c r="G367" s="17" t="inlineStr">
        <is>
          <t xml:space="preserve"> 提供同一设备同一告警1小时内归并为一条服务</t>
        </is>
      </c>
      <c r="H367" s="18" t="inlineStr">
        <is>
          <t>ILF</t>
        </is>
      </c>
      <c r="I367" s="18">
        <f>IF(H367="ILF",10,IF(H367="EIF",7,IF(H367="EI",4,IF(H367="EO",5,IF(H367="EQ",4,"")))))</f>
        <v/>
      </c>
      <c r="J367" s="18" t="inlineStr">
        <is>
          <t>低</t>
        </is>
      </c>
      <c r="K367" s="18">
        <f>IF(J367="高",0.33,IF(J367="中",0.67,IF(J367="低",1,"")))</f>
        <v/>
      </c>
      <c r="L367" s="18" t="inlineStr">
        <is>
          <t>新增</t>
        </is>
      </c>
      <c r="M367" s="18">
        <f>IF(L367="新增",1,IF(L367="修改",0.8,IF(L367="删除",0.2,"")))</f>
        <v/>
      </c>
      <c r="N367" s="18">
        <f>I367*K367*M367</f>
        <v/>
      </c>
    </row>
    <row r="368" ht="19" customHeight="1" s="1">
      <c r="B368" s="16" t="n">
        <v>363</v>
      </c>
      <c r="C368" s="16" t="inlineStr">
        <is>
          <t>边缘端前置流式计算与实时告警引擎服务</t>
        </is>
      </c>
      <c r="D368" s="16" t="inlineStr">
        <is>
          <t>规则配置服务</t>
        </is>
      </c>
      <c r="E368" s="16" t="inlineStr">
        <is>
          <t>可视化编排</t>
        </is>
      </c>
      <c r="F368" s="16" t="inlineStr">
        <is>
          <t>导入导出</t>
        </is>
      </c>
      <c r="G368" s="17" t="inlineStr">
        <is>
          <t xml:space="preserve"> 提供规则配置JSON批量导入导出服务</t>
        </is>
      </c>
      <c r="H368" s="18" t="inlineStr">
        <is>
          <t>ILF</t>
        </is>
      </c>
      <c r="I368" s="18">
        <f>IF(H368="ILF",10,IF(H368="EIF",7,IF(H368="EI",4,IF(H368="EO",5,IF(H368="EQ",4,"")))))</f>
        <v/>
      </c>
      <c r="J368" s="18" t="inlineStr">
        <is>
          <t>低</t>
        </is>
      </c>
      <c r="K368" s="18">
        <f>IF(J368="高",0.33,IF(J368="中",0.67,IF(J368="低",1,"")))</f>
        <v/>
      </c>
      <c r="L368" s="18" t="inlineStr">
        <is>
          <t>新增</t>
        </is>
      </c>
      <c r="M368" s="18">
        <f>IF(L368="新增",1,IF(L368="修改",0.8,IF(L368="删除",0.2,"")))</f>
        <v/>
      </c>
      <c r="N368" s="18">
        <f>I368*K368*M368</f>
        <v/>
      </c>
    </row>
    <row r="369" ht="19" customHeight="1" s="1">
      <c r="B369" s="16" t="n">
        <v>364</v>
      </c>
      <c r="C369" s="16" t="inlineStr">
        <is>
          <t>边缘端前置流式计算与实时告警引擎服务</t>
        </is>
      </c>
      <c r="D369" s="16" t="inlineStr">
        <is>
          <t>规则配置服务</t>
        </is>
      </c>
      <c r="E369" s="16" t="inlineStr">
        <is>
          <t>可视化编排</t>
        </is>
      </c>
      <c r="F369" s="16" t="inlineStr">
        <is>
          <t>批量部署</t>
        </is>
      </c>
      <c r="G369" s="17" t="inlineStr">
        <is>
          <t xml:space="preserve"> 提供规则批量发布到多设备组服务</t>
        </is>
      </c>
      <c r="H369" s="18" t="inlineStr">
        <is>
          <t>ILF</t>
        </is>
      </c>
      <c r="I369" s="18">
        <f>IF(H369="ILF",10,IF(H369="EIF",7,IF(H369="EI",4,IF(H369="EO",5,IF(H369="EQ",4,"")))))</f>
        <v/>
      </c>
      <c r="J369" s="18" t="inlineStr">
        <is>
          <t>低</t>
        </is>
      </c>
      <c r="K369" s="18">
        <f>IF(J369="高",0.33,IF(J369="中",0.67,IF(J369="低",1,"")))</f>
        <v/>
      </c>
      <c r="L369" s="18" t="inlineStr">
        <is>
          <t>新增</t>
        </is>
      </c>
      <c r="M369" s="18">
        <f>IF(L369="新增",1,IF(L369="修改",0.8,IF(L369="删除",0.2,"")))</f>
        <v/>
      </c>
      <c r="N369" s="18">
        <f>I369*K369*M369</f>
        <v/>
      </c>
    </row>
    <row r="370" ht="19" customHeight="1" s="1">
      <c r="B370" s="16" t="n">
        <v>365</v>
      </c>
      <c r="C370" s="16" t="inlineStr">
        <is>
          <t>边缘端前置流式计算与实时告警引擎服务</t>
        </is>
      </c>
      <c r="D370" s="16" t="inlineStr">
        <is>
          <t>规则配置服务</t>
        </is>
      </c>
      <c r="E370" s="16" t="inlineStr">
        <is>
          <t>可视化编排</t>
        </is>
      </c>
      <c r="F370" s="16" t="inlineStr">
        <is>
          <t>测试沙箱</t>
        </is>
      </c>
      <c r="G370" s="17" t="inlineStr">
        <is>
          <t xml:space="preserve"> 提供规则配置的沙箱测试环境服务</t>
        </is>
      </c>
      <c r="H370" s="18" t="inlineStr">
        <is>
          <t>ILF</t>
        </is>
      </c>
      <c r="I370" s="18">
        <f>IF(H370="ILF",10,IF(H370="EIF",7,IF(H370="EI",4,IF(H370="EO",5,IF(H370="EQ",4,"")))))</f>
        <v/>
      </c>
      <c r="J370" s="18" t="inlineStr">
        <is>
          <t>低</t>
        </is>
      </c>
      <c r="K370" s="18">
        <f>IF(J370="高",0.33,IF(J370="中",0.67,IF(J370="低",1,"")))</f>
        <v/>
      </c>
      <c r="L370" s="18" t="inlineStr">
        <is>
          <t>新增</t>
        </is>
      </c>
      <c r="M370" s="18">
        <f>IF(L370="新增",1,IF(L370="修改",0.8,IF(L370="删除",0.2,"")))</f>
        <v/>
      </c>
      <c r="N370" s="18">
        <f>I370*K370*M370</f>
        <v/>
      </c>
    </row>
    <row r="371" ht="19" customHeight="1" s="1">
      <c r="B371" s="16" t="n">
        <v>366</v>
      </c>
      <c r="C371" s="16" t="inlineStr">
        <is>
          <t>边缘端前置流式计算与实时告警引擎服务</t>
        </is>
      </c>
      <c r="D371" s="16" t="inlineStr">
        <is>
          <t>规则配置服务</t>
        </is>
      </c>
      <c r="E371" s="16" t="inlineStr">
        <is>
          <t>可视化编排</t>
        </is>
      </c>
      <c r="F371" s="16" t="inlineStr">
        <is>
          <t>执行日志</t>
        </is>
      </c>
      <c r="G371" s="17" t="inlineStr">
        <is>
          <t xml:space="preserve"> 提供规则触发和执行日志记录服务</t>
        </is>
      </c>
      <c r="H371" s="18" t="inlineStr">
        <is>
          <t>ILF</t>
        </is>
      </c>
      <c r="I371" s="18">
        <f>IF(H371="ILF",10,IF(H371="EIF",7,IF(H371="EI",4,IF(H371="EO",5,IF(H371="EQ",4,"")))))</f>
        <v/>
      </c>
      <c r="J371" s="18" t="inlineStr">
        <is>
          <t>低</t>
        </is>
      </c>
      <c r="K371" s="18">
        <f>IF(J371="高",0.33,IF(J371="中",0.67,IF(J371="低",1,"")))</f>
        <v/>
      </c>
      <c r="L371" s="18" t="inlineStr">
        <is>
          <t>新增</t>
        </is>
      </c>
      <c r="M371" s="18">
        <f>IF(L371="新增",1,IF(L371="修改",0.8,IF(L371="删除",0.2,"")))</f>
        <v/>
      </c>
      <c r="N371" s="18">
        <f>I371*K371*M371</f>
        <v/>
      </c>
    </row>
    <row r="372" ht="19" customHeight="1" s="1">
      <c r="B372" s="16" t="n">
        <v>367</v>
      </c>
      <c r="C372" s="16" t="inlineStr">
        <is>
          <t>边缘端前置流式计算与实时告警引擎服务</t>
        </is>
      </c>
      <c r="D372" s="16" t="inlineStr">
        <is>
          <t>规则配置服务</t>
        </is>
      </c>
      <c r="E372" s="16" t="inlineStr">
        <is>
          <t>可视化编排</t>
        </is>
      </c>
      <c r="F372" s="16" t="inlineStr">
        <is>
          <t>执行统计</t>
        </is>
      </c>
      <c r="G372" s="17" t="inlineStr">
        <is>
          <t xml:space="preserve"> 提供规则触发频率/命中率统计服务</t>
        </is>
      </c>
      <c r="H372" s="18" t="inlineStr">
        <is>
          <t>ILF</t>
        </is>
      </c>
      <c r="I372" s="18">
        <f>IF(H372="ILF",10,IF(H372="EIF",7,IF(H372="EI",4,IF(H372="EO",5,IF(H372="EQ",4,"")))))</f>
        <v/>
      </c>
      <c r="J372" s="18" t="inlineStr">
        <is>
          <t>低</t>
        </is>
      </c>
      <c r="K372" s="18">
        <f>IF(J372="高",0.33,IF(J372="中",0.67,IF(J372="低",1,"")))</f>
        <v/>
      </c>
      <c r="L372" s="18" t="inlineStr">
        <is>
          <t>新增</t>
        </is>
      </c>
      <c r="M372" s="18">
        <f>IF(L372="新增",1,IF(L372="修改",0.8,IF(L372="删除",0.2,"")))</f>
        <v/>
      </c>
      <c r="N372" s="18">
        <f>I372*K372*M372</f>
        <v/>
      </c>
    </row>
    <row r="373" ht="19" customHeight="1" s="1">
      <c r="B373" s="16" t="n">
        <v>368</v>
      </c>
      <c r="C373" s="16" t="inlineStr">
        <is>
          <t>边缘端前置流式计算与实时告警引擎服务</t>
        </is>
      </c>
      <c r="D373" s="16" t="inlineStr">
        <is>
          <t>规则配置服务</t>
        </is>
      </c>
      <c r="E373" s="16" t="inlineStr">
        <is>
          <t>回溯验证</t>
        </is>
      </c>
      <c r="F373" s="16" t="inlineStr">
        <is>
          <t>数据选取</t>
        </is>
      </c>
      <c r="G373" s="17" t="inlineStr">
        <is>
          <t xml:space="preserve"> 提供选定井号和时段的历史数据选取加载服务</t>
        </is>
      </c>
      <c r="H373" s="18" t="inlineStr">
        <is>
          <t>ILF</t>
        </is>
      </c>
      <c r="I373" s="18">
        <f>IF(H373="ILF",10,IF(H373="EIF",7,IF(H373="EI",4,IF(H373="EO",5,IF(H373="EQ",4,"")))))</f>
        <v/>
      </c>
      <c r="J373" s="18" t="inlineStr">
        <is>
          <t>低</t>
        </is>
      </c>
      <c r="K373" s="18">
        <f>IF(J373="高",0.33,IF(J373="中",0.67,IF(J373="低",1,"")))</f>
        <v/>
      </c>
      <c r="L373" s="18" t="inlineStr">
        <is>
          <t>新增</t>
        </is>
      </c>
      <c r="M373" s="18">
        <f>IF(L373="新增",1,IF(L373="修改",0.8,IF(L373="删除",0.2,"")))</f>
        <v/>
      </c>
      <c r="N373" s="18">
        <f>I373*K373*M373</f>
        <v/>
      </c>
    </row>
    <row r="374" ht="19" customHeight="1" s="1">
      <c r="B374" s="16" t="n">
        <v>369</v>
      </c>
      <c r="C374" s="16" t="inlineStr">
        <is>
          <t>边缘端前置流式计算与实时告警引擎服务</t>
        </is>
      </c>
      <c r="D374" s="16" t="inlineStr">
        <is>
          <t>规则配置服务</t>
        </is>
      </c>
      <c r="E374" s="16" t="inlineStr">
        <is>
          <t>回溯验证</t>
        </is>
      </c>
      <c r="F374" s="16" t="inlineStr">
        <is>
          <t>模拟回放</t>
        </is>
      </c>
      <c r="G374" s="17" t="inlineStr">
        <is>
          <t xml:space="preserve"> 提供新规则在历史数据上的模拟回放测试服务</t>
        </is>
      </c>
      <c r="H374" s="18" t="inlineStr">
        <is>
          <t>ILF</t>
        </is>
      </c>
      <c r="I374" s="18">
        <f>IF(H374="ILF",10,IF(H374="EIF",7,IF(H374="EI",4,IF(H374="EO",5,IF(H374="EQ",4,"")))))</f>
        <v/>
      </c>
      <c r="J374" s="18" t="inlineStr">
        <is>
          <t>低</t>
        </is>
      </c>
      <c r="K374" s="18">
        <f>IF(J374="高",0.33,IF(J374="中",0.67,IF(J374="低",1,"")))</f>
        <v/>
      </c>
      <c r="L374" s="18" t="inlineStr">
        <is>
          <t>新增</t>
        </is>
      </c>
      <c r="M374" s="18">
        <f>IF(L374="新增",1,IF(L374="修改",0.8,IF(L374="删除",0.2,"")))</f>
        <v/>
      </c>
      <c r="N374" s="18">
        <f>I374*K374*M374</f>
        <v/>
      </c>
    </row>
    <row r="375" ht="19" customHeight="1" s="1">
      <c r="B375" s="16" t="n">
        <v>370</v>
      </c>
      <c r="C375" s="16" t="inlineStr">
        <is>
          <t>边缘端前置流式计算与实时告警引擎服务</t>
        </is>
      </c>
      <c r="D375" s="16" t="inlineStr">
        <is>
          <t>规则配置服务</t>
        </is>
      </c>
      <c r="E375" s="16" t="inlineStr">
        <is>
          <t>回溯验证</t>
        </is>
      </c>
      <c r="F375" s="16" t="inlineStr">
        <is>
          <t>匹配率</t>
        </is>
      </c>
      <c r="G375" s="17" t="inlineStr">
        <is>
          <t xml:space="preserve"> 提供规则模拟结果匹配率统计分析服务</t>
        </is>
      </c>
      <c r="H375" s="18" t="inlineStr">
        <is>
          <t>ILF</t>
        </is>
      </c>
      <c r="I375" s="18">
        <f>IF(H375="ILF",10,IF(H375="EIF",7,IF(H375="EI",4,IF(H375="EO",5,IF(H375="EQ",4,"")))))</f>
        <v/>
      </c>
      <c r="J375" s="18" t="inlineStr">
        <is>
          <t>低</t>
        </is>
      </c>
      <c r="K375" s="18">
        <f>IF(J375="高",0.33,IF(J375="中",0.67,IF(J375="低",1,"")))</f>
        <v/>
      </c>
      <c r="L375" s="18" t="inlineStr">
        <is>
          <t>新增</t>
        </is>
      </c>
      <c r="M375" s="18">
        <f>IF(L375="新增",1,IF(L375="修改",0.8,IF(L375="删除",0.2,"")))</f>
        <v/>
      </c>
      <c r="N375" s="18">
        <f>I375*K375*M375</f>
        <v/>
      </c>
    </row>
    <row r="376" ht="19" customHeight="1" s="1">
      <c r="B376" s="16" t="n">
        <v>371</v>
      </c>
      <c r="C376" s="16" t="inlineStr">
        <is>
          <t>边缘端前置流式计算与实时告警引擎服务</t>
        </is>
      </c>
      <c r="D376" s="16" t="inlineStr">
        <is>
          <t>规则配置服务</t>
        </is>
      </c>
      <c r="E376" s="16" t="inlineStr">
        <is>
          <t>回溯验证</t>
        </is>
      </c>
      <c r="F376" s="16" t="inlineStr">
        <is>
          <t>误报率</t>
        </is>
      </c>
      <c r="G376" s="17" t="inlineStr">
        <is>
          <t xml:space="preserve"> 提供规则模拟结果误报率统计分析服务</t>
        </is>
      </c>
      <c r="H376" s="18" t="inlineStr">
        <is>
          <t>ILF</t>
        </is>
      </c>
      <c r="I376" s="18">
        <f>IF(H376="ILF",10,IF(H376="EIF",7,IF(H376="EI",4,IF(H376="EO",5,IF(H376="EQ",4,"")))))</f>
        <v/>
      </c>
      <c r="J376" s="18" t="inlineStr">
        <is>
          <t>低</t>
        </is>
      </c>
      <c r="K376" s="18">
        <f>IF(J376="高",0.33,IF(J376="中",0.67,IF(J376="低",1,"")))</f>
        <v/>
      </c>
      <c r="L376" s="18" t="inlineStr">
        <is>
          <t>新增</t>
        </is>
      </c>
      <c r="M376" s="18">
        <f>IF(L376="新增",1,IF(L376="修改",0.8,IF(L376="删除",0.2,"")))</f>
        <v/>
      </c>
      <c r="N376" s="18">
        <f>I376*K376*M376</f>
        <v/>
      </c>
    </row>
    <row r="377" ht="19" customHeight="1" s="1">
      <c r="B377" s="16" t="n">
        <v>372</v>
      </c>
      <c r="C377" s="16" t="inlineStr">
        <is>
          <t>边缘端前置流式计算与实时告警引擎服务</t>
        </is>
      </c>
      <c r="D377" s="16" t="inlineStr">
        <is>
          <t>规则配置服务</t>
        </is>
      </c>
      <c r="E377" s="16" t="inlineStr">
        <is>
          <t>回溯验证</t>
        </is>
      </c>
      <c r="F377" s="16" t="inlineStr">
        <is>
          <t>漏报率</t>
        </is>
      </c>
      <c r="G377" s="17" t="inlineStr">
        <is>
          <t xml:space="preserve"> 提供规则模拟结果漏报率统计分析服务</t>
        </is>
      </c>
      <c r="H377" s="18" t="inlineStr">
        <is>
          <t>ILF</t>
        </is>
      </c>
      <c r="I377" s="18">
        <f>IF(H377="ILF",10,IF(H377="EIF",7,IF(H377="EI",4,IF(H377="EO",5,IF(H377="EQ",4,"")))))</f>
        <v/>
      </c>
      <c r="J377" s="18" t="inlineStr">
        <is>
          <t>低</t>
        </is>
      </c>
      <c r="K377" s="18">
        <f>IF(J377="高",0.33,IF(J377="中",0.67,IF(J377="低",1,"")))</f>
        <v/>
      </c>
      <c r="L377" s="18" t="inlineStr">
        <is>
          <t>新增</t>
        </is>
      </c>
      <c r="M377" s="18">
        <f>IF(L377="新增",1,IF(L377="修改",0.8,IF(L377="删除",0.2,"")))</f>
        <v/>
      </c>
      <c r="N377" s="18">
        <f>I377*K377*M377</f>
        <v/>
      </c>
    </row>
    <row r="378" ht="19" customHeight="1" s="1">
      <c r="B378" s="16" t="n">
        <v>373</v>
      </c>
      <c r="C378" s="16" t="inlineStr">
        <is>
          <t>边缘端前置流式计算与实时告警引擎服务</t>
        </is>
      </c>
      <c r="D378" s="16" t="inlineStr">
        <is>
          <t>规则配置服务</t>
        </is>
      </c>
      <c r="E378" s="16" t="inlineStr">
        <is>
          <t>回溯验证</t>
        </is>
      </c>
      <c r="F378" s="16" t="inlineStr">
        <is>
          <t>新旧对比</t>
        </is>
      </c>
      <c r="G378" s="17" t="inlineStr">
        <is>
          <t xml:space="preserve"> 提供新规则与原规则触发效果对比分析服务</t>
        </is>
      </c>
      <c r="H378" s="18" t="inlineStr">
        <is>
          <t>EIF</t>
        </is>
      </c>
      <c r="I378" s="18">
        <f>IF(H378="ILF",10,IF(H378="EIF",7,IF(H378="EI",4,IF(H378="EO",5,IF(H378="EQ",4,"")))))</f>
        <v/>
      </c>
      <c r="J378" s="18" t="inlineStr">
        <is>
          <t>低</t>
        </is>
      </c>
      <c r="K378" s="18">
        <f>IF(J378="高",0.33,IF(J378="中",0.67,IF(J378="低",1,"")))</f>
        <v/>
      </c>
      <c r="L378" s="18" t="inlineStr">
        <is>
          <t>新增</t>
        </is>
      </c>
      <c r="M378" s="18">
        <f>IF(L378="新增",1,IF(L378="修改",0.8,IF(L378="删除",0.2,"")))</f>
        <v/>
      </c>
      <c r="N378" s="18">
        <f>I378*K378*M378</f>
        <v/>
      </c>
    </row>
    <row r="379" ht="19" customHeight="1" s="1">
      <c r="B379" s="16" t="n">
        <v>374</v>
      </c>
      <c r="C379" s="16" t="inlineStr">
        <is>
          <t>边缘端前置流式计算与实时告警引擎服务</t>
        </is>
      </c>
      <c r="D379" s="16" t="inlineStr">
        <is>
          <t>规则配置服务</t>
        </is>
      </c>
      <c r="E379" s="16" t="inlineStr">
        <is>
          <t>回溯验证</t>
        </is>
      </c>
      <c r="F379" s="16" t="inlineStr">
        <is>
          <t>回溯参数</t>
        </is>
      </c>
      <c r="G379" s="17" t="inlineStr">
        <is>
          <t xml:space="preserve"> 提供回溯验证的窗口/阈值参数配置服务</t>
        </is>
      </c>
      <c r="H379" s="18" t="inlineStr">
        <is>
          <t>EI</t>
        </is>
      </c>
      <c r="I379" s="18">
        <f>IF(H379="ILF",10,IF(H379="EIF",7,IF(H379="EI",4,IF(H379="EO",5,IF(H379="EQ",4,"")))))</f>
        <v/>
      </c>
      <c r="J379" s="18" t="inlineStr">
        <is>
          <t>低</t>
        </is>
      </c>
      <c r="K379" s="18">
        <f>IF(J379="高",0.33,IF(J379="中",0.67,IF(J379="低",1,"")))</f>
        <v/>
      </c>
      <c r="L379" s="18" t="inlineStr">
        <is>
          <t>新增</t>
        </is>
      </c>
      <c r="M379" s="18">
        <f>IF(L379="新增",1,IF(L379="修改",0.8,IF(L379="删除",0.2,"")))</f>
        <v/>
      </c>
      <c r="N379" s="18">
        <f>I379*K379*M379</f>
        <v/>
      </c>
    </row>
    <row r="380" ht="19" customHeight="1" s="1">
      <c r="B380" s="16" t="n">
        <v>375</v>
      </c>
      <c r="C380" s="16" t="inlineStr">
        <is>
          <t>边缘端前置流式计算与实时告警引擎服务</t>
        </is>
      </c>
      <c r="D380" s="16" t="inlineStr">
        <is>
          <t>规则配置服务</t>
        </is>
      </c>
      <c r="E380" s="16" t="inlineStr">
        <is>
          <t>回溯验证</t>
        </is>
      </c>
      <c r="F380" s="16" t="inlineStr">
        <is>
          <t>回溯报告</t>
        </is>
      </c>
      <c r="G380" s="17" t="inlineStr">
        <is>
          <t xml:space="preserve"> 提供回溯验证结果报告自动生成服务</t>
        </is>
      </c>
      <c r="H380" s="18" t="inlineStr">
        <is>
          <t>EI</t>
        </is>
      </c>
      <c r="I380" s="18">
        <f>IF(H380="ILF",10,IF(H380="EIF",7,IF(H380="EI",4,IF(H380="EO",5,IF(H380="EQ",4,"")))))</f>
        <v/>
      </c>
      <c r="J380" s="18" t="inlineStr">
        <is>
          <t>低</t>
        </is>
      </c>
      <c r="K380" s="18">
        <f>IF(J380="高",0.33,IF(J380="中",0.67,IF(J380="低",1,"")))</f>
        <v/>
      </c>
      <c r="L380" s="18" t="inlineStr">
        <is>
          <t>新增</t>
        </is>
      </c>
      <c r="M380" s="18">
        <f>IF(L380="新增",1,IF(L380="修改",0.8,IF(L380="删除",0.2,"")))</f>
        <v/>
      </c>
      <c r="N380" s="18">
        <f>I380*K380*M380</f>
        <v/>
      </c>
    </row>
    <row r="381" ht="19" customHeight="1" s="1">
      <c r="B381" s="16" t="n">
        <v>376</v>
      </c>
      <c r="C381" s="16" t="inlineStr">
        <is>
          <t>边缘端前置流式计算与实时告警引擎服务</t>
        </is>
      </c>
      <c r="D381" s="16" t="inlineStr">
        <is>
          <t>边缘平台联动</t>
        </is>
      </c>
      <c r="E381" s="16" t="inlineStr">
        <is>
          <t>边缘判定</t>
        </is>
      </c>
      <c r="F381" s="16" t="inlineStr">
        <is>
          <t>实时判定</t>
        </is>
      </c>
      <c r="G381" s="17" t="inlineStr">
        <is>
          <t xml:space="preserve"> 提供边缘网关侧毫秒级告警算法判定服务</t>
        </is>
      </c>
      <c r="H381" s="18" t="inlineStr">
        <is>
          <t>EI</t>
        </is>
      </c>
      <c r="I381" s="18">
        <f>IF(H381="ILF",10,IF(H381="EIF",7,IF(H381="EI",4,IF(H381="EO",5,IF(H381="EQ",4,"")))))</f>
        <v/>
      </c>
      <c r="J381" s="18" t="inlineStr">
        <is>
          <t>低</t>
        </is>
      </c>
      <c r="K381" s="18">
        <f>IF(J381="高",0.33,IF(J381="中",0.67,IF(J381="低",1,"")))</f>
        <v/>
      </c>
      <c r="L381" s="18" t="inlineStr">
        <is>
          <t>新增</t>
        </is>
      </c>
      <c r="M381" s="18">
        <f>IF(L381="新增",1,IF(L381="修改",0.8,IF(L381="删除",0.2,"")))</f>
        <v/>
      </c>
      <c r="N381" s="18">
        <f>I381*K381*M381</f>
        <v/>
      </c>
    </row>
    <row r="382" ht="19" customHeight="1" s="1">
      <c r="B382" s="16" t="n">
        <v>377</v>
      </c>
      <c r="C382" s="16" t="inlineStr">
        <is>
          <t>边缘端前置流式计算与实时告警引擎服务</t>
        </is>
      </c>
      <c r="D382" s="16" t="inlineStr">
        <is>
          <t>边缘平台联动</t>
        </is>
      </c>
      <c r="E382" s="16" t="inlineStr">
        <is>
          <t>边缘判定</t>
        </is>
      </c>
      <c r="F382" s="16" t="inlineStr">
        <is>
          <t>结构化上报</t>
        </is>
      </c>
      <c r="G382" s="17" t="inlineStr">
        <is>
          <t xml:space="preserve"> 提供边缘仅上报标准化告警码/时间/设备事件服务</t>
        </is>
      </c>
      <c r="H382" s="18" t="inlineStr">
        <is>
          <t>EI</t>
        </is>
      </c>
      <c r="I382" s="18">
        <f>IF(H382="ILF",10,IF(H382="EIF",7,IF(H382="EI",4,IF(H382="EO",5,IF(H382="EQ",4,"")))))</f>
        <v/>
      </c>
      <c r="J382" s="18" t="inlineStr">
        <is>
          <t>低</t>
        </is>
      </c>
      <c r="K382" s="18">
        <f>IF(J382="高",0.33,IF(J382="中",0.67,IF(J382="低",1,"")))</f>
        <v/>
      </c>
      <c r="L382" s="18" t="inlineStr">
        <is>
          <t>新增</t>
        </is>
      </c>
      <c r="M382" s="18">
        <f>IF(L382="新增",1,IF(L382="修改",0.8,IF(L382="删除",0.2,"")))</f>
        <v/>
      </c>
      <c r="N382" s="18">
        <f>I382*K382*M382</f>
        <v/>
      </c>
    </row>
    <row r="383" ht="19" customHeight="1" s="1">
      <c r="B383" s="16" t="n">
        <v>378</v>
      </c>
      <c r="C383" s="16" t="inlineStr">
        <is>
          <t>边缘端前置流式计算与实时告警引擎服务</t>
        </is>
      </c>
      <c r="D383" s="16" t="inlineStr">
        <is>
          <t>边缘平台联动</t>
        </is>
      </c>
      <c r="E383" s="16" t="inlineStr">
        <is>
          <t>边缘判定</t>
        </is>
      </c>
      <c r="F383" s="16" t="inlineStr">
        <is>
          <t>断网缓存</t>
        </is>
      </c>
      <c r="G383" s="17" t="inlineStr">
        <is>
          <t xml:space="preserve"> 提供边缘断网时告警数据缓存≥100万条服务</t>
        </is>
      </c>
      <c r="H383" s="18" t="inlineStr">
        <is>
          <t>EI</t>
        </is>
      </c>
      <c r="I383" s="18">
        <f>IF(H383="ILF",10,IF(H383="EIF",7,IF(H383="EI",4,IF(H383="EO",5,IF(H383="EQ",4,"")))))</f>
        <v/>
      </c>
      <c r="J383" s="18" t="inlineStr">
        <is>
          <t>低</t>
        </is>
      </c>
      <c r="K383" s="18">
        <f>IF(J383="高",0.33,IF(J383="中",0.67,IF(J383="低",1,"")))</f>
        <v/>
      </c>
      <c r="L383" s="18" t="inlineStr">
        <is>
          <t>新增</t>
        </is>
      </c>
      <c r="M383" s="18">
        <f>IF(L383="新增",1,IF(L383="修改",0.8,IF(L383="删除",0.2,"")))</f>
        <v/>
      </c>
      <c r="N383" s="18">
        <f>I383*K383*M383</f>
        <v/>
      </c>
    </row>
    <row r="384" ht="19" customHeight="1" s="1">
      <c r="B384" s="16" t="n">
        <v>379</v>
      </c>
      <c r="C384" s="16" t="inlineStr">
        <is>
          <t>边缘端前置流式计算与实时告警引擎服务</t>
        </is>
      </c>
      <c r="D384" s="16" t="inlineStr">
        <is>
          <t>边缘平台联动</t>
        </is>
      </c>
      <c r="E384" s="16" t="inlineStr">
        <is>
          <t>边缘判定</t>
        </is>
      </c>
      <c r="F384" s="16" t="inlineStr">
        <is>
          <t>缓存补传</t>
        </is>
      </c>
      <c r="G384" s="17" t="inlineStr">
        <is>
          <t xml:space="preserve"> 提供网络恢复后缓存告警数据按序补传服务</t>
        </is>
      </c>
      <c r="H384" s="18" t="inlineStr">
        <is>
          <t>EI</t>
        </is>
      </c>
      <c r="I384" s="18">
        <f>IF(H384="ILF",10,IF(H384="EIF",7,IF(H384="EI",4,IF(H384="EO",5,IF(H384="EQ",4,"")))))</f>
        <v/>
      </c>
      <c r="J384" s="18" t="inlineStr">
        <is>
          <t>低</t>
        </is>
      </c>
      <c r="K384" s="18">
        <f>IF(J384="高",0.33,IF(J384="中",0.67,IF(J384="低",1,"")))</f>
        <v/>
      </c>
      <c r="L384" s="18" t="inlineStr">
        <is>
          <t>新增</t>
        </is>
      </c>
      <c r="M384" s="18">
        <f>IF(L384="新增",1,IF(L384="修改",0.8,IF(L384="删除",0.2,"")))</f>
        <v/>
      </c>
      <c r="N384" s="18">
        <f>I384*K384*M384</f>
        <v/>
      </c>
    </row>
    <row r="385" ht="19" customHeight="1" s="1">
      <c r="B385" s="16" t="n">
        <v>380</v>
      </c>
      <c r="C385" s="16" t="inlineStr">
        <is>
          <t>边缘端前置流式计算与实时告警引擎服务</t>
        </is>
      </c>
      <c r="D385" s="16" t="inlineStr">
        <is>
          <t>边缘平台联动</t>
        </is>
      </c>
      <c r="E385" s="16" t="inlineStr">
        <is>
          <t>边缘判定</t>
        </is>
      </c>
      <c r="F385" s="16" t="inlineStr">
        <is>
          <t>自治运行</t>
        </is>
      </c>
      <c r="G385" s="17" t="inlineStr">
        <is>
          <t xml:space="preserve"> 提供断网时边缘独立完成告警判定服务</t>
        </is>
      </c>
      <c r="H385" s="18" t="inlineStr">
        <is>
          <t>EI</t>
        </is>
      </c>
      <c r="I385" s="18">
        <f>IF(H385="ILF",10,IF(H385="EIF",7,IF(H385="EI",4,IF(H385="EO",5,IF(H385="EQ",4,"")))))</f>
        <v/>
      </c>
      <c r="J385" s="18" t="inlineStr">
        <is>
          <t>低</t>
        </is>
      </c>
      <c r="K385" s="18">
        <f>IF(J385="高",0.33,IF(J385="中",0.67,IF(J385="低",1,"")))</f>
        <v/>
      </c>
      <c r="L385" s="18" t="inlineStr">
        <is>
          <t>新增</t>
        </is>
      </c>
      <c r="M385" s="18">
        <f>IF(L385="新增",1,IF(L385="修改",0.8,IF(L385="删除",0.2,"")))</f>
        <v/>
      </c>
      <c r="N385" s="18">
        <f>I385*K385*M385</f>
        <v/>
      </c>
    </row>
    <row r="386" ht="19" customHeight="1" s="1">
      <c r="B386" s="16" t="n">
        <v>381</v>
      </c>
      <c r="C386" s="16" t="inlineStr">
        <is>
          <t>边缘端前置流式计算与实时告警引擎服务</t>
        </is>
      </c>
      <c r="D386" s="16" t="inlineStr">
        <is>
          <t>边缘平台联动</t>
        </is>
      </c>
      <c r="E386" s="16" t="inlineStr">
        <is>
          <t>边缘判定</t>
        </is>
      </c>
      <c r="F386" s="16" t="inlineStr">
        <is>
          <t>状态心跳</t>
        </is>
      </c>
      <c r="G386" s="17" t="inlineStr">
        <is>
          <t xml:space="preserve"> 提供边缘网关状态心跳上报服务</t>
        </is>
      </c>
      <c r="H386" s="18" t="inlineStr">
        <is>
          <t>EI</t>
        </is>
      </c>
      <c r="I386" s="18">
        <f>IF(H386="ILF",10,IF(H386="EIF",7,IF(H386="EI",4,IF(H386="EO",5,IF(H386="EQ",4,"")))))</f>
        <v/>
      </c>
      <c r="J386" s="18" t="inlineStr">
        <is>
          <t>低</t>
        </is>
      </c>
      <c r="K386" s="18">
        <f>IF(J386="高",0.33,IF(J386="中",0.67,IF(J386="低",1,"")))</f>
        <v/>
      </c>
      <c r="L386" s="18" t="inlineStr">
        <is>
          <t>新增</t>
        </is>
      </c>
      <c r="M386" s="18">
        <f>IF(L386="新增",1,IF(L386="修改",0.8,IF(L386="删除",0.2,"")))</f>
        <v/>
      </c>
      <c r="N386" s="18">
        <f>I386*K386*M386</f>
        <v/>
      </c>
    </row>
    <row r="387" ht="19" customHeight="1" s="1">
      <c r="B387" s="16" t="n">
        <v>382</v>
      </c>
      <c r="C387" s="16" t="inlineStr">
        <is>
          <t>边缘端前置流式计算与实时告警引擎服务</t>
        </is>
      </c>
      <c r="D387" s="16" t="inlineStr">
        <is>
          <t>边缘平台联动</t>
        </is>
      </c>
      <c r="E387" s="16" t="inlineStr">
        <is>
          <t>边缘判定</t>
        </is>
      </c>
      <c r="F387" s="16" t="inlineStr">
        <is>
          <t>版本同步</t>
        </is>
      </c>
      <c r="G387" s="17" t="inlineStr">
        <is>
          <t xml:space="preserve"> 提供边缘网关规则版本同步服务</t>
        </is>
      </c>
      <c r="H387" s="18" t="inlineStr">
        <is>
          <t>EI</t>
        </is>
      </c>
      <c r="I387" s="18">
        <f>IF(H387="ILF",10,IF(H387="EIF",7,IF(H387="EI",4,IF(H387="EO",5,IF(H387="EQ",4,"")))))</f>
        <v/>
      </c>
      <c r="J387" s="18" t="inlineStr">
        <is>
          <t>低</t>
        </is>
      </c>
      <c r="K387" s="18">
        <f>IF(J387="高",0.33,IF(J387="中",0.67,IF(J387="低",1,"")))</f>
        <v/>
      </c>
      <c r="L387" s="18" t="inlineStr">
        <is>
          <t>新增</t>
        </is>
      </c>
      <c r="M387" s="18">
        <f>IF(L387="新增",1,IF(L387="修改",0.8,IF(L387="删除",0.2,"")))</f>
        <v/>
      </c>
      <c r="N387" s="18">
        <f>I387*K387*M387</f>
        <v/>
      </c>
    </row>
    <row r="388" ht="19" customHeight="1" s="1">
      <c r="B388" s="16" t="n">
        <v>383</v>
      </c>
      <c r="C388" s="16" t="inlineStr">
        <is>
          <t>边缘端前置流式计算与实时告警引擎服务</t>
        </is>
      </c>
      <c r="D388" s="16" t="inlineStr">
        <is>
          <t>边缘平台联动</t>
        </is>
      </c>
      <c r="E388" s="16" t="inlineStr">
        <is>
          <t>边缘判定</t>
        </is>
      </c>
      <c r="F388" s="16" t="inlineStr">
        <is>
          <t>配置同步</t>
        </is>
      </c>
      <c r="G388" s="17" t="inlineStr">
        <is>
          <t xml:space="preserve"> 提供边缘网关配置参数同步服务</t>
        </is>
      </c>
      <c r="H388" s="18" t="inlineStr">
        <is>
          <t>EI</t>
        </is>
      </c>
      <c r="I388" s="18">
        <f>IF(H388="ILF",10,IF(H388="EIF",7,IF(H388="EI",4,IF(H388="EO",5,IF(H388="EQ",4,"")))))</f>
        <v/>
      </c>
      <c r="J388" s="18" t="inlineStr">
        <is>
          <t>低</t>
        </is>
      </c>
      <c r="K388" s="18">
        <f>IF(J388="高",0.33,IF(J388="中",0.67,IF(J388="低",1,"")))</f>
        <v/>
      </c>
      <c r="L388" s="18" t="inlineStr">
        <is>
          <t>新增</t>
        </is>
      </c>
      <c r="M388" s="18">
        <f>IF(L388="新增",1,IF(L388="修改",0.8,IF(L388="删除",0.2,"")))</f>
        <v/>
      </c>
      <c r="N388" s="18">
        <f>I388*K388*M388</f>
        <v/>
      </c>
    </row>
    <row r="389" ht="19" customHeight="1" s="1">
      <c r="B389" s="16" t="n">
        <v>384</v>
      </c>
      <c r="C389" s="16" t="inlineStr">
        <is>
          <t>边缘端前置流式计算与实时告警引擎服务</t>
        </is>
      </c>
      <c r="D389" s="16" t="inlineStr">
        <is>
          <t>边缘平台联动</t>
        </is>
      </c>
      <c r="E389" s="16" t="inlineStr">
        <is>
          <t>告警归并</t>
        </is>
      </c>
      <c r="F389" s="16" t="inlineStr">
        <is>
          <t>重复归并</t>
        </is>
      </c>
      <c r="G389" s="17" t="inlineStr">
        <is>
          <t xml:space="preserve"> 提供同一设备同一告警1小时内归并为一条服务</t>
        </is>
      </c>
      <c r="H389" s="18" t="inlineStr">
        <is>
          <t>EI</t>
        </is>
      </c>
      <c r="I389" s="18">
        <f>IF(H389="ILF",10,IF(H389="EIF",7,IF(H389="EI",4,IF(H389="EO",5,IF(H389="EQ",4,"")))))</f>
        <v/>
      </c>
      <c r="J389" s="18" t="inlineStr">
        <is>
          <t>低</t>
        </is>
      </c>
      <c r="K389" s="18">
        <f>IF(J389="高",0.33,IF(J389="中",0.67,IF(J389="低",1,"")))</f>
        <v/>
      </c>
      <c r="L389" s="18" t="inlineStr">
        <is>
          <t>新增</t>
        </is>
      </c>
      <c r="M389" s="18">
        <f>IF(L389="新增",1,IF(L389="修改",0.8,IF(L389="删除",0.2,"")))</f>
        <v/>
      </c>
      <c r="N389" s="18">
        <f>I389*K389*M389</f>
        <v/>
      </c>
    </row>
    <row r="390" ht="19" customHeight="1" s="1">
      <c r="B390" s="16" t="n">
        <v>385</v>
      </c>
      <c r="C390" s="16" t="inlineStr">
        <is>
          <t>边缘端前置流式计算与实时告警引擎服务</t>
        </is>
      </c>
      <c r="D390" s="16" t="inlineStr">
        <is>
          <t>边缘平台联动</t>
        </is>
      </c>
      <c r="E390" s="16" t="inlineStr">
        <is>
          <t>告警归并</t>
        </is>
      </c>
      <c r="F390" s="16" t="inlineStr">
        <is>
          <t>离线抑制</t>
        </is>
      </c>
      <c r="G390" s="17" t="inlineStr">
        <is>
          <t xml:space="preserve"> 提供设备离线告警后自动抑制24小时衍生告警服务</t>
        </is>
      </c>
      <c r="H390" s="18" t="inlineStr">
        <is>
          <t>EI</t>
        </is>
      </c>
      <c r="I390" s="18">
        <f>IF(H390="ILF",10,IF(H390="EIF",7,IF(H390="EI",4,IF(H390="EO",5,IF(H390="EQ",4,"")))))</f>
        <v/>
      </c>
      <c r="J390" s="18" t="inlineStr">
        <is>
          <t>低</t>
        </is>
      </c>
      <c r="K390" s="18">
        <f>IF(J390="高",0.33,IF(J390="中",0.67,IF(J390="低",1,"")))</f>
        <v/>
      </c>
      <c r="L390" s="18" t="inlineStr">
        <is>
          <t>新增</t>
        </is>
      </c>
      <c r="M390" s="18">
        <f>IF(L390="新增",1,IF(L390="修改",0.8,IF(L390="删除",0.2,"")))</f>
        <v/>
      </c>
      <c r="N390" s="18">
        <f>I390*K390*M390</f>
        <v/>
      </c>
    </row>
    <row r="391" ht="19" customHeight="1" s="1">
      <c r="B391" s="16" t="n">
        <v>386</v>
      </c>
      <c r="C391" s="16" t="inlineStr">
        <is>
          <t>边缘端前置流式计算与实时告警引擎服务</t>
        </is>
      </c>
      <c r="D391" s="16" t="inlineStr">
        <is>
          <t>边缘平台联动</t>
        </is>
      </c>
      <c r="E391" s="16" t="inlineStr">
        <is>
          <t>告警归并</t>
        </is>
      </c>
      <c r="F391" s="16" t="inlineStr">
        <is>
          <t>工单派发</t>
        </is>
      </c>
      <c r="G391" s="17" t="inlineStr">
        <is>
          <t xml:space="preserve"> 提供告警触发后按所属作业区自动派发工单服务</t>
        </is>
      </c>
      <c r="H391" s="18" t="inlineStr">
        <is>
          <t>EI</t>
        </is>
      </c>
      <c r="I391" s="18">
        <f>IF(H391="ILF",10,IF(H391="EIF",7,IF(H391="EI",4,IF(H391="EO",5,IF(H391="EQ",4,"")))))</f>
        <v/>
      </c>
      <c r="J391" s="18" t="inlineStr">
        <is>
          <t>低</t>
        </is>
      </c>
      <c r="K391" s="18">
        <f>IF(J391="高",0.33,IF(J391="中",0.67,IF(J391="低",1,"")))</f>
        <v/>
      </c>
      <c r="L391" s="18" t="inlineStr">
        <is>
          <t>新增</t>
        </is>
      </c>
      <c r="M391" s="18">
        <f>IF(L391="新增",1,IF(L391="修改",0.8,IF(L391="删除",0.2,"")))</f>
        <v/>
      </c>
      <c r="N391" s="18">
        <f>I391*K391*M391</f>
        <v/>
      </c>
    </row>
    <row r="392" ht="19" customHeight="1" s="1">
      <c r="B392" s="16" t="n">
        <v>387</v>
      </c>
      <c r="C392" s="16" t="inlineStr">
        <is>
          <t>边缘端前置流式计算与实时告警引擎服务</t>
        </is>
      </c>
      <c r="D392" s="16" t="inlineStr">
        <is>
          <t>边缘平台联动</t>
        </is>
      </c>
      <c r="E392" s="16" t="inlineStr">
        <is>
          <t>告警归并</t>
        </is>
      </c>
      <c r="F392" s="16" t="inlineStr">
        <is>
          <t>效果验证</t>
        </is>
      </c>
      <c r="G392" s="17" t="inlineStr">
        <is>
          <t xml:space="preserve"> 提供工单关闭前自动校验告警参数恢复服务</t>
        </is>
      </c>
      <c r="H392" s="18" t="inlineStr">
        <is>
          <t>EI</t>
        </is>
      </c>
      <c r="I392" s="18">
        <f>IF(H392="ILF",10,IF(H392="EIF",7,IF(H392="EI",4,IF(H392="EO",5,IF(H392="EQ",4,"")))))</f>
        <v/>
      </c>
      <c r="J392" s="18" t="inlineStr">
        <is>
          <t>低</t>
        </is>
      </c>
      <c r="K392" s="18">
        <f>IF(J392="高",0.33,IF(J392="中",0.67,IF(J392="低",1,"")))</f>
        <v/>
      </c>
      <c r="L392" s="18" t="inlineStr">
        <is>
          <t>新增</t>
        </is>
      </c>
      <c r="M392" s="18">
        <f>IF(L392="新增",1,IF(L392="修改",0.8,IF(L392="删除",0.2,"")))</f>
        <v/>
      </c>
      <c r="N392" s="18">
        <f>I392*K392*M392</f>
        <v/>
      </c>
    </row>
    <row r="393" ht="19" customHeight="1" s="1">
      <c r="B393" s="16" t="n">
        <v>388</v>
      </c>
      <c r="C393" s="16" t="inlineStr">
        <is>
          <t>边缘端前置流式计算与实时告警引擎服务</t>
        </is>
      </c>
      <c r="D393" s="16" t="inlineStr">
        <is>
          <t>边缘平台联动</t>
        </is>
      </c>
      <c r="E393" s="16" t="inlineStr">
        <is>
          <t>告警归并</t>
        </is>
      </c>
      <c r="F393" s="16" t="inlineStr">
        <is>
          <t>全链路跟踪</t>
        </is>
      </c>
      <c r="G393" s="17" t="inlineStr">
        <is>
          <t xml:space="preserve"> 提供工单处置各环节状态跟踪和超时提醒服务</t>
        </is>
      </c>
      <c r="H393" s="18" t="inlineStr">
        <is>
          <t>EI</t>
        </is>
      </c>
      <c r="I393" s="18">
        <f>IF(H393="ILF",10,IF(H393="EIF",7,IF(H393="EI",4,IF(H393="EO",5,IF(H393="EQ",4,"")))))</f>
        <v/>
      </c>
      <c r="J393" s="18" t="inlineStr">
        <is>
          <t>低</t>
        </is>
      </c>
      <c r="K393" s="18">
        <f>IF(J393="高",0.33,IF(J393="中",0.67,IF(J393="低",1,"")))</f>
        <v/>
      </c>
      <c r="L393" s="18" t="inlineStr">
        <is>
          <t>新增</t>
        </is>
      </c>
      <c r="M393" s="18">
        <f>IF(L393="新增",1,IF(L393="修改",0.8,IF(L393="删除",0.2,"")))</f>
        <v/>
      </c>
      <c r="N393" s="18">
        <f>I393*K393*M393</f>
        <v/>
      </c>
    </row>
    <row r="394" ht="19" customHeight="1" s="1">
      <c r="B394" s="16" t="n">
        <v>389</v>
      </c>
      <c r="C394" s="16" t="inlineStr">
        <is>
          <t>边缘端前置流式计算与实时告警引擎服务</t>
        </is>
      </c>
      <c r="D394" s="16" t="inlineStr">
        <is>
          <t>边缘平台联动</t>
        </is>
      </c>
      <c r="E394" s="16" t="inlineStr">
        <is>
          <t>告警归并</t>
        </is>
      </c>
      <c r="F394" s="16" t="inlineStr">
        <is>
          <t>处置统计</t>
        </is>
      </c>
      <c r="G394" s="17" t="inlineStr">
        <is>
          <t xml:space="preserve"> 提供工单处置效率/闭环率/平均时间统计服务</t>
        </is>
      </c>
      <c r="H394" s="18" t="inlineStr">
        <is>
          <t>EI</t>
        </is>
      </c>
      <c r="I394" s="18">
        <f>IF(H394="ILF",10,IF(H394="EIF",7,IF(H394="EI",4,IF(H394="EO",5,IF(H394="EQ",4,"")))))</f>
        <v/>
      </c>
      <c r="J394" s="18" t="inlineStr">
        <is>
          <t>低</t>
        </is>
      </c>
      <c r="K394" s="18">
        <f>IF(J394="高",0.33,IF(J394="中",0.67,IF(J394="低",1,"")))</f>
        <v/>
      </c>
      <c r="L394" s="18" t="inlineStr">
        <is>
          <t>新增</t>
        </is>
      </c>
      <c r="M394" s="18">
        <f>IF(L394="新增",1,IF(L394="修改",0.8,IF(L394="删除",0.2,"")))</f>
        <v/>
      </c>
      <c r="N394" s="18">
        <f>I394*K394*M394</f>
        <v/>
      </c>
    </row>
    <row r="395" ht="19" customHeight="1" s="1">
      <c r="B395" s="16" t="n">
        <v>390</v>
      </c>
      <c r="C395" s="16" t="inlineStr">
        <is>
          <t>边缘端前置流式计算与实时告警引擎服务</t>
        </is>
      </c>
      <c r="D395" s="16" t="inlineStr">
        <is>
          <t>边缘平台联动</t>
        </is>
      </c>
      <c r="E395" s="16" t="inlineStr">
        <is>
          <t>告警归并</t>
        </is>
      </c>
      <c r="F395" s="16" t="inlineStr">
        <is>
          <t>告警报表</t>
        </is>
      </c>
      <c r="G395" s="17" t="inlineStr">
        <is>
          <t xml:space="preserve"> 提供告警分布/趋势/响应达标率统计服务</t>
        </is>
      </c>
      <c r="H395" s="18" t="inlineStr">
        <is>
          <t>EI</t>
        </is>
      </c>
      <c r="I395" s="18">
        <f>IF(H395="ILF",10,IF(H395="EIF",7,IF(H395="EI",4,IF(H395="EO",5,IF(H395="EQ",4,"")))))</f>
        <v/>
      </c>
      <c r="J395" s="18" t="inlineStr">
        <is>
          <t>低</t>
        </is>
      </c>
      <c r="K395" s="18">
        <f>IF(J395="高",0.33,IF(J395="中",0.67,IF(J395="低",1,"")))</f>
        <v/>
      </c>
      <c r="L395" s="18" t="inlineStr">
        <is>
          <t>新增</t>
        </is>
      </c>
      <c r="M395" s="18">
        <f>IF(L395="新增",1,IF(L395="修改",0.8,IF(L395="删除",0.2,"")))</f>
        <v/>
      </c>
      <c r="N395" s="18">
        <f>I395*K395*M395</f>
        <v/>
      </c>
    </row>
    <row r="396" ht="19" customHeight="1" s="1">
      <c r="B396" s="16" t="n">
        <v>391</v>
      </c>
      <c r="C396" s="16" t="inlineStr">
        <is>
          <t>边缘端前置流式计算与实时告警引擎服务</t>
        </is>
      </c>
      <c r="D396" s="16" t="inlineStr">
        <is>
          <t>规则配置服务</t>
        </is>
      </c>
      <c r="E396" s="16" t="inlineStr">
        <is>
          <t>规则执行管理</t>
        </is>
      </c>
      <c r="F396" s="16" t="inlineStr">
        <is>
          <t>规则执行效能统计</t>
        </is>
      </c>
      <c r="G396" s="17" t="inlineStr">
        <is>
          <t xml:space="preserve"> 提供规则执行效能的统计分析技术服务</t>
        </is>
      </c>
      <c r="H396" s="18" t="inlineStr">
        <is>
          <t>EI</t>
        </is>
      </c>
      <c r="I396" s="18">
        <f>IF(H396="ILF",10,IF(H396="EIF",7,IF(H396="EI",4,IF(H396="EO",5,IF(H396="EQ",4,"")))))</f>
        <v/>
      </c>
      <c r="J396" s="18" t="inlineStr">
        <is>
          <t>低</t>
        </is>
      </c>
      <c r="K396" s="18">
        <f>IF(J396="高",0.33,IF(J396="中",0.67,IF(J396="低",1,"")))</f>
        <v/>
      </c>
      <c r="L396" s="18" t="inlineStr">
        <is>
          <t>新增</t>
        </is>
      </c>
      <c r="M396" s="18">
        <f>IF(L396="新增",1,IF(L396="修改",0.8,IF(L396="删除",0.2,"")))</f>
        <v/>
      </c>
      <c r="N396" s="18">
        <f>I396*K396*M396</f>
        <v/>
      </c>
    </row>
    <row r="397" ht="19" customHeight="1" s="1">
      <c r="B397" s="16" t="n">
        <v>392</v>
      </c>
      <c r="C397" s="16" t="inlineStr">
        <is>
          <t>边缘端前置流式计算与实时告警引擎服务</t>
        </is>
      </c>
      <c r="D397" s="16" t="inlineStr">
        <is>
          <t>规则配置服务</t>
        </is>
      </c>
      <c r="E397" s="16" t="inlineStr">
        <is>
          <t>规则执行管理</t>
        </is>
      </c>
      <c r="F397" s="16" t="inlineStr">
        <is>
          <t>规则命中率统计</t>
        </is>
      </c>
      <c r="G397" s="17" t="inlineStr">
        <is>
          <t xml:space="preserve"> 提供告警规则命中率的统计分析技术服务</t>
        </is>
      </c>
      <c r="H397" s="18" t="inlineStr">
        <is>
          <t>EI</t>
        </is>
      </c>
      <c r="I397" s="18">
        <f>IF(H397="ILF",10,IF(H397="EIF",7,IF(H397="EI",4,IF(H397="EO",5,IF(H397="EQ",4,"")))))</f>
        <v/>
      </c>
      <c r="J397" s="18" t="inlineStr">
        <is>
          <t>低</t>
        </is>
      </c>
      <c r="K397" s="18">
        <f>IF(J397="高",0.33,IF(J397="中",0.67,IF(J397="低",1,"")))</f>
        <v/>
      </c>
      <c r="L397" s="18" t="inlineStr">
        <is>
          <t>新增</t>
        </is>
      </c>
      <c r="M397" s="18">
        <f>IF(L397="新增",1,IF(L397="修改",0.8,IF(L397="删除",0.2,"")))</f>
        <v/>
      </c>
      <c r="N397" s="18">
        <f>I397*K397*M397</f>
        <v/>
      </c>
    </row>
    <row r="398" ht="19" customHeight="1" s="1">
      <c r="B398" s="16" t="n">
        <v>393</v>
      </c>
      <c r="C398" s="16" t="inlineStr">
        <is>
          <t>边缘端前置流式计算与实时告警引擎服务</t>
        </is>
      </c>
      <c r="D398" s="16" t="inlineStr">
        <is>
          <t>规则配置服务</t>
        </is>
      </c>
      <c r="E398" s="16" t="inlineStr">
        <is>
          <t>规则执行管理</t>
        </is>
      </c>
      <c r="F398" s="16" t="inlineStr">
        <is>
          <t>规则误报率统计</t>
        </is>
      </c>
      <c r="G398" s="17" t="inlineStr">
        <is>
          <t xml:space="preserve"> 提供告警规则误报率的统计分析技术服务</t>
        </is>
      </c>
      <c r="H398" s="18" t="inlineStr">
        <is>
          <t>EI</t>
        </is>
      </c>
      <c r="I398" s="18">
        <f>IF(H398="ILF",10,IF(H398="EIF",7,IF(H398="EI",4,IF(H398="EO",5,IF(H398="EQ",4,"")))))</f>
        <v/>
      </c>
      <c r="J398" s="18" t="inlineStr">
        <is>
          <t>低</t>
        </is>
      </c>
      <c r="K398" s="18">
        <f>IF(J398="高",0.33,IF(J398="中",0.67,IF(J398="低",1,"")))</f>
        <v/>
      </c>
      <c r="L398" s="18" t="inlineStr">
        <is>
          <t>新增</t>
        </is>
      </c>
      <c r="M398" s="18">
        <f>IF(L398="新增",1,IF(L398="修改",0.8,IF(L398="删除",0.2,"")))</f>
        <v/>
      </c>
      <c r="N398" s="18">
        <f>I398*K398*M398</f>
        <v/>
      </c>
    </row>
    <row r="399" ht="19" customHeight="1" s="1">
      <c r="B399" s="16" t="n">
        <v>394</v>
      </c>
      <c r="C399" s="16" t="inlineStr">
        <is>
          <t>边缘端前置流式计算与实时告警引擎服务</t>
        </is>
      </c>
      <c r="D399" s="16" t="inlineStr">
        <is>
          <t>规则配置服务</t>
        </is>
      </c>
      <c r="E399" s="16" t="inlineStr">
        <is>
          <t>规则优化服务</t>
        </is>
      </c>
      <c r="F399" s="16" t="inlineStr">
        <is>
          <t>规则效果评估报表</t>
        </is>
      </c>
      <c r="G399" s="17" t="inlineStr">
        <is>
          <t xml:space="preserve"> 提供规则执行效果评估报表服务</t>
        </is>
      </c>
      <c r="H399" s="18" t="inlineStr">
        <is>
          <t>EI</t>
        </is>
      </c>
      <c r="I399" s="18">
        <f>IF(H399="ILF",10,IF(H399="EIF",7,IF(H399="EI",4,IF(H399="EO",5,IF(H399="EQ",4,"")))))</f>
        <v/>
      </c>
      <c r="J399" s="18" t="inlineStr">
        <is>
          <t>低</t>
        </is>
      </c>
      <c r="K399" s="18">
        <f>IF(J399="高",0.33,IF(J399="中",0.67,IF(J399="低",1,"")))</f>
        <v/>
      </c>
      <c r="L399" s="18" t="inlineStr">
        <is>
          <t>新增</t>
        </is>
      </c>
      <c r="M399" s="18">
        <f>IF(L399="新增",1,IF(L399="修改",0.8,IF(L399="删除",0.2,"")))</f>
        <v/>
      </c>
      <c r="N399" s="18">
        <f>I399*K399*M399</f>
        <v/>
      </c>
    </row>
    <row r="400" ht="19" customHeight="1" s="1">
      <c r="B400" s="16" t="n">
        <v>395</v>
      </c>
      <c r="C400" s="16" t="inlineStr">
        <is>
          <t>边缘端前置流式计算与实时告警引擎服务</t>
        </is>
      </c>
      <c r="D400" s="16" t="inlineStr">
        <is>
          <t>规则配置服务</t>
        </is>
      </c>
      <c r="E400" s="16" t="inlineStr">
        <is>
          <t>规则优化服务</t>
        </is>
      </c>
      <c r="F400" s="16" t="inlineStr">
        <is>
          <t>规则调优建议</t>
        </is>
      </c>
      <c r="G400" s="17" t="inlineStr">
        <is>
          <t xml:space="preserve"> 提供规则参数调优建议服务</t>
        </is>
      </c>
      <c r="H400" s="18" t="inlineStr">
        <is>
          <t>EI</t>
        </is>
      </c>
      <c r="I400" s="18">
        <f>IF(H400="ILF",10,IF(H400="EIF",7,IF(H400="EI",4,IF(H400="EO",5,IF(H400="EQ",4,"")))))</f>
        <v/>
      </c>
      <c r="J400" s="18" t="inlineStr">
        <is>
          <t>低</t>
        </is>
      </c>
      <c r="K400" s="18">
        <f>IF(J400="高",0.33,IF(J400="中",0.67,IF(J400="低",1,"")))</f>
        <v/>
      </c>
      <c r="L400" s="18" t="inlineStr">
        <is>
          <t>新增</t>
        </is>
      </c>
      <c r="M400" s="18">
        <f>IF(L400="新增",1,IF(L400="修改",0.8,IF(L400="删除",0.2,"")))</f>
        <v/>
      </c>
      <c r="N400" s="18">
        <f>I400*K400*M400</f>
        <v/>
      </c>
    </row>
    <row r="401" ht="19" customHeight="1" s="1">
      <c r="B401" s="16" t="n">
        <v>396</v>
      </c>
      <c r="C401" s="16" t="inlineStr">
        <is>
          <t>边缘端前置流式计算与实时告警引擎服务</t>
        </is>
      </c>
      <c r="D401" s="16" t="inlineStr">
        <is>
          <t>规则配置服务</t>
        </is>
      </c>
      <c r="E401" s="16" t="inlineStr">
        <is>
          <t>规则发布管理</t>
        </is>
      </c>
      <c r="F401" s="16" t="inlineStr">
        <is>
          <t>规则灰度发布配置</t>
        </is>
      </c>
      <c r="G401" s="17" t="inlineStr">
        <is>
          <t xml:space="preserve"> 提供规则灰度发布策略配置服务</t>
        </is>
      </c>
      <c r="H401" s="18" t="inlineStr">
        <is>
          <t>EI</t>
        </is>
      </c>
      <c r="I401" s="18">
        <f>IF(H401="ILF",10,IF(H401="EIF",7,IF(H401="EI",4,IF(H401="EO",5,IF(H401="EQ",4,"")))))</f>
        <v/>
      </c>
      <c r="J401" s="18" t="inlineStr">
        <is>
          <t>低</t>
        </is>
      </c>
      <c r="K401" s="18">
        <f>IF(J401="高",0.33,IF(J401="中",0.67,IF(J401="低",1,"")))</f>
        <v/>
      </c>
      <c r="L401" s="18" t="inlineStr">
        <is>
          <t>新增</t>
        </is>
      </c>
      <c r="M401" s="18">
        <f>IF(L401="新增",1,IF(L401="修改",0.8,IF(L401="删除",0.2,"")))</f>
        <v/>
      </c>
      <c r="N401" s="18">
        <f>I401*K401*M401</f>
        <v/>
      </c>
    </row>
    <row r="402" ht="19" customHeight="1" s="1">
      <c r="B402" s="16" t="n">
        <v>397</v>
      </c>
      <c r="C402" s="16" t="inlineStr">
        <is>
          <t>边缘端前置流式计算与实时告警引擎服务</t>
        </is>
      </c>
      <c r="D402" s="16" t="inlineStr">
        <is>
          <t>规则配置服务</t>
        </is>
      </c>
      <c r="E402" s="16" t="inlineStr">
        <is>
          <t>规则发布管理</t>
        </is>
      </c>
      <c r="F402" s="16" t="inlineStr">
        <is>
          <t>规则回滚策略配置</t>
        </is>
      </c>
      <c r="G402" s="17" t="inlineStr">
        <is>
          <t xml:space="preserve"> 提供规则回滚策略参数配置服务</t>
        </is>
      </c>
      <c r="H402" s="18" t="inlineStr">
        <is>
          <t>EI</t>
        </is>
      </c>
      <c r="I402" s="18">
        <f>IF(H402="ILF",10,IF(H402="EIF",7,IF(H402="EI",4,IF(H402="EO",5,IF(H402="EQ",4,"")))))</f>
        <v/>
      </c>
      <c r="J402" s="18" t="inlineStr">
        <is>
          <t>低</t>
        </is>
      </c>
      <c r="K402" s="18">
        <f>IF(J402="高",0.33,IF(J402="中",0.67,IF(J402="低",1,"")))</f>
        <v/>
      </c>
      <c r="L402" s="18" t="inlineStr">
        <is>
          <t>新增</t>
        </is>
      </c>
      <c r="M402" s="18">
        <f>IF(L402="新增",1,IF(L402="修改",0.8,IF(L402="删除",0.2,"")))</f>
        <v/>
      </c>
      <c r="N402" s="18">
        <f>I402*K402*M402</f>
        <v/>
      </c>
    </row>
    <row r="403" ht="19" customHeight="1" s="1">
      <c r="B403" s="16" t="n">
        <v>398</v>
      </c>
      <c r="C403" s="16" t="inlineStr">
        <is>
          <t>边缘端前置流式计算与实时告警引擎服务</t>
        </is>
      </c>
      <c r="D403" s="16" t="inlineStr">
        <is>
          <t>边缘平台联动</t>
        </is>
      </c>
      <c r="E403" s="16" t="inlineStr">
        <is>
          <t>边缘运维服务</t>
        </is>
      </c>
      <c r="F403" s="16" t="inlineStr">
        <is>
          <t>边缘节点状态监控</t>
        </is>
      </c>
      <c r="G403" s="17" t="inlineStr">
        <is>
          <t xml:space="preserve"> 提供边缘节点运行状态监控服务</t>
        </is>
      </c>
      <c r="H403" s="18" t="inlineStr">
        <is>
          <t>EI</t>
        </is>
      </c>
      <c r="I403" s="18">
        <f>IF(H403="ILF",10,IF(H403="EIF",7,IF(H403="EI",4,IF(H403="EO",5,IF(H403="EQ",4,"")))))</f>
        <v/>
      </c>
      <c r="J403" s="18" t="inlineStr">
        <is>
          <t>低</t>
        </is>
      </c>
      <c r="K403" s="18">
        <f>IF(J403="高",0.33,IF(J403="中",0.67,IF(J403="低",1,"")))</f>
        <v/>
      </c>
      <c r="L403" s="18" t="inlineStr">
        <is>
          <t>新增</t>
        </is>
      </c>
      <c r="M403" s="18">
        <f>IF(L403="新增",1,IF(L403="修改",0.8,IF(L403="删除",0.2,"")))</f>
        <v/>
      </c>
      <c r="N403" s="18">
        <f>I403*K403*M403</f>
        <v/>
      </c>
    </row>
    <row r="404" ht="19" customHeight="1" s="1">
      <c r="B404" s="16" t="n">
        <v>399</v>
      </c>
      <c r="C404" s="16" t="inlineStr">
        <is>
          <t>边缘端前置流式计算与实时告警引擎服务</t>
        </is>
      </c>
      <c r="D404" s="16" t="inlineStr">
        <is>
          <t>边缘平台联动</t>
        </is>
      </c>
      <c r="E404" s="16" t="inlineStr">
        <is>
          <t>边缘运维服务</t>
        </is>
      </c>
      <c r="F404" s="16" t="inlineStr">
        <is>
          <t>边缘节点日志采集</t>
        </is>
      </c>
      <c r="G404" s="17" t="inlineStr">
        <is>
          <t xml:space="preserve"> 提供边缘节点日志采集服务</t>
        </is>
      </c>
      <c r="H404" s="18" t="inlineStr">
        <is>
          <t>EI</t>
        </is>
      </c>
      <c r="I404" s="18">
        <f>IF(H404="ILF",10,IF(H404="EIF",7,IF(H404="EI",4,IF(H404="EO",5,IF(H404="EQ",4,"")))))</f>
        <v/>
      </c>
      <c r="J404" s="18" t="inlineStr">
        <is>
          <t>低</t>
        </is>
      </c>
      <c r="K404" s="18">
        <f>IF(J404="高",0.33,IF(J404="中",0.67,IF(J404="低",1,"")))</f>
        <v/>
      </c>
      <c r="L404" s="18" t="inlineStr">
        <is>
          <t>新增</t>
        </is>
      </c>
      <c r="M404" s="18">
        <f>IF(L404="新增",1,IF(L404="修改",0.8,IF(L404="删除",0.2,"")))</f>
        <v/>
      </c>
      <c r="N404" s="18">
        <f>I404*K404*M404</f>
        <v/>
      </c>
    </row>
    <row r="405" ht="19" customHeight="1" s="1">
      <c r="B405" s="16" t="n">
        <v>400</v>
      </c>
      <c r="C405" s="16" t="inlineStr">
        <is>
          <t>边缘端前置流式计算与实时告警引擎服务</t>
        </is>
      </c>
      <c r="D405" s="16" t="inlineStr">
        <is>
          <t>规则配置服务</t>
        </is>
      </c>
      <c r="E405" s="16" t="inlineStr">
        <is>
          <t>规则调度服务</t>
        </is>
      </c>
      <c r="F405" s="16" t="inlineStr">
        <is>
          <t>规则执行计划配置</t>
        </is>
      </c>
      <c r="G405" s="17" t="inlineStr">
        <is>
          <t xml:space="preserve"> 提供规则执行计划配置服务</t>
        </is>
      </c>
      <c r="H405" s="18" t="inlineStr">
        <is>
          <t>EI</t>
        </is>
      </c>
      <c r="I405" s="18">
        <f>IF(H405="ILF",10,IF(H405="EIF",7,IF(H405="EI",4,IF(H405="EO",5,IF(H405="EQ",4,"")))))</f>
        <v/>
      </c>
      <c r="J405" s="18" t="inlineStr">
        <is>
          <t>低</t>
        </is>
      </c>
      <c r="K405" s="18">
        <f>IF(J405="高",0.33,IF(J405="中",0.67,IF(J405="低",1,"")))</f>
        <v/>
      </c>
      <c r="L405" s="18" t="inlineStr">
        <is>
          <t>新增</t>
        </is>
      </c>
      <c r="M405" s="18">
        <f>IF(L405="新增",1,IF(L405="修改",0.8,IF(L405="删除",0.2,"")))</f>
        <v/>
      </c>
      <c r="N405" s="18">
        <f>I405*K405*M405</f>
        <v/>
      </c>
    </row>
    <row r="406" ht="19" customHeight="1" s="1">
      <c r="B406" s="16" t="n">
        <v>401</v>
      </c>
      <c r="C406" s="16" t="inlineStr">
        <is>
          <t>边缘端前置流式计算与实时告警引擎服务</t>
        </is>
      </c>
      <c r="D406" s="16" t="inlineStr">
        <is>
          <t>规则配置服务</t>
        </is>
      </c>
      <c r="E406" s="16" t="inlineStr">
        <is>
          <t>油田场景规则模板</t>
        </is>
      </c>
      <c r="F406" s="16" t="inlineStr">
        <is>
          <t>抽油机工况模板</t>
        </is>
      </c>
      <c r="G406" s="17" t="inlineStr">
        <is>
          <t xml:space="preserve"> 提供抽油机工况诊断规则模板</t>
        </is>
      </c>
      <c r="H406" s="18" t="inlineStr">
        <is>
          <t>EI</t>
        </is>
      </c>
      <c r="I406" s="18">
        <f>IF(H406="ILF",10,IF(H406="EIF",7,IF(H406="EI",4,IF(H406="EO",5,IF(H406="EQ",4,"")))))</f>
        <v/>
      </c>
      <c r="J406" s="18" t="inlineStr">
        <is>
          <t>低</t>
        </is>
      </c>
      <c r="K406" s="18">
        <f>IF(J406="高",0.33,IF(J406="中",0.67,IF(J406="低",1,"")))</f>
        <v/>
      </c>
      <c r="L406" s="18" t="inlineStr">
        <is>
          <t>新增</t>
        </is>
      </c>
      <c r="M406" s="18">
        <f>IF(L406="新增",1,IF(L406="修改",0.8,IF(L406="删除",0.2,"")))</f>
        <v/>
      </c>
      <c r="N406" s="18">
        <f>I406*K406*M406</f>
        <v/>
      </c>
    </row>
    <row r="407" ht="19" customHeight="1" s="1">
      <c r="B407" s="16" t="n">
        <v>402</v>
      </c>
      <c r="C407" s="16" t="inlineStr">
        <is>
          <t>边缘端前置流式计算与实时告警引擎服务</t>
        </is>
      </c>
      <c r="D407" s="16" t="inlineStr">
        <is>
          <t>规则配置服务</t>
        </is>
      </c>
      <c r="E407" s="16" t="inlineStr">
        <is>
          <t>油田场景规则模板</t>
        </is>
      </c>
      <c r="F407" s="16" t="inlineStr">
        <is>
          <t>电泵井故障模板</t>
        </is>
      </c>
      <c r="G407" s="17" t="inlineStr">
        <is>
          <t xml:space="preserve"> 提供电泵井常见故障规则模板</t>
        </is>
      </c>
      <c r="H407" s="18" t="inlineStr">
        <is>
          <t>EI</t>
        </is>
      </c>
      <c r="I407" s="18">
        <f>IF(H407="ILF",10,IF(H407="EIF",7,IF(H407="EI",4,IF(H407="EO",5,IF(H407="EQ",4,"")))))</f>
        <v/>
      </c>
      <c r="J407" s="18" t="inlineStr">
        <is>
          <t>低</t>
        </is>
      </c>
      <c r="K407" s="18">
        <f>IF(J407="高",0.33,IF(J407="中",0.67,IF(J407="低",1,"")))</f>
        <v/>
      </c>
      <c r="L407" s="18" t="inlineStr">
        <is>
          <t>新增</t>
        </is>
      </c>
      <c r="M407" s="18">
        <f>IF(L407="新增",1,IF(L407="修改",0.8,IF(L407="删除",0.2,"")))</f>
        <v/>
      </c>
      <c r="N407" s="18">
        <f>I407*K407*M407</f>
        <v/>
      </c>
    </row>
    <row r="408" ht="19" customHeight="1" s="1">
      <c r="B408" s="16" t="n">
        <v>403</v>
      </c>
      <c r="C408" s="16" t="inlineStr">
        <is>
          <t>边缘端前置流式计算与实时告警引擎服务</t>
        </is>
      </c>
      <c r="D408" s="16" t="inlineStr">
        <is>
          <t>规则配置服务</t>
        </is>
      </c>
      <c r="E408" s="16" t="inlineStr">
        <is>
          <t>油田场景规则模板</t>
        </is>
      </c>
      <c r="F408" s="16" t="inlineStr">
        <is>
          <t>注入井异常模板</t>
        </is>
      </c>
      <c r="G408" s="17" t="inlineStr">
        <is>
          <t xml:space="preserve"> 提供注入井参数异常规则模板</t>
        </is>
      </c>
      <c r="H408" s="18" t="inlineStr">
        <is>
          <t>EI</t>
        </is>
      </c>
      <c r="I408" s="18">
        <f>IF(H408="ILF",10,IF(H408="EIF",7,IF(H408="EI",4,IF(H408="EO",5,IF(H408="EQ",4,"")))))</f>
        <v/>
      </c>
      <c r="J408" s="18" t="inlineStr">
        <is>
          <t>中</t>
        </is>
      </c>
      <c r="K408" s="18">
        <f>IF(J408="高",0.33,IF(J408="中",0.67,IF(J408="低",1,"")))</f>
        <v/>
      </c>
      <c r="L408" s="18" t="inlineStr">
        <is>
          <t>新增</t>
        </is>
      </c>
      <c r="M408" s="18">
        <f>IF(L408="新增",1,IF(L408="修改",0.8,IF(L408="删除",0.2,"")))</f>
        <v/>
      </c>
      <c r="N408" s="18">
        <f>I408*K408*M408</f>
        <v/>
      </c>
    </row>
    <row r="409" ht="19" customHeight="1" s="1">
      <c r="B409" s="16" t="n">
        <v>404</v>
      </c>
      <c r="C409" s="16" t="inlineStr">
        <is>
          <t>边缘端前置流式计算与实时告警引擎服务</t>
        </is>
      </c>
      <c r="D409" s="16" t="inlineStr">
        <is>
          <t>预存流式计算</t>
        </is>
      </c>
      <c r="E409" s="16" t="inlineStr">
        <is>
          <t>滑动平均</t>
        </is>
      </c>
      <c r="F409" s="16" t="inlineStr">
        <is>
          <t>平均超限检测</t>
        </is>
      </c>
      <c r="G409" s="17" t="inlineStr">
        <is>
          <t xml:space="preserve"> 提供窗口内平均值超阈值告警的滑动平均算法服务</t>
        </is>
      </c>
      <c r="H409" s="18" t="inlineStr">
        <is>
          <t>EI</t>
        </is>
      </c>
      <c r="I409" s="18">
        <f>IF(H409="ILF",10,IF(H409="EIF",7,IF(H409="EI",4,IF(H409="EO",5,IF(H409="EQ",4,"")))))</f>
        <v/>
      </c>
      <c r="J409" s="18" t="inlineStr">
        <is>
          <t>中</t>
        </is>
      </c>
      <c r="K409" s="18">
        <f>IF(J409="高",0.33,IF(J409="中",0.67,IF(J409="低",1,"")))</f>
        <v/>
      </c>
      <c r="L409" s="18" t="inlineStr">
        <is>
          <t>新增</t>
        </is>
      </c>
      <c r="M409" s="18">
        <f>IF(L409="新增",1,IF(L409="修改",0.8,IF(L409="删除",0.2,"")))</f>
        <v/>
      </c>
      <c r="N409" s="18">
        <f>I409*K409*M409</f>
        <v/>
      </c>
    </row>
    <row r="410" ht="19" customHeight="1" s="1">
      <c r="B410" s="16" t="n">
        <v>405</v>
      </c>
      <c r="C410" s="16" t="inlineStr">
        <is>
          <t>边缘端前置流式计算与实时告警引擎服务</t>
        </is>
      </c>
      <c r="D410" s="16" t="inlineStr">
        <is>
          <t>预存流式计算</t>
        </is>
      </c>
      <c r="E410" s="16" t="inlineStr">
        <is>
          <t>滑动平均</t>
        </is>
      </c>
      <c r="F410" s="16" t="inlineStr">
        <is>
          <t>窗口大小</t>
        </is>
      </c>
      <c r="G410" s="17" t="inlineStr">
        <is>
          <t xml:space="preserve"> 提供滑动窗口大小1~40组可配置服务</t>
        </is>
      </c>
      <c r="H410" s="18" t="inlineStr">
        <is>
          <t>EI</t>
        </is>
      </c>
      <c r="I410" s="18">
        <f>IF(H410="ILF",10,IF(H410="EIF",7,IF(H410="EI",4,IF(H410="EO",5,IF(H410="EQ",4,"")))))</f>
        <v/>
      </c>
      <c r="J410" s="18" t="inlineStr">
        <is>
          <t>中</t>
        </is>
      </c>
      <c r="K410" s="18">
        <f>IF(J410="高",0.33,IF(J410="中",0.67,IF(J410="低",1,"")))</f>
        <v/>
      </c>
      <c r="L410" s="18" t="inlineStr">
        <is>
          <t>新增</t>
        </is>
      </c>
      <c r="M410" s="18">
        <f>IF(L410="新增",1,IF(L410="修改",0.8,IF(L410="删除",0.2,"")))</f>
        <v/>
      </c>
      <c r="N410" s="18">
        <f>I410*K410*M410</f>
        <v/>
      </c>
    </row>
    <row r="411" ht="19" customHeight="1" s="1">
      <c r="B411" s="16" t="n">
        <v>406</v>
      </c>
      <c r="C411" s="16" t="inlineStr">
        <is>
          <t>边缘端前置流式计算与实时告警引擎服务</t>
        </is>
      </c>
      <c r="D411" s="16" t="inlineStr">
        <is>
          <t>预存流式计算</t>
        </is>
      </c>
      <c r="E411" s="16" t="inlineStr">
        <is>
          <t>滑动平均</t>
        </is>
      </c>
      <c r="F411" s="16" t="inlineStr">
        <is>
          <t>窗口步长</t>
        </is>
      </c>
      <c r="G411" s="17" t="inlineStr">
        <is>
          <t xml:space="preserve"> 提供滑动窗口移动步长参数配置服务</t>
        </is>
      </c>
      <c r="H411" s="18" t="inlineStr">
        <is>
          <t>EI</t>
        </is>
      </c>
      <c r="I411" s="18">
        <f>IF(H411="ILF",10,IF(H411="EIF",7,IF(H411="EI",4,IF(H411="EO",5,IF(H411="EQ",4,"")))))</f>
        <v/>
      </c>
      <c r="J411" s="18" t="inlineStr">
        <is>
          <t>中</t>
        </is>
      </c>
      <c r="K411" s="18">
        <f>IF(J411="高",0.33,IF(J411="中",0.67,IF(J411="低",1,"")))</f>
        <v/>
      </c>
      <c r="L411" s="18" t="inlineStr">
        <is>
          <t>新增</t>
        </is>
      </c>
      <c r="M411" s="18">
        <f>IF(L411="新增",1,IF(L411="修改",0.8,IF(L411="删除",0.2,"")))</f>
        <v/>
      </c>
      <c r="N411" s="18">
        <f>I411*K411*M411</f>
        <v/>
      </c>
    </row>
    <row r="412" ht="19" customHeight="1" s="1">
      <c r="B412" s="16" t="n">
        <v>407</v>
      </c>
      <c r="C412" s="16" t="inlineStr">
        <is>
          <t>边缘端前置流式计算与实时告警引擎服务</t>
        </is>
      </c>
      <c r="D412" s="16" t="inlineStr">
        <is>
          <t>预存流式计算</t>
        </is>
      </c>
      <c r="E412" s="16" t="inlineStr">
        <is>
          <t>滑动平均</t>
        </is>
      </c>
      <c r="F412" s="16" t="inlineStr">
        <is>
          <t>窗口缓存</t>
        </is>
      </c>
      <c r="G412" s="17" t="inlineStr">
        <is>
          <t xml:space="preserve"> 提供滑动窗口数据缓存管理服务</t>
        </is>
      </c>
      <c r="H412" s="18" t="inlineStr">
        <is>
          <t>EI</t>
        </is>
      </c>
      <c r="I412" s="18">
        <f>IF(H412="ILF",10,IF(H412="EIF",7,IF(H412="EI",4,IF(H412="EO",5,IF(H412="EQ",4,"")))))</f>
        <v/>
      </c>
      <c r="J412" s="18" t="inlineStr">
        <is>
          <t>中</t>
        </is>
      </c>
      <c r="K412" s="18">
        <f>IF(J412="高",0.33,IF(J412="中",0.67,IF(J412="低",1,"")))</f>
        <v/>
      </c>
      <c r="L412" s="18" t="inlineStr">
        <is>
          <t>新增</t>
        </is>
      </c>
      <c r="M412" s="18">
        <f>IF(L412="新增",1,IF(L412="修改",0.8,IF(L412="删除",0.2,"")))</f>
        <v/>
      </c>
      <c r="N412" s="18">
        <f>I412*K412*M412</f>
        <v/>
      </c>
    </row>
    <row r="413" ht="19" customHeight="1" s="1">
      <c r="B413" s="16" t="n">
        <v>408</v>
      </c>
      <c r="C413" s="16" t="inlineStr">
        <is>
          <t>边缘端前置流式计算与实时告警引擎服务</t>
        </is>
      </c>
      <c r="D413" s="16" t="inlineStr">
        <is>
          <t>预存流式计算</t>
        </is>
      </c>
      <c r="E413" s="16" t="inlineStr">
        <is>
          <t>滑动平均</t>
        </is>
      </c>
      <c r="F413" s="16" t="inlineStr">
        <is>
          <t>多参数滑窗</t>
        </is>
      </c>
      <c r="G413" s="17" t="inlineStr">
        <is>
          <t xml:space="preserve"> 提供多参数独立滑动窗口并行配置服务</t>
        </is>
      </c>
      <c r="H413" s="18" t="inlineStr">
        <is>
          <t>EI</t>
        </is>
      </c>
      <c r="I413" s="18">
        <f>IF(H413="ILF",10,IF(H413="EIF",7,IF(H413="EI",4,IF(H413="EO",5,IF(H413="EQ",4,"")))))</f>
        <v/>
      </c>
      <c r="J413" s="18" t="inlineStr">
        <is>
          <t>中</t>
        </is>
      </c>
      <c r="K413" s="18">
        <f>IF(J413="高",0.33,IF(J413="中",0.67,IF(J413="低",1,"")))</f>
        <v/>
      </c>
      <c r="L413" s="18" t="inlineStr">
        <is>
          <t>新增</t>
        </is>
      </c>
      <c r="M413" s="18">
        <f>IF(L413="新增",1,IF(L413="修改",0.8,IF(L413="删除",0.2,"")))</f>
        <v/>
      </c>
      <c r="N413" s="18">
        <f>I413*K413*M413</f>
        <v/>
      </c>
    </row>
    <row r="414" ht="19" customHeight="1" s="1">
      <c r="B414" s="16" t="n">
        <v>409</v>
      </c>
      <c r="C414" s="16" t="inlineStr">
        <is>
          <t>边缘端前置流式计算与实时告警引擎服务</t>
        </is>
      </c>
      <c r="D414" s="16" t="inlineStr">
        <is>
          <t>预存流式计算</t>
        </is>
      </c>
      <c r="E414" s="16" t="inlineStr">
        <is>
          <t>突变检测</t>
        </is>
      </c>
      <c r="F414" s="16" t="inlineStr">
        <is>
          <t>突变判定</t>
        </is>
      </c>
      <c r="G414" s="17" t="inlineStr">
        <is>
          <t xml:space="preserve"> 提供当前值与上一值差超阈值告警的突变检测服务</t>
        </is>
      </c>
      <c r="H414" s="18" t="inlineStr">
        <is>
          <t>EI</t>
        </is>
      </c>
      <c r="I414" s="18">
        <f>IF(H414="ILF",10,IF(H414="EIF",7,IF(H414="EI",4,IF(H414="EO",5,IF(H414="EQ",4,"")))))</f>
        <v/>
      </c>
      <c r="J414" s="18" t="inlineStr">
        <is>
          <t>中</t>
        </is>
      </c>
      <c r="K414" s="18">
        <f>IF(J414="高",0.33,IF(J414="中",0.67,IF(J414="低",1,"")))</f>
        <v/>
      </c>
      <c r="L414" s="18" t="inlineStr">
        <is>
          <t>新增</t>
        </is>
      </c>
      <c r="M414" s="18">
        <f>IF(L414="新增",1,IF(L414="修改",0.8,IF(L414="删除",0.2,"")))</f>
        <v/>
      </c>
      <c r="N414" s="18">
        <f>I414*K414*M414</f>
        <v/>
      </c>
    </row>
    <row r="415" ht="19" customHeight="1" s="1">
      <c r="B415" s="16" t="n">
        <v>410</v>
      </c>
      <c r="C415" s="16" t="inlineStr">
        <is>
          <t>边缘端前置流式计算与实时告警引擎服务</t>
        </is>
      </c>
      <c r="D415" s="16" t="inlineStr">
        <is>
          <t>预存流式计算</t>
        </is>
      </c>
      <c r="E415" s="16" t="inlineStr">
        <is>
          <t>突变检测</t>
        </is>
      </c>
      <c r="F415" s="16" t="inlineStr">
        <is>
          <t>突变方向</t>
        </is>
      </c>
      <c r="G415" s="17" t="inlineStr">
        <is>
          <t xml:space="preserve"> 提供向上/向下/双向突变方向配置服务</t>
        </is>
      </c>
      <c r="H415" s="18" t="inlineStr">
        <is>
          <t>EI</t>
        </is>
      </c>
      <c r="I415" s="18">
        <f>IF(H415="ILF",10,IF(H415="EIF",7,IF(H415="EI",4,IF(H415="EO",5,IF(H415="EQ",4,"")))))</f>
        <v/>
      </c>
      <c r="J415" s="18" t="inlineStr">
        <is>
          <t>中</t>
        </is>
      </c>
      <c r="K415" s="18">
        <f>IF(J415="高",0.33,IF(J415="中",0.67,IF(J415="低",1,"")))</f>
        <v/>
      </c>
      <c r="L415" s="18" t="inlineStr">
        <is>
          <t>新增</t>
        </is>
      </c>
      <c r="M415" s="18">
        <f>IF(L415="新增",1,IF(L415="修改",0.8,IF(L415="删除",0.2,"")))</f>
        <v/>
      </c>
      <c r="N415" s="18">
        <f>I415*K415*M415</f>
        <v/>
      </c>
    </row>
    <row r="416" ht="19" customHeight="1" s="1">
      <c r="B416" s="16" t="n">
        <v>411</v>
      </c>
      <c r="C416" s="16" t="inlineStr">
        <is>
          <t>边缘端前置流式计算与实时告警引擎服务</t>
        </is>
      </c>
      <c r="D416" s="16" t="inlineStr">
        <is>
          <t>预存流式计算</t>
        </is>
      </c>
      <c r="E416" s="16" t="inlineStr">
        <is>
          <t>突变检测</t>
        </is>
      </c>
      <c r="F416" s="16" t="inlineStr">
        <is>
          <t>突变阈值</t>
        </is>
      </c>
      <c r="G416" s="17" t="inlineStr">
        <is>
          <t xml:space="preserve"> 提供突变幅度阈值参数配置服务</t>
        </is>
      </c>
      <c r="H416" s="18" t="inlineStr">
        <is>
          <t>EI</t>
        </is>
      </c>
      <c r="I416" s="18">
        <f>IF(H416="ILF",10,IF(H416="EIF",7,IF(H416="EI",4,IF(H416="EO",5,IF(H416="EQ",4,"")))))</f>
        <v/>
      </c>
      <c r="J416" s="18" t="inlineStr">
        <is>
          <t>中</t>
        </is>
      </c>
      <c r="K416" s="18">
        <f>IF(J416="高",0.33,IF(J416="中",0.67,IF(J416="低",1,"")))</f>
        <v/>
      </c>
      <c r="L416" s="18" t="inlineStr">
        <is>
          <t>新增</t>
        </is>
      </c>
      <c r="M416" s="18">
        <f>IF(L416="新增",1,IF(L416="修改",0.8,IF(L416="删除",0.2,"")))</f>
        <v/>
      </c>
      <c r="N416" s="18">
        <f>I416*K416*M416</f>
        <v/>
      </c>
    </row>
    <row r="417" ht="19" customHeight="1" s="1">
      <c r="B417" s="16" t="n">
        <v>412</v>
      </c>
      <c r="C417" s="16" t="inlineStr">
        <is>
          <t>边缘端前置流式计算与实时告警引擎服务</t>
        </is>
      </c>
      <c r="D417" s="16" t="inlineStr">
        <is>
          <t>预存流式计算</t>
        </is>
      </c>
      <c r="E417" s="16" t="inlineStr">
        <is>
          <t>突变检测</t>
        </is>
      </c>
      <c r="F417" s="16" t="inlineStr">
        <is>
          <t>相邻点</t>
        </is>
      </c>
      <c r="G417" s="17" t="inlineStr">
        <is>
          <t xml:space="preserve"> 提供比较相邻点数量1~5可配置服务</t>
        </is>
      </c>
      <c r="H417" s="18" t="inlineStr">
        <is>
          <t>EI</t>
        </is>
      </c>
      <c r="I417" s="18">
        <f>IF(H417="ILF",10,IF(H417="EIF",7,IF(H417="EI",4,IF(H417="EO",5,IF(H417="EQ",4,"")))))</f>
        <v/>
      </c>
      <c r="J417" s="18" t="inlineStr">
        <is>
          <t>中</t>
        </is>
      </c>
      <c r="K417" s="18">
        <f>IF(J417="高",0.33,IF(J417="中",0.67,IF(J417="低",1,"")))</f>
        <v/>
      </c>
      <c r="L417" s="18" t="inlineStr">
        <is>
          <t>新增</t>
        </is>
      </c>
      <c r="M417" s="18">
        <f>IF(L417="新增",1,IF(L417="修改",0.8,IF(L417="删除",0.2,"")))</f>
        <v/>
      </c>
      <c r="N417" s="18">
        <f>I417*K417*M417</f>
        <v/>
      </c>
    </row>
    <row r="418" ht="19" customHeight="1" s="1">
      <c r="B418" s="16" t="n">
        <v>413</v>
      </c>
      <c r="C418" s="16" t="inlineStr">
        <is>
          <t>边缘端前置流式计算与实时告警引擎服务</t>
        </is>
      </c>
      <c r="D418" s="16" t="inlineStr">
        <is>
          <t>预存流式计算</t>
        </is>
      </c>
      <c r="E418" s="16" t="inlineStr">
        <is>
          <t>突变检测</t>
        </is>
      </c>
      <c r="F418" s="16" t="inlineStr">
        <is>
          <t>灵敏度</t>
        </is>
      </c>
      <c r="G418" s="17" t="inlineStr">
        <is>
          <t xml:space="preserve"> 提供突变检测灵敏度和死区参数配置服务</t>
        </is>
      </c>
      <c r="H418" s="18" t="inlineStr">
        <is>
          <t>EI</t>
        </is>
      </c>
      <c r="I418" s="18">
        <f>IF(H418="ILF",10,IF(H418="EIF",7,IF(H418="EI",4,IF(H418="EO",5,IF(H418="EQ",4,"")))))</f>
        <v/>
      </c>
      <c r="J418" s="18" t="inlineStr">
        <is>
          <t>中</t>
        </is>
      </c>
      <c r="K418" s="18">
        <f>IF(J418="高",0.33,IF(J418="中",0.67,IF(J418="低",1,"")))</f>
        <v/>
      </c>
      <c r="L418" s="18" t="inlineStr">
        <is>
          <t>新增</t>
        </is>
      </c>
      <c r="M418" s="18">
        <f>IF(L418="新增",1,IF(L418="修改",0.8,IF(L418="删除",0.2,"")))</f>
        <v/>
      </c>
      <c r="N418" s="18">
        <f>I418*K418*M418</f>
        <v/>
      </c>
    </row>
    <row r="419" ht="19" customHeight="1" s="1">
      <c r="B419" s="16" t="n">
        <v>414</v>
      </c>
      <c r="C419" s="16" t="inlineStr">
        <is>
          <t>边缘端前置流式计算与实时告警引擎服务</t>
        </is>
      </c>
      <c r="D419" s="16" t="inlineStr">
        <is>
          <t>预存流式计算</t>
        </is>
      </c>
      <c r="E419" s="16" t="inlineStr">
        <is>
          <t>趋势检测</t>
        </is>
      </c>
      <c r="F419" s="16" t="inlineStr">
        <is>
          <t>上升趋势</t>
        </is>
      </c>
      <c r="G419" s="17" t="inlineStr">
        <is>
          <t xml:space="preserve"> 提供连续N点同方向上升趋势检测服务</t>
        </is>
      </c>
      <c r="H419" s="18" t="inlineStr">
        <is>
          <t>EI</t>
        </is>
      </c>
      <c r="I419" s="18">
        <f>IF(H419="ILF",10,IF(H419="EIF",7,IF(H419="EI",4,IF(H419="EO",5,IF(H419="EQ",4,"")))))</f>
        <v/>
      </c>
      <c r="J419" s="18" t="inlineStr">
        <is>
          <t>中</t>
        </is>
      </c>
      <c r="K419" s="18">
        <f>IF(J419="高",0.33,IF(J419="中",0.67,IF(J419="低",1,"")))</f>
        <v/>
      </c>
      <c r="L419" s="18" t="inlineStr">
        <is>
          <t>新增</t>
        </is>
      </c>
      <c r="M419" s="18">
        <f>IF(L419="新增",1,IF(L419="修改",0.8,IF(L419="删除",0.2,"")))</f>
        <v/>
      </c>
      <c r="N419" s="18">
        <f>I419*K419*M419</f>
        <v/>
      </c>
    </row>
    <row r="420" ht="19" customHeight="1" s="1">
      <c r="B420" s="16" t="n">
        <v>415</v>
      </c>
      <c r="C420" s="16" t="inlineStr">
        <is>
          <t>边缘端前置流式计算与实时告警引擎服务</t>
        </is>
      </c>
      <c r="D420" s="16" t="inlineStr">
        <is>
          <t>预存流式计算</t>
        </is>
      </c>
      <c r="E420" s="16" t="inlineStr">
        <is>
          <t>趋势检测</t>
        </is>
      </c>
      <c r="F420" s="16" t="inlineStr">
        <is>
          <t>下降趋势</t>
        </is>
      </c>
      <c r="G420" s="17" t="inlineStr">
        <is>
          <t xml:space="preserve"> 提供连续N点同方向下降趋势检测服务</t>
        </is>
      </c>
      <c r="H420" s="18" t="inlineStr">
        <is>
          <t>EI</t>
        </is>
      </c>
      <c r="I420" s="18">
        <f>IF(H420="ILF",10,IF(H420="EIF",7,IF(H420="EI",4,IF(H420="EO",5,IF(H420="EQ",4,"")))))</f>
        <v/>
      </c>
      <c r="J420" s="18" t="inlineStr">
        <is>
          <t>中</t>
        </is>
      </c>
      <c r="K420" s="18">
        <f>IF(J420="高",0.33,IF(J420="中",0.67,IF(J420="低",1,"")))</f>
        <v/>
      </c>
      <c r="L420" s="18" t="inlineStr">
        <is>
          <t>新增</t>
        </is>
      </c>
      <c r="M420" s="18">
        <f>IF(L420="新增",1,IF(L420="修改",0.8,IF(L420="删除",0.2,"")))</f>
        <v/>
      </c>
      <c r="N420" s="18">
        <f>I420*K420*M420</f>
        <v/>
      </c>
    </row>
    <row r="421" ht="19" customHeight="1" s="1">
      <c r="B421" s="16" t="n">
        <v>416</v>
      </c>
      <c r="C421" s="16" t="inlineStr">
        <is>
          <t>边缘端前置流式计算与实时告警引擎服务</t>
        </is>
      </c>
      <c r="D421" s="16" t="inlineStr">
        <is>
          <t>预存流式计算</t>
        </is>
      </c>
      <c r="E421" s="16" t="inlineStr">
        <is>
          <t>趋势检测</t>
        </is>
      </c>
      <c r="F421" s="16" t="inlineStr">
        <is>
          <t>连续点数</t>
        </is>
      </c>
      <c r="G421" s="17" t="inlineStr">
        <is>
          <t xml:space="preserve"> 提供趋势判定所需连续点数N参数配置服务</t>
        </is>
      </c>
      <c r="H421" s="18" t="inlineStr">
        <is>
          <t>EI</t>
        </is>
      </c>
      <c r="I421" s="18">
        <f>IF(H421="ILF",10,IF(H421="EIF",7,IF(H421="EI",4,IF(H421="EO",5,IF(H421="EQ",4,"")))))</f>
        <v/>
      </c>
      <c r="J421" s="18" t="inlineStr">
        <is>
          <t>中</t>
        </is>
      </c>
      <c r="K421" s="18">
        <f>IF(J421="高",0.33,IF(J421="中",0.67,IF(J421="低",1,"")))</f>
        <v/>
      </c>
      <c r="L421" s="18" t="inlineStr">
        <is>
          <t>新增</t>
        </is>
      </c>
      <c r="M421" s="18">
        <f>IF(L421="新增",1,IF(L421="修改",0.8,IF(L421="删除",0.2,"")))</f>
        <v/>
      </c>
      <c r="N421" s="18">
        <f>I421*K421*M421</f>
        <v/>
      </c>
    </row>
    <row r="422" ht="19" customHeight="1" s="1">
      <c r="B422" s="16" t="n">
        <v>417</v>
      </c>
      <c r="C422" s="16" t="inlineStr">
        <is>
          <t>边缘端前置流式计算与实时告警引擎服务</t>
        </is>
      </c>
      <c r="D422" s="16" t="inlineStr">
        <is>
          <t>预存流式计算</t>
        </is>
      </c>
      <c r="E422" s="16" t="inlineStr">
        <is>
          <t>趋势检测</t>
        </is>
      </c>
      <c r="F422" s="16" t="inlineStr">
        <is>
          <t>变化幅度</t>
        </is>
      </c>
      <c r="G422" s="17" t="inlineStr">
        <is>
          <t xml:space="preserve"> 提供趋势最小变化幅度阈值配置服务</t>
        </is>
      </c>
      <c r="H422" s="18" t="inlineStr">
        <is>
          <t>EI</t>
        </is>
      </c>
      <c r="I422" s="18">
        <f>IF(H422="ILF",10,IF(H422="EIF",7,IF(H422="EI",4,IF(H422="EO",5,IF(H422="EQ",4,"")))))</f>
        <v/>
      </c>
      <c r="J422" s="18" t="inlineStr">
        <is>
          <t>中</t>
        </is>
      </c>
      <c r="K422" s="18">
        <f>IF(J422="高",0.33,IF(J422="中",0.67,IF(J422="低",1,"")))</f>
        <v/>
      </c>
      <c r="L422" s="18" t="inlineStr">
        <is>
          <t>新增</t>
        </is>
      </c>
      <c r="M422" s="18">
        <f>IF(L422="新增",1,IF(L422="修改",0.8,IF(L422="删除",0.2,"")))</f>
        <v/>
      </c>
      <c r="N422" s="18">
        <f>I422*K422*M422</f>
        <v/>
      </c>
    </row>
    <row r="423" ht="19" customHeight="1" s="1">
      <c r="B423" s="16" t="n">
        <v>418</v>
      </c>
      <c r="C423" s="16" t="inlineStr">
        <is>
          <t>边缘端前置流式计算与实时告警引擎服务</t>
        </is>
      </c>
      <c r="D423" s="16" t="inlineStr">
        <is>
          <t>预存流式计算</t>
        </is>
      </c>
      <c r="E423" s="16" t="inlineStr">
        <is>
          <t>趋势检测</t>
        </is>
      </c>
      <c r="F423" s="16" t="inlineStr">
        <is>
          <t>多趋势</t>
        </is>
      </c>
      <c r="G423" s="17" t="inlineStr">
        <is>
          <t xml:space="preserve"> 提供同参数同时检测上升/下降趋势服务</t>
        </is>
      </c>
      <c r="H423" s="18" t="inlineStr">
        <is>
          <t>EI</t>
        </is>
      </c>
      <c r="I423" s="18">
        <f>IF(H423="ILF",10,IF(H423="EIF",7,IF(H423="EI",4,IF(H423="EO",5,IF(H423="EQ",4,"")))))</f>
        <v/>
      </c>
      <c r="J423" s="18" t="inlineStr">
        <is>
          <t>中</t>
        </is>
      </c>
      <c r="K423" s="18">
        <f>IF(J423="高",0.33,IF(J423="中",0.67,IF(J423="低",1,"")))</f>
        <v/>
      </c>
      <c r="L423" s="18" t="inlineStr">
        <is>
          <t>新增</t>
        </is>
      </c>
      <c r="M423" s="18">
        <f>IF(L423="新增",1,IF(L423="修改",0.8,IF(L423="删除",0.2,"")))</f>
        <v/>
      </c>
      <c r="N423" s="18">
        <f>I423*K423*M423</f>
        <v/>
      </c>
    </row>
    <row r="424" ht="19" customHeight="1" s="1">
      <c r="B424" s="16" t="n">
        <v>419</v>
      </c>
      <c r="C424" s="16" t="inlineStr">
        <is>
          <t>边缘端前置流式计算与实时告警引擎服务</t>
        </is>
      </c>
      <c r="D424" s="16" t="inlineStr">
        <is>
          <t>预存流式计算</t>
        </is>
      </c>
      <c r="E424" s="16" t="inlineStr">
        <is>
          <t>波动分析</t>
        </is>
      </c>
      <c r="F424" s="16" t="inlineStr">
        <is>
          <t>标准差</t>
        </is>
      </c>
      <c r="G424" s="17" t="inlineStr">
        <is>
          <t xml:space="preserve"> 提供窗口内标准差超阈值告警的波动分析服务</t>
        </is>
      </c>
      <c r="H424" s="18" t="inlineStr">
        <is>
          <t>EI</t>
        </is>
      </c>
      <c r="I424" s="18">
        <f>IF(H424="ILF",10,IF(H424="EIF",7,IF(H424="EI",4,IF(H424="EO",5,IF(H424="EQ",4,"")))))</f>
        <v/>
      </c>
      <c r="J424" s="18" t="inlineStr">
        <is>
          <t>中</t>
        </is>
      </c>
      <c r="K424" s="18">
        <f>IF(J424="高",0.33,IF(J424="中",0.67,IF(J424="低",1,"")))</f>
        <v/>
      </c>
      <c r="L424" s="18" t="inlineStr">
        <is>
          <t>新增</t>
        </is>
      </c>
      <c r="M424" s="18">
        <f>IF(L424="新增",1,IF(L424="修改",0.8,IF(L424="删除",0.2,"")))</f>
        <v/>
      </c>
      <c r="N424" s="18">
        <f>I424*K424*M424</f>
        <v/>
      </c>
    </row>
    <row r="425" ht="19" customHeight="1" s="1">
      <c r="B425" s="16" t="n">
        <v>420</v>
      </c>
      <c r="C425" s="16" t="inlineStr">
        <is>
          <t>边缘端前置流式计算与实时告警引擎服务</t>
        </is>
      </c>
      <c r="D425" s="16" t="inlineStr">
        <is>
          <t>预存流式计算</t>
        </is>
      </c>
      <c r="E425" s="16" t="inlineStr">
        <is>
          <t>波动分析</t>
        </is>
      </c>
      <c r="F425" s="16" t="inlineStr">
        <is>
          <t>波动阈值</t>
        </is>
      </c>
      <c r="G425" s="17" t="inlineStr">
        <is>
          <t xml:space="preserve"> 提供波动分析标准差阈值参数配置服务</t>
        </is>
      </c>
      <c r="H425" s="18" t="inlineStr">
        <is>
          <t>EI</t>
        </is>
      </c>
      <c r="I425" s="18">
        <f>IF(H425="ILF",10,IF(H425="EIF",7,IF(H425="EI",4,IF(H425="EO",5,IF(H425="EQ",4,"")))))</f>
        <v/>
      </c>
      <c r="J425" s="18" t="inlineStr">
        <is>
          <t>中</t>
        </is>
      </c>
      <c r="K425" s="18">
        <f>IF(J425="高",0.33,IF(J425="中",0.67,IF(J425="低",1,"")))</f>
        <v/>
      </c>
      <c r="L425" s="18" t="inlineStr">
        <is>
          <t>新增</t>
        </is>
      </c>
      <c r="M425" s="18">
        <f>IF(L425="新增",1,IF(L425="修改",0.8,IF(L425="删除",0.2,"")))</f>
        <v/>
      </c>
      <c r="N425" s="18">
        <f>I425*K425*M425</f>
        <v/>
      </c>
    </row>
    <row r="426" ht="19" customHeight="1" s="1">
      <c r="B426" s="16" t="n">
        <v>421</v>
      </c>
      <c r="C426" s="16" t="inlineStr">
        <is>
          <t>边缘端前置流式计算与实时告警引擎服务</t>
        </is>
      </c>
      <c r="D426" s="16" t="inlineStr">
        <is>
          <t>预存流式计算</t>
        </is>
      </c>
      <c r="E426" s="16" t="inlineStr">
        <is>
          <t>波动分析</t>
        </is>
      </c>
      <c r="F426" s="16" t="inlineStr">
        <is>
          <t>RMS监测</t>
        </is>
      </c>
      <c r="G426" s="17" t="inlineStr">
        <is>
          <t xml:space="preserve"> 提供窗口内均方根RMS超阈值检测服务</t>
        </is>
      </c>
      <c r="H426" s="18" t="inlineStr">
        <is>
          <t>EI</t>
        </is>
      </c>
      <c r="I426" s="18">
        <f>IF(H426="ILF",10,IF(H426="EIF",7,IF(H426="EI",4,IF(H426="EO",5,IF(H426="EQ",4,"")))))</f>
        <v/>
      </c>
      <c r="J426" s="18" t="inlineStr">
        <is>
          <t>中</t>
        </is>
      </c>
      <c r="K426" s="18">
        <f>IF(J426="高",0.33,IF(J426="中",0.67,IF(J426="低",1,"")))</f>
        <v/>
      </c>
      <c r="L426" s="18" t="inlineStr">
        <is>
          <t>新增</t>
        </is>
      </c>
      <c r="M426" s="18">
        <f>IF(L426="新增",1,IF(L426="修改",0.8,IF(L426="删除",0.2,"")))</f>
        <v/>
      </c>
      <c r="N426" s="18">
        <f>I426*K426*M426</f>
        <v/>
      </c>
    </row>
    <row r="427" ht="19" customHeight="1" s="1">
      <c r="B427" s="16" t="n">
        <v>422</v>
      </c>
      <c r="C427" s="16" t="inlineStr">
        <is>
          <t>边缘端前置流式计算与实时告警引擎服务</t>
        </is>
      </c>
      <c r="D427" s="16" t="inlineStr">
        <is>
          <t>预存流式计算</t>
        </is>
      </c>
      <c r="E427" s="16" t="inlineStr">
        <is>
          <t>波动分析</t>
        </is>
      </c>
      <c r="F427" s="16" t="inlineStr">
        <is>
          <t>CV监测</t>
        </is>
      </c>
      <c r="G427" s="17" t="inlineStr">
        <is>
          <t xml:space="preserve"> 提供窗口内变异系数CV超阈值检测服务</t>
        </is>
      </c>
      <c r="H427" s="18" t="inlineStr">
        <is>
          <t>EI</t>
        </is>
      </c>
      <c r="I427" s="18">
        <f>IF(H427="ILF",10,IF(H427="EIF",7,IF(H427="EI",4,IF(H427="EO",5,IF(H427="EQ",4,"")))))</f>
        <v/>
      </c>
      <c r="J427" s="18" t="inlineStr">
        <is>
          <t>中</t>
        </is>
      </c>
      <c r="K427" s="18">
        <f>IF(J427="高",0.33,IF(J427="中",0.67,IF(J427="低",1,"")))</f>
        <v/>
      </c>
      <c r="L427" s="18" t="inlineStr">
        <is>
          <t>新增</t>
        </is>
      </c>
      <c r="M427" s="18">
        <f>IF(L427="新增",1,IF(L427="修改",0.8,IF(L427="删除",0.2,"")))</f>
        <v/>
      </c>
      <c r="N427" s="18">
        <f>I427*K427*M427</f>
        <v/>
      </c>
    </row>
    <row r="428" ht="19" customHeight="1" s="1">
      <c r="B428" s="16" t="n">
        <v>423</v>
      </c>
      <c r="C428" s="16" t="inlineStr">
        <is>
          <t>边缘端前置流式计算与实时告警引擎服务</t>
        </is>
      </c>
      <c r="D428" s="16" t="inlineStr">
        <is>
          <t>预存流式计算</t>
        </is>
      </c>
      <c r="E428" s="16" t="inlineStr">
        <is>
          <t>波动分析</t>
        </is>
      </c>
      <c r="F428" s="16" t="inlineStr">
        <is>
          <t>基准值</t>
        </is>
      </c>
      <c r="G428" s="17" t="inlineStr">
        <is>
          <t xml:space="preserve"> 提供波动分析基准值参数配置服务</t>
        </is>
      </c>
      <c r="H428" s="18" t="inlineStr">
        <is>
          <t>EI</t>
        </is>
      </c>
      <c r="I428" s="18">
        <f>IF(H428="ILF",10,IF(H428="EIF",7,IF(H428="EI",4,IF(H428="EO",5,IF(H428="EQ",4,"")))))</f>
        <v/>
      </c>
      <c r="J428" s="18" t="inlineStr">
        <is>
          <t>中</t>
        </is>
      </c>
      <c r="K428" s="18">
        <f>IF(J428="高",0.33,IF(J428="中",0.67,IF(J428="低",1,"")))</f>
        <v/>
      </c>
      <c r="L428" s="18" t="inlineStr">
        <is>
          <t>新增</t>
        </is>
      </c>
      <c r="M428" s="18">
        <f>IF(L428="新增",1,IF(L428="修改",0.8,IF(L428="删除",0.2,"")))</f>
        <v/>
      </c>
      <c r="N428" s="18">
        <f>I428*K428*M428</f>
        <v/>
      </c>
    </row>
    <row r="429" ht="19" customHeight="1" s="1">
      <c r="B429" s="16" t="n">
        <v>424</v>
      </c>
      <c r="C429" s="16" t="inlineStr">
        <is>
          <t>边缘端前置流式计算与实时告警引擎服务</t>
        </is>
      </c>
      <c r="D429" s="16" t="inlineStr">
        <is>
          <t>预存流式计算</t>
        </is>
      </c>
      <c r="E429" s="16" t="inlineStr">
        <is>
          <t>超限与范围</t>
        </is>
      </c>
      <c r="F429" s="16" t="inlineStr">
        <is>
          <t>超限次数</t>
        </is>
      </c>
      <c r="G429" s="17" t="inlineStr">
        <is>
          <t xml:space="preserve"> 提供窗口内超限次数统计触发告警服务</t>
        </is>
      </c>
      <c r="H429" s="18" t="inlineStr">
        <is>
          <t>EI</t>
        </is>
      </c>
      <c r="I429" s="18">
        <f>IF(H429="ILF",10,IF(H429="EIF",7,IF(H429="EI",4,IF(H429="EO",5,IF(H429="EQ",4,"")))))</f>
        <v/>
      </c>
      <c r="J429" s="18" t="inlineStr">
        <is>
          <t>中</t>
        </is>
      </c>
      <c r="K429" s="18">
        <f>IF(J429="高",0.33,IF(J429="中",0.67,IF(J429="低",1,"")))</f>
        <v/>
      </c>
      <c r="L429" s="18" t="inlineStr">
        <is>
          <t>新增</t>
        </is>
      </c>
      <c r="M429" s="18">
        <f>IF(L429="新增",1,IF(L429="修改",0.8,IF(L429="删除",0.2,"")))</f>
        <v/>
      </c>
      <c r="N429" s="18">
        <f>I429*K429*M429</f>
        <v/>
      </c>
    </row>
    <row r="430" ht="19" customHeight="1" s="1">
      <c r="B430" s="16" t="n">
        <v>425</v>
      </c>
      <c r="C430" s="16" t="inlineStr">
        <is>
          <t>边缘端前置流式计算与实时告警引擎服务</t>
        </is>
      </c>
      <c r="D430" s="16" t="inlineStr">
        <is>
          <t>预存流式计算</t>
        </is>
      </c>
      <c r="E430" s="16" t="inlineStr">
        <is>
          <t>超限与范围</t>
        </is>
      </c>
      <c r="F430" s="16" t="inlineStr">
        <is>
          <t>超限阈值</t>
        </is>
      </c>
      <c r="G430" s="17" t="inlineStr">
        <is>
          <t xml:space="preserve"> 提供超限次数触发阈值参数配置服务</t>
        </is>
      </c>
      <c r="H430" s="18" t="inlineStr">
        <is>
          <t>EI</t>
        </is>
      </c>
      <c r="I430" s="18">
        <f>IF(H430="ILF",10,IF(H430="EIF",7,IF(H430="EI",4,IF(H430="EO",5,IF(H430="EQ",4,"")))))</f>
        <v/>
      </c>
      <c r="J430" s="18" t="inlineStr">
        <is>
          <t>中</t>
        </is>
      </c>
      <c r="K430" s="18">
        <f>IF(J430="高",0.33,IF(J430="中",0.67,IF(J430="低",1,"")))</f>
        <v/>
      </c>
      <c r="L430" s="18" t="inlineStr">
        <is>
          <t>新增</t>
        </is>
      </c>
      <c r="M430" s="18">
        <f>IF(L430="新增",1,IF(L430="修改",0.8,IF(L430="删除",0.2,"")))</f>
        <v/>
      </c>
      <c r="N430" s="18">
        <f>I430*K430*M430</f>
        <v/>
      </c>
    </row>
    <row r="431" ht="19" customHeight="1" s="1">
      <c r="B431" s="16" t="n">
        <v>426</v>
      </c>
      <c r="C431" s="16" t="inlineStr">
        <is>
          <t>边缘端前置流式计算与实时告警引擎服务</t>
        </is>
      </c>
      <c r="D431" s="16" t="inlineStr">
        <is>
          <t>预存流式计算</t>
        </is>
      </c>
      <c r="E431" s="16" t="inlineStr">
        <is>
          <t>超限与范围</t>
        </is>
      </c>
      <c r="F431" s="16" t="inlineStr">
        <is>
          <t>超限百分比</t>
        </is>
      </c>
      <c r="G431" s="17" t="inlineStr">
        <is>
          <t xml:space="preserve"> 提供窗口内超限百分比统计触发告警服务</t>
        </is>
      </c>
      <c r="H431" s="18" t="inlineStr">
        <is>
          <t>EI</t>
        </is>
      </c>
      <c r="I431" s="18">
        <f>IF(H431="ILF",10,IF(H431="EIF",7,IF(H431="EI",4,IF(H431="EO",5,IF(H431="EQ",4,"")))))</f>
        <v/>
      </c>
      <c r="J431" s="18" t="inlineStr">
        <is>
          <t>中</t>
        </is>
      </c>
      <c r="K431" s="18">
        <f>IF(J431="高",0.33,IF(J431="中",0.67,IF(J431="低",1,"")))</f>
        <v/>
      </c>
      <c r="L431" s="18" t="inlineStr">
        <is>
          <t>新增</t>
        </is>
      </c>
      <c r="M431" s="18">
        <f>IF(L431="新增",1,IF(L431="修改",0.8,IF(L431="删除",0.2,"")))</f>
        <v/>
      </c>
      <c r="N431" s="18">
        <f>I431*K431*M431</f>
        <v/>
      </c>
    </row>
    <row r="432" ht="19" customHeight="1" s="1">
      <c r="B432" s="16" t="n">
        <v>427</v>
      </c>
      <c r="C432" s="16" t="inlineStr">
        <is>
          <t>边缘端前置流式计算与实时告警引擎服务</t>
        </is>
      </c>
      <c r="D432" s="16" t="inlineStr">
        <is>
          <t>预存流式计算</t>
        </is>
      </c>
      <c r="E432" s="16" t="inlineStr">
        <is>
          <t>超限与范围</t>
        </is>
      </c>
      <c r="F432" s="16" t="inlineStr">
        <is>
          <t>min检测</t>
        </is>
      </c>
      <c r="G432" s="17" t="inlineStr">
        <is>
          <t xml:space="preserve"> 提供数据低于min范围的检测算法服务</t>
        </is>
      </c>
      <c r="H432" s="18" t="inlineStr">
        <is>
          <t>EI</t>
        </is>
      </c>
      <c r="I432" s="18">
        <f>IF(H432="ILF",10,IF(H432="EIF",7,IF(H432="EI",4,IF(H432="EO",5,IF(H432="EQ",4,"")))))</f>
        <v/>
      </c>
      <c r="J432" s="18" t="inlineStr">
        <is>
          <t>中</t>
        </is>
      </c>
      <c r="K432" s="18">
        <f>IF(J432="高",0.33,IF(J432="中",0.67,IF(J432="低",1,"")))</f>
        <v/>
      </c>
      <c r="L432" s="18" t="inlineStr">
        <is>
          <t>新增</t>
        </is>
      </c>
      <c r="M432" s="18">
        <f>IF(L432="新增",1,IF(L432="修改",0.8,IF(L432="删除",0.2,"")))</f>
        <v/>
      </c>
      <c r="N432" s="18">
        <f>I432*K432*M432</f>
        <v/>
      </c>
    </row>
    <row r="433" ht="19" customHeight="1" s="1">
      <c r="B433" s="16" t="n">
        <v>428</v>
      </c>
      <c r="C433" s="16" t="inlineStr">
        <is>
          <t>边缘端前置流式计算与实时告警引擎服务</t>
        </is>
      </c>
      <c r="D433" s="16" t="inlineStr">
        <is>
          <t>预存流式计算</t>
        </is>
      </c>
      <c r="E433" s="16" t="inlineStr">
        <is>
          <t>超限与范围</t>
        </is>
      </c>
      <c r="F433" s="16" t="inlineStr">
        <is>
          <t>max检测</t>
        </is>
      </c>
      <c r="G433" s="17" t="inlineStr">
        <is>
          <t xml:space="preserve"> 提供数据超过max范围的检测算法服务</t>
        </is>
      </c>
      <c r="H433" s="18" t="inlineStr">
        <is>
          <t>EI</t>
        </is>
      </c>
      <c r="I433" s="18">
        <f>IF(H433="ILF",10,IF(H433="EIF",7,IF(H433="EI",4,IF(H433="EO",5,IF(H433="EQ",4,"")))))</f>
        <v/>
      </c>
      <c r="J433" s="18" t="inlineStr">
        <is>
          <t>中</t>
        </is>
      </c>
      <c r="K433" s="18">
        <f>IF(J433="高",0.33,IF(J433="中",0.67,IF(J433="低",1,"")))</f>
        <v/>
      </c>
      <c r="L433" s="18" t="inlineStr">
        <is>
          <t>新增</t>
        </is>
      </c>
      <c r="M433" s="18">
        <f>IF(L433="新增",1,IF(L433="修改",0.8,IF(L433="删除",0.2,"")))</f>
        <v/>
      </c>
      <c r="N433" s="18">
        <f>I433*K433*M433</f>
        <v/>
      </c>
    </row>
    <row r="434" ht="19" customHeight="1" s="1">
      <c r="B434" s="16" t="n">
        <v>429</v>
      </c>
      <c r="C434" s="16" t="inlineStr">
        <is>
          <t>边缘端前置流式计算与实时告警引擎服务</t>
        </is>
      </c>
      <c r="D434" s="16" t="inlineStr">
        <is>
          <t>预存流式计算</t>
        </is>
      </c>
      <c r="E434" s="16" t="inlineStr">
        <is>
          <t>超限与范围</t>
        </is>
      </c>
      <c r="F434" s="16" t="inlineStr">
        <is>
          <t>范围配置</t>
        </is>
      </c>
      <c r="G434" s="17" t="inlineStr">
        <is>
          <t xml:space="preserve"> 提供min/max范围参数配置服务</t>
        </is>
      </c>
      <c r="H434" s="18" t="inlineStr">
        <is>
          <t>EI</t>
        </is>
      </c>
      <c r="I434" s="18">
        <f>IF(H434="ILF",10,IF(H434="EIF",7,IF(H434="EI",4,IF(H434="EO",5,IF(H434="EQ",4,"")))))</f>
        <v/>
      </c>
      <c r="J434" s="18" t="inlineStr">
        <is>
          <t>中</t>
        </is>
      </c>
      <c r="K434" s="18">
        <f>IF(J434="高",0.33,IF(J434="中",0.67,IF(J434="低",1,"")))</f>
        <v/>
      </c>
      <c r="L434" s="18" t="inlineStr">
        <is>
          <t>新增</t>
        </is>
      </c>
      <c r="M434" s="18">
        <f>IF(L434="新增",1,IF(L434="修改",0.8,IF(L434="删除",0.2,"")))</f>
        <v/>
      </c>
      <c r="N434" s="18">
        <f>I434*K434*M434</f>
        <v/>
      </c>
    </row>
    <row r="435" ht="19" customHeight="1" s="1">
      <c r="B435" s="16" t="n">
        <v>430</v>
      </c>
      <c r="C435" s="16" t="inlineStr">
        <is>
          <t>边缘端前置流式计算与实时告警引擎服务</t>
        </is>
      </c>
      <c r="D435" s="16" t="inlineStr">
        <is>
          <t>预存流式计算</t>
        </is>
      </c>
      <c r="E435" s="16" t="inlineStr">
        <is>
          <t>扩展算法</t>
        </is>
      </c>
      <c r="F435" s="16" t="inlineStr">
        <is>
          <t>变化率</t>
        </is>
      </c>
      <c r="G435" s="17" t="inlineStr">
        <is>
          <t xml:space="preserve"> 提供单位时间变化量检测的扩展算法服务</t>
        </is>
      </c>
      <c r="H435" s="18" t="inlineStr">
        <is>
          <t>EI</t>
        </is>
      </c>
      <c r="I435" s="18">
        <f>IF(H435="ILF",10,IF(H435="EIF",7,IF(H435="EI",4,IF(H435="EO",5,IF(H435="EQ",4,"")))))</f>
        <v/>
      </c>
      <c r="J435" s="18" t="inlineStr">
        <is>
          <t>中</t>
        </is>
      </c>
      <c r="K435" s="18">
        <f>IF(J435="高",0.33,IF(J435="中",0.67,IF(J435="低",1,"")))</f>
        <v/>
      </c>
      <c r="L435" s="18" t="inlineStr">
        <is>
          <t>新增</t>
        </is>
      </c>
      <c r="M435" s="18">
        <f>IF(L435="新增",1,IF(L435="修改",0.8,IF(L435="删除",0.2,"")))</f>
        <v/>
      </c>
      <c r="N435" s="18">
        <f>I435*K435*M435</f>
        <v/>
      </c>
    </row>
    <row r="436" ht="19" customHeight="1" s="1">
      <c r="B436" s="16" t="n">
        <v>431</v>
      </c>
      <c r="C436" s="16" t="inlineStr">
        <is>
          <t>边缘端前置流式计算与实时告警引擎服务</t>
        </is>
      </c>
      <c r="D436" s="16" t="inlineStr">
        <is>
          <t>预存流式计算</t>
        </is>
      </c>
      <c r="E436" s="16" t="inlineStr">
        <is>
          <t>扩展算法</t>
        </is>
      </c>
      <c r="F436" s="16" t="inlineStr">
        <is>
          <t>累计值</t>
        </is>
      </c>
      <c r="G436" s="17" t="inlineStr">
        <is>
          <t xml:space="preserve"> 提供指定时间窗口累计值检测服务</t>
        </is>
      </c>
      <c r="H436" s="18" t="inlineStr">
        <is>
          <t>EI</t>
        </is>
      </c>
      <c r="I436" s="18">
        <f>IF(H436="ILF",10,IF(H436="EIF",7,IF(H436="EI",4,IF(H436="EO",5,IF(H436="EQ",4,"")))))</f>
        <v/>
      </c>
      <c r="J436" s="18" t="inlineStr">
        <is>
          <t>中</t>
        </is>
      </c>
      <c r="K436" s="18">
        <f>IF(J436="高",0.33,IF(J436="中",0.67,IF(J436="低",1,"")))</f>
        <v/>
      </c>
      <c r="L436" s="18" t="inlineStr">
        <is>
          <t>新增</t>
        </is>
      </c>
      <c r="M436" s="18">
        <f>IF(L436="新增",1,IF(L436="修改",0.8,IF(L436="删除",0.2,"")))</f>
        <v/>
      </c>
      <c r="N436" s="18">
        <f>I436*K436*M436</f>
        <v/>
      </c>
    </row>
    <row r="437" ht="19" customHeight="1" s="1">
      <c r="B437" s="16" t="n">
        <v>432</v>
      </c>
      <c r="C437" s="16" t="inlineStr">
        <is>
          <t>边缘端前置流式计算与实时告警引擎服务</t>
        </is>
      </c>
      <c r="D437" s="16" t="inlineStr">
        <is>
          <t>预存流式计算</t>
        </is>
      </c>
      <c r="E437" s="16" t="inlineStr">
        <is>
          <t>扩展算法</t>
        </is>
      </c>
      <c r="F437" s="16" t="inlineStr">
        <is>
          <t>峰值</t>
        </is>
      </c>
      <c r="G437" s="17" t="inlineStr">
        <is>
          <t xml:space="preserve"> 提供局部最大值检测的扩展算法服务</t>
        </is>
      </c>
      <c r="H437" s="18" t="inlineStr">
        <is>
          <t>EI</t>
        </is>
      </c>
      <c r="I437" s="18">
        <f>IF(H437="ILF",10,IF(H437="EIF",7,IF(H437="EI",4,IF(H437="EO",5,IF(H437="EQ",4,"")))))</f>
        <v/>
      </c>
      <c r="J437" s="18" t="inlineStr">
        <is>
          <t>中</t>
        </is>
      </c>
      <c r="K437" s="18">
        <f>IF(J437="高",0.33,IF(J437="中",0.67,IF(J437="低",1,"")))</f>
        <v/>
      </c>
      <c r="L437" s="18" t="inlineStr">
        <is>
          <t>新增</t>
        </is>
      </c>
      <c r="M437" s="18">
        <f>IF(L437="新增",1,IF(L437="修改",0.8,IF(L437="删除",0.2,"")))</f>
        <v/>
      </c>
      <c r="N437" s="18">
        <f>I437*K437*M437</f>
        <v/>
      </c>
    </row>
    <row r="438" ht="19" customHeight="1" s="1">
      <c r="B438" s="16" t="n">
        <v>433</v>
      </c>
      <c r="C438" s="16" t="inlineStr">
        <is>
          <t>边缘端前置流式计算与实时告警引擎服务</t>
        </is>
      </c>
      <c r="D438" s="16" t="inlineStr">
        <is>
          <t>预存流式计算</t>
        </is>
      </c>
      <c r="E438" s="16" t="inlineStr">
        <is>
          <t>扩展算法</t>
        </is>
      </c>
      <c r="F438" s="16" t="inlineStr">
        <is>
          <t>谷值</t>
        </is>
      </c>
      <c r="G438" s="17" t="inlineStr">
        <is>
          <t xml:space="preserve"> 提供局部最小值检测的扩展算法服务</t>
        </is>
      </c>
      <c r="H438" s="18" t="inlineStr">
        <is>
          <t>EI</t>
        </is>
      </c>
      <c r="I438" s="18">
        <f>IF(H438="ILF",10,IF(H438="EIF",7,IF(H438="EI",4,IF(H438="EO",5,IF(H438="EQ",4,"")))))</f>
        <v/>
      </c>
      <c r="J438" s="18" t="inlineStr">
        <is>
          <t>中</t>
        </is>
      </c>
      <c r="K438" s="18">
        <f>IF(J438="高",0.33,IF(J438="中",0.67,IF(J438="低",1,"")))</f>
        <v/>
      </c>
      <c r="L438" s="18" t="inlineStr">
        <is>
          <t>新增</t>
        </is>
      </c>
      <c r="M438" s="18">
        <f>IF(L438="新增",1,IF(L438="修改",0.8,IF(L438="删除",0.2,"")))</f>
        <v/>
      </c>
      <c r="N438" s="18">
        <f>I438*K438*M438</f>
        <v/>
      </c>
    </row>
    <row r="439" ht="19" customHeight="1" s="1">
      <c r="B439" s="16" t="n">
        <v>434</v>
      </c>
      <c r="C439" s="16" t="inlineStr">
        <is>
          <t>边缘端前置流式计算与实时告警引擎服务</t>
        </is>
      </c>
      <c r="D439" s="16" t="inlineStr">
        <is>
          <t>预存流式计算</t>
        </is>
      </c>
      <c r="E439" s="16" t="inlineStr">
        <is>
          <t>扩展算法</t>
        </is>
      </c>
      <c r="F439" s="16" t="inlineStr">
        <is>
          <t>连续异常</t>
        </is>
      </c>
      <c r="G439" s="17" t="inlineStr">
        <is>
          <t xml:space="preserve"> 提供连续N点异常才触发的过滤毛刺算法服务</t>
        </is>
      </c>
      <c r="H439" s="18" t="inlineStr">
        <is>
          <t>EI</t>
        </is>
      </c>
      <c r="I439" s="18">
        <f>IF(H439="ILF",10,IF(H439="EIF",7,IF(H439="EI",4,IF(H439="EO",5,IF(H439="EQ",4,"")))))</f>
        <v/>
      </c>
      <c r="J439" s="18" t="inlineStr">
        <is>
          <t>中</t>
        </is>
      </c>
      <c r="K439" s="18">
        <f>IF(J439="高",0.33,IF(J439="中",0.67,IF(J439="低",1,"")))</f>
        <v/>
      </c>
      <c r="L439" s="18" t="inlineStr">
        <is>
          <t>新增</t>
        </is>
      </c>
      <c r="M439" s="18">
        <f>IF(L439="新增",1,IF(L439="修改",0.8,IF(L439="删除",0.2,"")))</f>
        <v/>
      </c>
      <c r="N439" s="18">
        <f>I439*K439*M439</f>
        <v/>
      </c>
    </row>
    <row r="440" ht="19" customHeight="1" s="1">
      <c r="B440" s="16" t="n">
        <v>435</v>
      </c>
      <c r="C440" s="16" t="inlineStr">
        <is>
          <t>边缘端前置流式计算与实时告警引擎服务</t>
        </is>
      </c>
      <c r="D440" s="16" t="inlineStr">
        <is>
          <t>预存流式计算</t>
        </is>
      </c>
      <c r="E440" s="16" t="inlineStr">
        <is>
          <t>扩展算法</t>
        </is>
      </c>
      <c r="F440" s="16" t="inlineStr">
        <is>
          <t>基线偏离</t>
        </is>
      </c>
      <c r="G440" s="17" t="inlineStr">
        <is>
          <t xml:space="preserve"> 提供与历史平均值偏离超阈值告警算法服务</t>
        </is>
      </c>
      <c r="H440" s="18" t="inlineStr">
        <is>
          <t>EI</t>
        </is>
      </c>
      <c r="I440" s="18">
        <f>IF(H440="ILF",10,IF(H440="EIF",7,IF(H440="EI",4,IF(H440="EO",5,IF(H440="EQ",4,"")))))</f>
        <v/>
      </c>
      <c r="J440" s="18" t="inlineStr">
        <is>
          <t>中</t>
        </is>
      </c>
      <c r="K440" s="18">
        <f>IF(J440="高",0.33,IF(J440="中",0.67,IF(J440="低",1,"")))</f>
        <v/>
      </c>
      <c r="L440" s="18" t="inlineStr">
        <is>
          <t>新增</t>
        </is>
      </c>
      <c r="M440" s="18">
        <f>IF(L440="新增",1,IF(L440="修改",0.8,IF(L440="删除",0.2,"")))</f>
        <v/>
      </c>
      <c r="N440" s="18">
        <f>I440*K440*M440</f>
        <v/>
      </c>
    </row>
    <row r="441" ht="19" customHeight="1" s="1">
      <c r="B441" s="16" t="n">
        <v>436</v>
      </c>
      <c r="C441" s="16" t="inlineStr">
        <is>
          <t>边缘端前置流式计算与实时告警引擎服务</t>
        </is>
      </c>
      <c r="D441" s="16" t="inlineStr">
        <is>
          <t>预存流式计算</t>
        </is>
      </c>
      <c r="E441" s="16" t="inlineStr">
        <is>
          <t>扩展算法</t>
        </is>
      </c>
      <c r="F441" s="16" t="inlineStr">
        <is>
          <t>三相不平衡</t>
        </is>
      </c>
      <c r="G441" s="17" t="inlineStr">
        <is>
          <t xml:space="preserve"> 提供A/B/C三相电流比值超出范围告警服务</t>
        </is>
      </c>
      <c r="H441" s="18" t="inlineStr">
        <is>
          <t>EI</t>
        </is>
      </c>
      <c r="I441" s="18">
        <f>IF(H441="ILF",10,IF(H441="EIF",7,IF(H441="EI",4,IF(H441="EO",5,IF(H441="EQ",4,"")))))</f>
        <v/>
      </c>
      <c r="J441" s="18" t="inlineStr">
        <is>
          <t>中</t>
        </is>
      </c>
      <c r="K441" s="18">
        <f>IF(J441="高",0.33,IF(J441="中",0.67,IF(J441="低",1,"")))</f>
        <v/>
      </c>
      <c r="L441" s="18" t="inlineStr">
        <is>
          <t>新增</t>
        </is>
      </c>
      <c r="M441" s="18">
        <f>IF(L441="新增",1,IF(L441="修改",0.8,IF(L441="删除",0.2,"")))</f>
        <v/>
      </c>
      <c r="N441" s="18">
        <f>I441*K441*M441</f>
        <v/>
      </c>
    </row>
    <row r="442" ht="19" customHeight="1" s="1">
      <c r="B442" s="16" t="n">
        <v>437</v>
      </c>
      <c r="C442" s="16" t="inlineStr">
        <is>
          <t>边缘端前置流式计算与实时告警引擎服务</t>
        </is>
      </c>
      <c r="D442" s="16" t="inlineStr">
        <is>
          <t>预存流式计算</t>
        </is>
      </c>
      <c r="E442" s="16" t="inlineStr">
        <is>
          <t>扩展算法</t>
        </is>
      </c>
      <c r="F442" s="16" t="inlineStr">
        <is>
          <t>比值检测</t>
        </is>
      </c>
      <c r="G442" s="17" t="inlineStr">
        <is>
          <t xml:space="preserve"> 提供两参数比值超出配置范围告警服务</t>
        </is>
      </c>
      <c r="H442" s="18" t="inlineStr">
        <is>
          <t>EI</t>
        </is>
      </c>
      <c r="I442" s="18">
        <f>IF(H442="ILF",10,IF(H442="EIF",7,IF(H442="EI",4,IF(H442="EO",5,IF(H442="EQ",4,"")))))</f>
        <v/>
      </c>
      <c r="J442" s="18" t="inlineStr">
        <is>
          <t>中</t>
        </is>
      </c>
      <c r="K442" s="18">
        <f>IF(J442="高",0.33,IF(J442="中",0.67,IF(J442="低",1,"")))</f>
        <v/>
      </c>
      <c r="L442" s="18" t="inlineStr">
        <is>
          <t>新增</t>
        </is>
      </c>
      <c r="M442" s="18">
        <f>IF(L442="新增",1,IF(L442="修改",0.8,IF(L442="删除",0.2,"")))</f>
        <v/>
      </c>
      <c r="N442" s="18">
        <f>I442*K442*M442</f>
        <v/>
      </c>
    </row>
    <row r="443" ht="19" customHeight="1" s="1">
      <c r="B443" s="16" t="n">
        <v>438</v>
      </c>
      <c r="C443" s="16" t="inlineStr">
        <is>
          <t>边缘端前置流式计算与实时告警引擎服务</t>
        </is>
      </c>
      <c r="D443" s="16" t="inlineStr">
        <is>
          <t>预存流式计算</t>
        </is>
      </c>
      <c r="E443" s="16" t="inlineStr">
        <is>
          <t>扩展算法</t>
        </is>
      </c>
      <c r="F443" s="16" t="inlineStr">
        <is>
          <t>差值检测</t>
        </is>
      </c>
      <c r="G443" s="17" t="inlineStr">
        <is>
          <t xml:space="preserve"> 提供两参数差值超出配置阈值告警服务</t>
        </is>
      </c>
      <c r="H443" s="18" t="inlineStr">
        <is>
          <t>EI</t>
        </is>
      </c>
      <c r="I443" s="18">
        <f>IF(H443="ILF",10,IF(H443="EIF",7,IF(H443="EI",4,IF(H443="EO",5,IF(H443="EQ",4,"")))))</f>
        <v/>
      </c>
      <c r="J443" s="18" t="inlineStr">
        <is>
          <t>中</t>
        </is>
      </c>
      <c r="K443" s="18">
        <f>IF(J443="高",0.33,IF(J443="中",0.67,IF(J443="低",1,"")))</f>
        <v/>
      </c>
      <c r="L443" s="18" t="inlineStr">
        <is>
          <t>新增</t>
        </is>
      </c>
      <c r="M443" s="18">
        <f>IF(L443="新增",1,IF(L443="修改",0.8,IF(L443="删除",0.2,"")))</f>
        <v/>
      </c>
      <c r="N443" s="18">
        <f>I443*K443*M443</f>
        <v/>
      </c>
    </row>
    <row r="444" ht="19" customHeight="1" s="1">
      <c r="B444" s="16" t="n">
        <v>439</v>
      </c>
      <c r="C444" s="16" t="inlineStr">
        <is>
          <t>边缘端前置流式计算与实时告警引擎服务</t>
        </is>
      </c>
      <c r="D444" s="16" t="inlineStr">
        <is>
          <t>预存流式计算</t>
        </is>
      </c>
      <c r="E444" s="16" t="inlineStr">
        <is>
          <t>扩展算法</t>
        </is>
      </c>
      <c r="F444" s="16" t="inlineStr">
        <is>
          <t>周期模式</t>
        </is>
      </c>
      <c r="G444" s="17" t="inlineStr">
        <is>
          <t xml:space="preserve"> 提供周期性变化检测用于冲次识别算法服务</t>
        </is>
      </c>
      <c r="H444" s="18" t="inlineStr">
        <is>
          <t>EI</t>
        </is>
      </c>
      <c r="I444" s="18">
        <f>IF(H444="ILF",10,IF(H444="EIF",7,IF(H444="EI",4,IF(H444="EO",5,IF(H444="EQ",4,"")))))</f>
        <v/>
      </c>
      <c r="J444" s="18" t="inlineStr">
        <is>
          <t>中</t>
        </is>
      </c>
      <c r="K444" s="18">
        <f>IF(J444="高",0.33,IF(J444="中",0.67,IF(J444="低",1,"")))</f>
        <v/>
      </c>
      <c r="L444" s="18" t="inlineStr">
        <is>
          <t>新增</t>
        </is>
      </c>
      <c r="M444" s="18">
        <f>IF(L444="新增",1,IF(L444="修改",0.8,IF(L444="删除",0.2,"")))</f>
        <v/>
      </c>
      <c r="N444" s="18">
        <f>I444*K444*M444</f>
        <v/>
      </c>
    </row>
    <row r="445" ht="19" customHeight="1" s="1">
      <c r="B445" s="16" t="n">
        <v>440</v>
      </c>
      <c r="C445" s="16" t="inlineStr">
        <is>
          <t>边缘端前置流式计算与实时告警引擎服务</t>
        </is>
      </c>
      <c r="D445" s="16" t="inlineStr">
        <is>
          <t>预存流式计算</t>
        </is>
      </c>
      <c r="E445" s="16" t="inlineStr">
        <is>
          <t>告警ID映射</t>
        </is>
      </c>
      <c r="F445" s="16" t="inlineStr">
        <is>
          <t>油压过高</t>
        </is>
      </c>
      <c r="G445" s="17" t="inlineStr">
        <is>
          <t xml:space="preserve"> 提供告警ID1油压过高critical级映射配置服务</t>
        </is>
      </c>
      <c r="H445" s="18" t="inlineStr">
        <is>
          <t>EI</t>
        </is>
      </c>
      <c r="I445" s="18">
        <f>IF(H445="ILF",10,IF(H445="EIF",7,IF(H445="EI",4,IF(H445="EO",5,IF(H445="EQ",4,"")))))</f>
        <v/>
      </c>
      <c r="J445" s="18" t="inlineStr">
        <is>
          <t>中</t>
        </is>
      </c>
      <c r="K445" s="18">
        <f>IF(J445="高",0.33,IF(J445="中",0.67,IF(J445="低",1,"")))</f>
        <v/>
      </c>
      <c r="L445" s="18" t="inlineStr">
        <is>
          <t>新增</t>
        </is>
      </c>
      <c r="M445" s="18">
        <f>IF(L445="新增",1,IF(L445="修改",0.8,IF(L445="删除",0.2,"")))</f>
        <v/>
      </c>
      <c r="N445" s="18">
        <f>I445*K445*M445</f>
        <v/>
      </c>
    </row>
    <row r="446" ht="19" customHeight="1" s="1">
      <c r="B446" s="16" t="n">
        <v>441</v>
      </c>
      <c r="C446" s="16" t="inlineStr">
        <is>
          <t>边缘端前置流式计算与实时告警引擎服务</t>
        </is>
      </c>
      <c r="D446" s="16" t="inlineStr">
        <is>
          <t>预存流式计算</t>
        </is>
      </c>
      <c r="E446" s="16" t="inlineStr">
        <is>
          <t>告警ID映射</t>
        </is>
      </c>
      <c r="F446" s="16" t="inlineStr">
        <is>
          <t>油压过低</t>
        </is>
      </c>
      <c r="G446" s="17" t="inlineStr">
        <is>
          <t xml:space="preserve"> 提供告警ID2油压过低critical级映射配置服务</t>
        </is>
      </c>
      <c r="H446" s="18" t="inlineStr">
        <is>
          <t>EI</t>
        </is>
      </c>
      <c r="I446" s="18">
        <f>IF(H446="ILF",10,IF(H446="EIF",7,IF(H446="EI",4,IF(H446="EO",5,IF(H446="EQ",4,"")))))</f>
        <v/>
      </c>
      <c r="J446" s="18" t="inlineStr">
        <is>
          <t>中</t>
        </is>
      </c>
      <c r="K446" s="18">
        <f>IF(J446="高",0.33,IF(J446="中",0.67,IF(J446="低",1,"")))</f>
        <v/>
      </c>
      <c r="L446" s="18" t="inlineStr">
        <is>
          <t>新增</t>
        </is>
      </c>
      <c r="M446" s="18">
        <f>IF(L446="新增",1,IF(L446="修改",0.8,IF(L446="删除",0.2,"")))</f>
        <v/>
      </c>
      <c r="N446" s="18">
        <f>I446*K446*M446</f>
        <v/>
      </c>
    </row>
    <row r="447" ht="19" customHeight="1" s="1">
      <c r="B447" s="16" t="n">
        <v>442</v>
      </c>
      <c r="C447" s="16" t="inlineStr">
        <is>
          <t>边缘端前置流式计算与实时告警引擎服务</t>
        </is>
      </c>
      <c r="D447" s="16" t="inlineStr">
        <is>
          <t>预存流式计算</t>
        </is>
      </c>
      <c r="E447" s="16" t="inlineStr">
        <is>
          <t>告警ID映射</t>
        </is>
      </c>
      <c r="F447" s="16" t="inlineStr">
        <is>
          <t>套压过高</t>
        </is>
      </c>
      <c r="G447" s="17" t="inlineStr">
        <is>
          <t xml:space="preserve"> 提供告警ID3套压过高critical级映射配置服务</t>
        </is>
      </c>
      <c r="H447" s="18" t="inlineStr">
        <is>
          <t>EI</t>
        </is>
      </c>
      <c r="I447" s="18">
        <f>IF(H447="ILF",10,IF(H447="EIF",7,IF(H447="EI",4,IF(H447="EO",5,IF(H447="EQ",4,"")))))</f>
        <v/>
      </c>
      <c r="J447" s="18" t="inlineStr">
        <is>
          <t>中</t>
        </is>
      </c>
      <c r="K447" s="18">
        <f>IF(J447="高",0.33,IF(J447="中",0.67,IF(J447="低",1,"")))</f>
        <v/>
      </c>
      <c r="L447" s="18" t="inlineStr">
        <is>
          <t>新增</t>
        </is>
      </c>
      <c r="M447" s="18">
        <f>IF(L447="新增",1,IF(L447="修改",0.8,IF(L447="删除",0.2,"")))</f>
        <v/>
      </c>
      <c r="N447" s="18">
        <f>I447*K447*M447</f>
        <v/>
      </c>
    </row>
    <row r="448" ht="19" customHeight="1" s="1">
      <c r="B448" s="16" t="n">
        <v>443</v>
      </c>
      <c r="C448" s="16" t="inlineStr">
        <is>
          <t>边缘端前置流式计算与实时告警引擎服务</t>
        </is>
      </c>
      <c r="D448" s="16" t="inlineStr">
        <is>
          <t>预存流式计算</t>
        </is>
      </c>
      <c r="E448" s="16" t="inlineStr">
        <is>
          <t>告警ID映射</t>
        </is>
      </c>
      <c r="F448" s="16" t="inlineStr">
        <is>
          <t>回压过高</t>
        </is>
      </c>
      <c r="G448" s="17" t="inlineStr">
        <is>
          <t xml:space="preserve"> 提供告警ID4回压过高error级映射配置服务</t>
        </is>
      </c>
      <c r="H448" s="18" t="inlineStr">
        <is>
          <t>EI</t>
        </is>
      </c>
      <c r="I448" s="18">
        <f>IF(H448="ILF",10,IF(H448="EIF",7,IF(H448="EI",4,IF(H448="EO",5,IF(H448="EQ",4,"")))))</f>
        <v/>
      </c>
      <c r="J448" s="18" t="inlineStr">
        <is>
          <t>高</t>
        </is>
      </c>
      <c r="K448" s="18">
        <f>IF(J448="高",0.33,IF(J448="中",0.67,IF(J448="低",1,"")))</f>
        <v/>
      </c>
      <c r="L448" s="18" t="inlineStr">
        <is>
          <t>新增</t>
        </is>
      </c>
      <c r="M448" s="18">
        <f>IF(L448="新增",1,IF(L448="修改",0.8,IF(L448="删除",0.2,"")))</f>
        <v/>
      </c>
      <c r="N448" s="18">
        <f>I448*K448*M448</f>
        <v/>
      </c>
    </row>
    <row r="449" ht="19" customHeight="1" s="1">
      <c r="B449" s="16" t="n">
        <v>444</v>
      </c>
      <c r="C449" s="16" t="inlineStr">
        <is>
          <t>边缘端前置流式计算与实时告警引擎服务</t>
        </is>
      </c>
      <c r="D449" s="16" t="inlineStr">
        <is>
          <t>预存流式计算</t>
        </is>
      </c>
      <c r="E449" s="16" t="inlineStr">
        <is>
          <t>告警ID映射</t>
        </is>
      </c>
      <c r="F449" s="16" t="inlineStr">
        <is>
          <t>油温过高</t>
        </is>
      </c>
      <c r="G449" s="17" t="inlineStr">
        <is>
          <t xml:space="preserve"> 提供告警ID5油温过高error级映射配置服务</t>
        </is>
      </c>
      <c r="H449" s="18" t="inlineStr">
        <is>
          <t>EO</t>
        </is>
      </c>
      <c r="I449" s="18">
        <f>IF(H449="ILF",10,IF(H449="EIF",7,IF(H449="EI",4,IF(H449="EO",5,IF(H449="EQ",4,"")))))</f>
        <v/>
      </c>
      <c r="J449" s="18" t="inlineStr">
        <is>
          <t>低</t>
        </is>
      </c>
      <c r="K449" s="18">
        <f>IF(J449="高",0.33,IF(J449="中",0.67,IF(J449="低",1,"")))</f>
        <v/>
      </c>
      <c r="L449" s="18" t="inlineStr">
        <is>
          <t>新增</t>
        </is>
      </c>
      <c r="M449" s="18">
        <f>IF(L449="新增",1,IF(L449="修改",0.8,IF(L449="删除",0.2,"")))</f>
        <v/>
      </c>
      <c r="N449" s="18">
        <f>I449*K449*M449</f>
        <v/>
      </c>
    </row>
    <row r="450" ht="19" customHeight="1" s="1">
      <c r="B450" s="16" t="n">
        <v>445</v>
      </c>
      <c r="C450" s="16" t="inlineStr">
        <is>
          <t>边缘端前置流式计算与实时告警引擎服务</t>
        </is>
      </c>
      <c r="D450" s="16" t="inlineStr">
        <is>
          <t>预存流式计算</t>
        </is>
      </c>
      <c r="E450" s="16" t="inlineStr">
        <is>
          <t>告警ID映射</t>
        </is>
      </c>
      <c r="F450" s="16" t="inlineStr">
        <is>
          <t>油温过低</t>
        </is>
      </c>
      <c r="G450" s="17" t="inlineStr">
        <is>
          <t xml:space="preserve"> 提供告警ID6油温过低warning级映射配置服务</t>
        </is>
      </c>
      <c r="H450" s="18" t="inlineStr">
        <is>
          <t>EO</t>
        </is>
      </c>
      <c r="I450" s="18">
        <f>IF(H450="ILF",10,IF(H450="EIF",7,IF(H450="EI",4,IF(H450="EO",5,IF(H450="EQ",4,"")))))</f>
        <v/>
      </c>
      <c r="J450" s="18" t="inlineStr">
        <is>
          <t>低</t>
        </is>
      </c>
      <c r="K450" s="18">
        <f>IF(J450="高",0.33,IF(J450="中",0.67,IF(J450="低",1,"")))</f>
        <v/>
      </c>
      <c r="L450" s="18" t="inlineStr">
        <is>
          <t>新增</t>
        </is>
      </c>
      <c r="M450" s="18">
        <f>IF(L450="新增",1,IF(L450="修改",0.8,IF(L450="删除",0.2,"")))</f>
        <v/>
      </c>
      <c r="N450" s="18">
        <f>I450*K450*M450</f>
        <v/>
      </c>
    </row>
    <row r="451" ht="19" customHeight="1" s="1">
      <c r="B451" s="16" t="n">
        <v>446</v>
      </c>
      <c r="C451" s="16" t="inlineStr">
        <is>
          <t>边缘端前置流式计算与实时告警引擎服务</t>
        </is>
      </c>
      <c r="D451" s="16" t="inlineStr">
        <is>
          <t>预存流式计算</t>
        </is>
      </c>
      <c r="E451" s="16" t="inlineStr">
        <is>
          <t>告警ID映射</t>
        </is>
      </c>
      <c r="F451" s="16" t="inlineStr">
        <is>
          <t>电流过载</t>
        </is>
      </c>
      <c r="G451" s="17" t="inlineStr">
        <is>
          <t xml:space="preserve"> 提供告警ID7电流过载critical级映射配置服务</t>
        </is>
      </c>
      <c r="H451" s="18" t="inlineStr">
        <is>
          <t>EO</t>
        </is>
      </c>
      <c r="I451" s="18">
        <f>IF(H451="ILF",10,IF(H451="EIF",7,IF(H451="EI",4,IF(H451="EO",5,IF(H451="EQ",4,"")))))</f>
        <v/>
      </c>
      <c r="J451" s="18" t="inlineStr">
        <is>
          <t>低</t>
        </is>
      </c>
      <c r="K451" s="18">
        <f>IF(J451="高",0.33,IF(J451="中",0.67,IF(J451="低",1,"")))</f>
        <v/>
      </c>
      <c r="L451" s="18" t="inlineStr">
        <is>
          <t>新增</t>
        </is>
      </c>
      <c r="M451" s="18">
        <f>IF(L451="新增",1,IF(L451="修改",0.8,IF(L451="删除",0.2,"")))</f>
        <v/>
      </c>
      <c r="N451" s="18">
        <f>I451*K451*M451</f>
        <v/>
      </c>
    </row>
    <row r="452" ht="19" customHeight="1" s="1">
      <c r="B452" s="16" t="n">
        <v>447</v>
      </c>
      <c r="C452" s="16" t="inlineStr">
        <is>
          <t>边缘端前置流式计算与实时告警引擎服务</t>
        </is>
      </c>
      <c r="D452" s="16" t="inlineStr">
        <is>
          <t>预存流式计算</t>
        </is>
      </c>
      <c r="E452" s="16" t="inlineStr">
        <is>
          <t>告警ID映射</t>
        </is>
      </c>
      <c r="F452" s="16" t="inlineStr">
        <is>
          <t>设备停机</t>
        </is>
      </c>
      <c r="G452" s="17" t="inlineStr">
        <is>
          <t xml:space="preserve"> 提供告警ID8设备停机critical级映射配置服务</t>
        </is>
      </c>
      <c r="H452" s="18" t="inlineStr">
        <is>
          <t>EO</t>
        </is>
      </c>
      <c r="I452" s="18">
        <f>IF(H452="ILF",10,IF(H452="EIF",7,IF(H452="EI",4,IF(H452="EO",5,IF(H452="EQ",4,"")))))</f>
        <v/>
      </c>
      <c r="J452" s="18" t="inlineStr">
        <is>
          <t>中</t>
        </is>
      </c>
      <c r="K452" s="18">
        <f>IF(J452="高",0.33,IF(J452="中",0.67,IF(J452="低",1,"")))</f>
        <v/>
      </c>
      <c r="L452" s="18" t="inlineStr">
        <is>
          <t>新增</t>
        </is>
      </c>
      <c r="M452" s="18">
        <f>IF(L452="新增",1,IF(L452="修改",0.8,IF(L452="删除",0.2,"")))</f>
        <v/>
      </c>
      <c r="N452" s="18">
        <f>I452*K452*M452</f>
        <v/>
      </c>
    </row>
    <row r="453" ht="19" customHeight="1" s="1">
      <c r="B453" s="16" t="n">
        <v>448</v>
      </c>
      <c r="C453" s="16" t="inlineStr">
        <is>
          <t>边缘端前置流式计算与实时告警引擎服务</t>
        </is>
      </c>
      <c r="D453" s="16" t="inlineStr">
        <is>
          <t>预存流式计算</t>
        </is>
      </c>
      <c r="E453" s="16" t="inlineStr">
        <is>
          <t>告警ID映射</t>
        </is>
      </c>
      <c r="F453" s="16" t="inlineStr">
        <is>
          <t>仪表故障</t>
        </is>
      </c>
      <c r="G453" s="17" t="inlineStr">
        <is>
          <t xml:space="preserve"> 提供告警ID9仪表故障error级映射配置服务</t>
        </is>
      </c>
      <c r="H453" s="18" t="inlineStr">
        <is>
          <t>EO</t>
        </is>
      </c>
      <c r="I453" s="18">
        <f>IF(H453="ILF",10,IF(H453="EIF",7,IF(H453="EI",4,IF(H453="EO",5,IF(H453="EQ",4,"")))))</f>
        <v/>
      </c>
      <c r="J453" s="18" t="inlineStr">
        <is>
          <t>中</t>
        </is>
      </c>
      <c r="K453" s="18">
        <f>IF(J453="高",0.33,IF(J453="中",0.67,IF(J453="低",1,"")))</f>
        <v/>
      </c>
      <c r="L453" s="18" t="inlineStr">
        <is>
          <t>新增</t>
        </is>
      </c>
      <c r="M453" s="18">
        <f>IF(L453="新增",1,IF(L453="修改",0.8,IF(L453="删除",0.2,"")))</f>
        <v/>
      </c>
      <c r="N453" s="18">
        <f>I453*K453*M453</f>
        <v/>
      </c>
    </row>
    <row r="454" ht="19" customHeight="1" s="1">
      <c r="B454" s="16" t="n">
        <v>449</v>
      </c>
      <c r="C454" s="16" t="inlineStr">
        <is>
          <t>边缘端前置流式计算与实时告警引擎服务</t>
        </is>
      </c>
      <c r="D454" s="16" t="inlineStr">
        <is>
          <t>预存流式计算</t>
        </is>
      </c>
      <c r="E454" s="16" t="inlineStr">
        <is>
          <t>告警ID映射</t>
        </is>
      </c>
      <c r="F454" s="16" t="inlineStr">
        <is>
          <t>设备离线</t>
        </is>
      </c>
      <c r="G454" s="17" t="inlineStr">
        <is>
          <t xml:space="preserve"> 提供告警ID10设备离线critical级映射配置服务</t>
        </is>
      </c>
      <c r="H454" s="18" t="inlineStr">
        <is>
          <t>EO</t>
        </is>
      </c>
      <c r="I454" s="18">
        <f>IF(H454="ILF",10,IF(H454="EIF",7,IF(H454="EI",4,IF(H454="EO",5,IF(H454="EQ",4,"")))))</f>
        <v/>
      </c>
      <c r="J454" s="18" t="inlineStr">
        <is>
          <t>中</t>
        </is>
      </c>
      <c r="K454" s="18">
        <f>IF(J454="高",0.33,IF(J454="中",0.67,IF(J454="低",1,"")))</f>
        <v/>
      </c>
      <c r="L454" s="18" t="inlineStr">
        <is>
          <t>新增</t>
        </is>
      </c>
      <c r="M454" s="18">
        <f>IF(L454="新增",1,IF(L454="修改",0.8,IF(L454="删除",0.2,"")))</f>
        <v/>
      </c>
      <c r="N454" s="18">
        <f>I454*K454*M454</f>
        <v/>
      </c>
    </row>
    <row r="455" ht="19" customHeight="1" s="1">
      <c r="B455" s="16" t="n">
        <v>450</v>
      </c>
      <c r="C455" s="16" t="inlineStr">
        <is>
          <t>边缘端前置流式计算与实时告警引擎服务</t>
        </is>
      </c>
      <c r="D455" s="16" t="inlineStr">
        <is>
          <t>预存流式计算</t>
        </is>
      </c>
      <c r="E455" s="16" t="inlineStr">
        <is>
          <t>告警ID映射</t>
        </is>
      </c>
      <c r="F455" s="16" t="inlineStr">
        <is>
          <t>采集失败</t>
        </is>
      </c>
      <c r="G455" s="17" t="inlineStr">
        <is>
          <t xml:space="preserve"> 提供告警ID11采集失败error级映射配置服务</t>
        </is>
      </c>
      <c r="H455" s="18" t="inlineStr">
        <is>
          <t>EO</t>
        </is>
      </c>
      <c r="I455" s="18">
        <f>IF(H455="ILF",10,IF(H455="EIF",7,IF(H455="EI",4,IF(H455="EO",5,IF(H455="EQ",4,"")))))</f>
        <v/>
      </c>
      <c r="J455" s="18" t="inlineStr">
        <is>
          <t>中</t>
        </is>
      </c>
      <c r="K455" s="18">
        <f>IF(J455="高",0.33,IF(J455="中",0.67,IF(J455="低",1,"")))</f>
        <v/>
      </c>
      <c r="L455" s="18" t="inlineStr">
        <is>
          <t>新增</t>
        </is>
      </c>
      <c r="M455" s="18">
        <f>IF(L455="新增",1,IF(L455="修改",0.8,IF(L455="删除",0.2,"")))</f>
        <v/>
      </c>
      <c r="N455" s="18">
        <f>I455*K455*M455</f>
        <v/>
      </c>
    </row>
    <row r="456" ht="19" customHeight="1" s="1">
      <c r="B456" s="16" t="n">
        <v>451</v>
      </c>
      <c r="C456" s="16" t="inlineStr">
        <is>
          <t>边缘端前置流式计算与实时告警引擎服务</t>
        </is>
      </c>
      <c r="D456" s="16" t="inlineStr">
        <is>
          <t>预存流式计算</t>
        </is>
      </c>
      <c r="E456" s="16" t="inlineStr">
        <is>
          <t>告警ID映射</t>
        </is>
      </c>
      <c r="F456" s="16" t="inlineStr">
        <is>
          <t>数据异常</t>
        </is>
      </c>
      <c r="G456" s="17" t="inlineStr">
        <is>
          <t xml:space="preserve"> 提供告警ID12数据异常warning级映射配置服务</t>
        </is>
      </c>
      <c r="H456" s="18" t="inlineStr">
        <is>
          <t>EO</t>
        </is>
      </c>
      <c r="I456" s="18">
        <f>IF(H456="ILF",10,IF(H456="EIF",7,IF(H456="EI",4,IF(H456="EO",5,IF(H456="EQ",4,"")))))</f>
        <v/>
      </c>
      <c r="J456" s="18" t="inlineStr">
        <is>
          <t>中</t>
        </is>
      </c>
      <c r="K456" s="18">
        <f>IF(J456="高",0.33,IF(J456="中",0.67,IF(J456="低",1,"")))</f>
        <v/>
      </c>
      <c r="L456" s="18" t="inlineStr">
        <is>
          <t>新增</t>
        </is>
      </c>
      <c r="M456" s="18">
        <f>IF(L456="新增",1,IF(L456="修改",0.8,IF(L456="删除",0.2,"")))</f>
        <v/>
      </c>
      <c r="N456" s="18">
        <f>I456*K456*M456</f>
        <v/>
      </c>
    </row>
    <row r="457" ht="19" customHeight="1" s="1">
      <c r="B457" s="16" t="n">
        <v>452</v>
      </c>
      <c r="C457" s="16" t="inlineStr">
        <is>
          <t>边缘端前置流式计算与实时告警引擎服务</t>
        </is>
      </c>
      <c r="D457" s="16" t="inlineStr">
        <is>
          <t>预存流式计算</t>
        </is>
      </c>
      <c r="E457" s="16" t="inlineStr">
        <is>
          <t>告警ID映射</t>
        </is>
      </c>
      <c r="F457" s="16" t="inlineStr">
        <is>
          <t>变频故障</t>
        </is>
      </c>
      <c r="G457" s="17" t="inlineStr">
        <is>
          <t xml:space="preserve"> 提供告警ID13变频故障error级映射配置服务</t>
        </is>
      </c>
      <c r="H457" s="18" t="inlineStr">
        <is>
          <t>EO</t>
        </is>
      </c>
      <c r="I457" s="18">
        <f>IF(H457="ILF",10,IF(H457="EIF",7,IF(H457="EI",4,IF(H457="EO",5,IF(H457="EQ",4,"")))))</f>
        <v/>
      </c>
      <c r="J457" s="18" t="inlineStr">
        <is>
          <t>中</t>
        </is>
      </c>
      <c r="K457" s="18">
        <f>IF(J457="高",0.33,IF(J457="中",0.67,IF(J457="低",1,"")))</f>
        <v/>
      </c>
      <c r="L457" s="18" t="inlineStr">
        <is>
          <t>新增</t>
        </is>
      </c>
      <c r="M457" s="18">
        <f>IF(L457="新增",1,IF(L457="修改",0.8,IF(L457="删除",0.2,"")))</f>
        <v/>
      </c>
      <c r="N457" s="18">
        <f>I457*K457*M457</f>
        <v/>
      </c>
    </row>
    <row r="458" ht="19" customHeight="1" s="1">
      <c r="B458" s="16" t="n">
        <v>453</v>
      </c>
      <c r="C458" s="16" t="inlineStr">
        <is>
          <t>边缘端前置流式计算与实时告警引擎服务</t>
        </is>
      </c>
      <c r="D458" s="16" t="inlineStr">
        <is>
          <t>预存流式计算</t>
        </is>
      </c>
      <c r="E458" s="16" t="inlineStr">
        <is>
          <t>告警ID映射</t>
        </is>
      </c>
      <c r="F458" s="16" t="inlineStr">
        <is>
          <t>通信异常</t>
        </is>
      </c>
      <c r="G458" s="17" t="inlineStr">
        <is>
          <t xml:space="preserve"> 提供告警ID14通信异常warning级映射配置服务</t>
        </is>
      </c>
      <c r="H458" s="18" t="inlineStr">
        <is>
          <t>EQ</t>
        </is>
      </c>
      <c r="I458" s="18">
        <f>IF(H458="ILF",10,IF(H458="EIF",7,IF(H458="EI",4,IF(H458="EO",5,IF(H458="EQ",4,"")))))</f>
        <v/>
      </c>
      <c r="J458" s="18" t="inlineStr">
        <is>
          <t>低</t>
        </is>
      </c>
      <c r="K458" s="18">
        <f>IF(J458="高",0.33,IF(J458="中",0.67,IF(J458="低",1,"")))</f>
        <v/>
      </c>
      <c r="L458" s="18" t="inlineStr">
        <is>
          <t>新增</t>
        </is>
      </c>
      <c r="M458" s="18">
        <f>IF(L458="新增",1,IF(L458="修改",0.8,IF(L458="删除",0.2,"")))</f>
        <v/>
      </c>
      <c r="N458" s="18">
        <f>I458*K458*M458</f>
        <v/>
      </c>
    </row>
    <row r="459" ht="19" customHeight="1" s="1">
      <c r="B459" s="16" t="n">
        <v>454</v>
      </c>
      <c r="C459" s="16" t="inlineStr">
        <is>
          <t>边缘端前置流式计算与实时告警引擎服务</t>
        </is>
      </c>
      <c r="D459" s="16" t="inlineStr">
        <is>
          <t>预存流式计算</t>
        </is>
      </c>
      <c r="E459" s="16" t="inlineStr">
        <is>
          <t>告警ID映射</t>
        </is>
      </c>
      <c r="F459" s="16" t="inlineStr">
        <is>
          <t>电池低电</t>
        </is>
      </c>
      <c r="G459" s="17" t="inlineStr">
        <is>
          <t xml:space="preserve"> 提供告警ID15电池低电量info级映射配置服务</t>
        </is>
      </c>
      <c r="H459" s="18" t="inlineStr">
        <is>
          <t>EQ</t>
        </is>
      </c>
      <c r="I459" s="18">
        <f>IF(H459="ILF",10,IF(H459="EIF",7,IF(H459="EI",4,IF(H459="EO",5,IF(H459="EQ",4,"")))))</f>
        <v/>
      </c>
      <c r="J459" s="18" t="inlineStr">
        <is>
          <t>低</t>
        </is>
      </c>
      <c r="K459" s="18">
        <f>IF(J459="高",0.33,IF(J459="中",0.67,IF(J459="低",1,"")))</f>
        <v/>
      </c>
      <c r="L459" s="18" t="inlineStr">
        <is>
          <t>新增</t>
        </is>
      </c>
      <c r="M459" s="18">
        <f>IF(L459="新增",1,IF(L459="修改",0.8,IF(L459="删除",0.2,"")))</f>
        <v/>
      </c>
      <c r="N459" s="18">
        <f>I459*K459*M459</f>
        <v/>
      </c>
    </row>
    <row r="460" ht="19" customHeight="1" s="1">
      <c r="B460" s="16" t="n">
        <v>455</v>
      </c>
      <c r="C460" s="16" t="inlineStr">
        <is>
          <t>边缘端前置流式计算与实时告警引擎服务</t>
        </is>
      </c>
      <c r="D460" s="16" t="inlineStr">
        <is>
          <t>规则配置服务</t>
        </is>
      </c>
      <c r="E460" s="16" t="inlineStr">
        <is>
          <t>可视化编排</t>
        </is>
      </c>
      <c r="F460" s="16" t="inlineStr">
        <is>
          <t>规则编辑器</t>
        </is>
      </c>
      <c r="G460" s="17" t="inlineStr">
        <is>
          <t xml:space="preserve"> 提供条件-动作-通知三要素图形化规则编排服务</t>
        </is>
      </c>
      <c r="H460" s="18" t="inlineStr">
        <is>
          <t>EQ</t>
        </is>
      </c>
      <c r="I460" s="18">
        <f>IF(H460="ILF",10,IF(H460="EIF",7,IF(H460="EI",4,IF(H460="EO",5,IF(H460="EQ",4,"")))))</f>
        <v/>
      </c>
      <c r="J460" s="18" t="inlineStr">
        <is>
          <t>低</t>
        </is>
      </c>
      <c r="K460" s="18">
        <f>IF(J460="高",0.33,IF(J460="中",0.67,IF(J460="低",1,"")))</f>
        <v/>
      </c>
      <c r="L460" s="18" t="inlineStr">
        <is>
          <t>新增</t>
        </is>
      </c>
      <c r="M460" s="18">
        <f>IF(L460="新增",1,IF(L460="修改",0.8,IF(L460="删除",0.2,"")))</f>
        <v/>
      </c>
      <c r="N460" s="18">
        <f>I460*K460*M460</f>
        <v/>
      </c>
    </row>
    <row r="461" ht="19" customHeight="1" s="1">
      <c r="B461" s="16" t="n">
        <v>456</v>
      </c>
      <c r="C461" s="16" t="inlineStr">
        <is>
          <t>边缘端前置流式计算与实时告警引擎服务</t>
        </is>
      </c>
      <c r="D461" s="16" t="inlineStr">
        <is>
          <t>规则配置服务</t>
        </is>
      </c>
      <c r="E461" s="16" t="inlineStr">
        <is>
          <t>可视化编排</t>
        </is>
      </c>
      <c r="F461" s="16" t="inlineStr">
        <is>
          <t>条件定义</t>
        </is>
      </c>
      <c r="G461" s="17" t="inlineStr">
        <is>
          <t xml:space="preserve"> 提供规则触发条件的可视化定义服务</t>
        </is>
      </c>
      <c r="H461" s="18" t="inlineStr">
        <is>
          <t>EQ</t>
        </is>
      </c>
      <c r="I461" s="18">
        <f>IF(H461="ILF",10,IF(H461="EIF",7,IF(H461="EI",4,IF(H461="EO",5,IF(H461="EQ",4,"")))))</f>
        <v/>
      </c>
      <c r="J461" s="18" t="inlineStr">
        <is>
          <t>低</t>
        </is>
      </c>
      <c r="K461" s="18">
        <f>IF(J461="高",0.33,IF(J461="中",0.67,IF(J461="低",1,"")))</f>
        <v/>
      </c>
      <c r="L461" s="18" t="inlineStr">
        <is>
          <t>新增</t>
        </is>
      </c>
      <c r="M461" s="18">
        <f>IF(L461="新增",1,IF(L461="修改",0.8,IF(L461="删除",0.2,"")))</f>
        <v/>
      </c>
      <c r="N461" s="18">
        <f>I461*K461*M461</f>
        <v/>
      </c>
    </row>
    <row r="462" ht="19" customHeight="1" s="1">
      <c r="B462" s="16" t="n">
        <v>457</v>
      </c>
      <c r="C462" s="16" t="inlineStr">
        <is>
          <t>边缘端前置流式计算与实时告警引擎服务</t>
        </is>
      </c>
      <c r="D462" s="16" t="inlineStr">
        <is>
          <t>规则配置服务</t>
        </is>
      </c>
      <c r="E462" s="16" t="inlineStr">
        <is>
          <t>可视化编排</t>
        </is>
      </c>
      <c r="F462" s="16" t="inlineStr">
        <is>
          <t>动作定义</t>
        </is>
      </c>
      <c r="G462" s="17" t="inlineStr">
        <is>
          <t xml:space="preserve"> 提供规则触发动作alarm_id赋值可视化定义服务</t>
        </is>
      </c>
      <c r="H462" s="18" t="inlineStr">
        <is>
          <t>EQ</t>
        </is>
      </c>
      <c r="I462" s="18">
        <f>IF(H462="ILF",10,IF(H462="EIF",7,IF(H462="EI",4,IF(H462="EO",5,IF(H462="EQ",4,"")))))</f>
        <v/>
      </c>
      <c r="J462" s="18" t="inlineStr">
        <is>
          <t>低</t>
        </is>
      </c>
      <c r="K462" s="18">
        <f>IF(J462="高",0.33,IF(J462="中",0.67,IF(J462="低",1,"")))</f>
        <v/>
      </c>
      <c r="L462" s="18" t="inlineStr">
        <is>
          <t>新增</t>
        </is>
      </c>
      <c r="M462" s="18">
        <f>IF(L462="新增",1,IF(L462="修改",0.8,IF(L462="删除",0.2,"")))</f>
        <v/>
      </c>
      <c r="N462" s="18">
        <f>I462*K462*M462</f>
        <v/>
      </c>
    </row>
    <row r="463" ht="19" customHeight="1" s="1">
      <c r="B463" s="16" t="n">
        <v>458</v>
      </c>
      <c r="C463" s="16" t="inlineStr">
        <is>
          <t>边缘端前置流式计算与实时告警引擎服务</t>
        </is>
      </c>
      <c r="D463" s="16" t="inlineStr">
        <is>
          <t>规则配置服务</t>
        </is>
      </c>
      <c r="E463" s="16" t="inlineStr">
        <is>
          <t>可视化编排</t>
        </is>
      </c>
      <c r="F463" s="16" t="inlineStr">
        <is>
          <t>通知定义</t>
        </is>
      </c>
      <c r="G463" s="17" t="inlineStr">
        <is>
          <t xml:space="preserve"> 提供通知方式MQTT主题推送可视化定义服务</t>
        </is>
      </c>
      <c r="H463" s="18" t="inlineStr">
        <is>
          <t>EQ</t>
        </is>
      </c>
      <c r="I463" s="18">
        <f>IF(H463="ILF",10,IF(H463="EIF",7,IF(H463="EI",4,IF(H463="EO",5,IF(H463="EQ",4,"")))))</f>
        <v/>
      </c>
      <c r="J463" s="18" t="inlineStr">
        <is>
          <t>低</t>
        </is>
      </c>
      <c r="K463" s="18">
        <f>IF(J463="高",0.33,IF(J463="中",0.67,IF(J463="低",1,"")))</f>
        <v/>
      </c>
      <c r="L463" s="18" t="inlineStr">
        <is>
          <t>新增</t>
        </is>
      </c>
      <c r="M463" s="18">
        <f>IF(L463="新增",1,IF(L463="修改",0.8,IF(L463="删除",0.2,"")))</f>
        <v/>
      </c>
      <c r="N463" s="18">
        <f>I463*K463*M463</f>
        <v/>
      </c>
    </row>
    <row r="464" ht="19" customHeight="1" s="1">
      <c r="B464" s="16" t="n">
        <v>459</v>
      </c>
      <c r="C464" s="16" t="inlineStr">
        <is>
          <t>边缘端前置流式计算与实时告警引擎服务</t>
        </is>
      </c>
      <c r="D464" s="16" t="inlineStr">
        <is>
          <t>规则配置服务</t>
        </is>
      </c>
      <c r="E464" s="16" t="inlineStr">
        <is>
          <t>可视化编排</t>
        </is>
      </c>
      <c r="F464" s="16" t="inlineStr">
        <is>
          <t>多条件组合</t>
        </is>
      </c>
      <c r="G464" s="17" t="inlineStr">
        <is>
          <t xml:space="preserve"> 提供AND/OR多条件组合规则编排服务</t>
        </is>
      </c>
      <c r="H464" s="18" t="inlineStr">
        <is>
          <t>EQ</t>
        </is>
      </c>
      <c r="I464" s="18">
        <f>IF(H464="ILF",10,IF(H464="EIF",7,IF(H464="EI",4,IF(H464="EO",5,IF(H464="EQ",4,"")))))</f>
        <v/>
      </c>
      <c r="J464" s="18" t="inlineStr">
        <is>
          <t>低</t>
        </is>
      </c>
      <c r="K464" s="18">
        <f>IF(J464="高",0.33,IF(J464="中",0.67,IF(J464="低",1,"")))</f>
        <v/>
      </c>
      <c r="L464" s="18" t="inlineStr">
        <is>
          <t>新增</t>
        </is>
      </c>
      <c r="M464" s="18">
        <f>IF(L464="新增",1,IF(L464="修改",0.8,IF(L464="删除",0.2,"")))</f>
        <v/>
      </c>
      <c r="N464" s="18">
        <f>I464*K464*M464</f>
        <v/>
      </c>
    </row>
    <row r="465" ht="19" customHeight="1" s="1">
      <c r="B465" s="16" t="n">
        <v>460</v>
      </c>
      <c r="C465" s="16" t="inlineStr">
        <is>
          <t>边缘端前置流式计算与实时告警引擎服务</t>
        </is>
      </c>
      <c r="D465" s="16" t="inlineStr">
        <is>
          <t>规则配置服务</t>
        </is>
      </c>
      <c r="E465" s="16" t="inlineStr">
        <is>
          <t>可视化编排</t>
        </is>
      </c>
      <c r="F465" s="16" t="inlineStr">
        <is>
          <t>模板选择</t>
        </is>
      </c>
      <c r="G465" s="17" t="inlineStr">
        <is>
          <t xml:space="preserve"> 提供50类预置油田场景模板选择服务</t>
        </is>
      </c>
      <c r="H465" s="18" t="inlineStr">
        <is>
          <t>EQ</t>
        </is>
      </c>
      <c r="I465" s="18">
        <f>IF(H465="ILF",10,IF(H465="EIF",7,IF(H465="EI",4,IF(H465="EO",5,IF(H465="EQ",4,"")))))</f>
        <v/>
      </c>
      <c r="J465" s="18" t="inlineStr">
        <is>
          <t>低</t>
        </is>
      </c>
      <c r="K465" s="18">
        <f>IF(J465="高",0.33,IF(J465="中",0.67,IF(J465="低",1,"")))</f>
        <v/>
      </c>
      <c r="L465" s="18" t="inlineStr">
        <is>
          <t>新增</t>
        </is>
      </c>
      <c r="M465" s="18">
        <f>IF(L465="新增",1,IF(L465="修改",0.8,IF(L465="删除",0.2,"")))</f>
        <v/>
      </c>
      <c r="N465" s="18">
        <f>I465*K465*M465</f>
        <v/>
      </c>
    </row>
    <row r="466" ht="19" customHeight="1" s="1">
      <c r="B466" s="16" t="n">
        <v>461</v>
      </c>
      <c r="C466" s="16" t="inlineStr">
        <is>
          <t>边缘端前置流式计算与实时告警引擎服务</t>
        </is>
      </c>
      <c r="D466" s="16" t="inlineStr">
        <is>
          <t>规则配置服务</t>
        </is>
      </c>
      <c r="E466" s="16" t="inlineStr">
        <is>
          <t>可视化编排</t>
        </is>
      </c>
      <c r="F466" s="16" t="inlineStr">
        <is>
          <t>版本管理</t>
        </is>
      </c>
      <c r="G466" s="17" t="inlineStr">
        <is>
          <t xml:space="preserve"> 提供规则版本管理/历史回溯/变更回滚服务</t>
        </is>
      </c>
      <c r="H466" s="18" t="inlineStr">
        <is>
          <t>EQ</t>
        </is>
      </c>
      <c r="I466" s="18">
        <f>IF(H466="ILF",10,IF(H466="EIF",7,IF(H466="EI",4,IF(H466="EO",5,IF(H466="EQ",4,"")))))</f>
        <v/>
      </c>
      <c r="J466" s="18" t="inlineStr">
        <is>
          <t>中</t>
        </is>
      </c>
      <c r="K466" s="18">
        <f>IF(J466="高",0.33,IF(J466="中",0.67,IF(J466="低",1,"")))</f>
        <v/>
      </c>
      <c r="L466" s="18" t="inlineStr">
        <is>
          <t>新增</t>
        </is>
      </c>
      <c r="M466" s="18">
        <f>IF(L466="新增",1,IF(L466="修改",0.8,IF(L466="删除",0.2,"")))</f>
        <v/>
      </c>
      <c r="N466" s="18">
        <f>I466*K466*M466</f>
        <v/>
      </c>
    </row>
    <row r="467" ht="19" customHeight="1" s="1">
      <c r="B467" s="16" t="n">
        <v>462</v>
      </c>
      <c r="C467" s="16" t="inlineStr">
        <is>
          <t>边缘端前置流式计算与实时告警引擎服务</t>
        </is>
      </c>
      <c r="D467" s="16" t="inlineStr">
        <is>
          <t>规则配置服务</t>
        </is>
      </c>
      <c r="E467" s="16" t="inlineStr">
        <is>
          <t>可视化编排</t>
        </is>
      </c>
      <c r="F467" s="16" t="inlineStr">
        <is>
          <t>导入导出</t>
        </is>
      </c>
      <c r="G467" s="17" t="inlineStr">
        <is>
          <t xml:space="preserve"> 提供规则配置JSON批量导入导出服务</t>
        </is>
      </c>
      <c r="H467" s="18" t="inlineStr">
        <is>
          <t>EQ</t>
        </is>
      </c>
      <c r="I467" s="18">
        <f>IF(H467="ILF",10,IF(H467="EIF",7,IF(H467="EI",4,IF(H467="EO",5,IF(H467="EQ",4,"")))))</f>
        <v/>
      </c>
      <c r="J467" s="18" t="inlineStr">
        <is>
          <t>中</t>
        </is>
      </c>
      <c r="K467" s="18">
        <f>IF(J467="高",0.33,IF(J467="中",0.67,IF(J467="低",1,"")))</f>
        <v/>
      </c>
      <c r="L467" s="18" t="inlineStr">
        <is>
          <t>新增</t>
        </is>
      </c>
      <c r="M467" s="18">
        <f>IF(L467="新增",1,IF(L467="修改",0.8,IF(L467="删除",0.2,"")))</f>
        <v/>
      </c>
      <c r="N467" s="18">
        <f>I467*K467*M467</f>
        <v/>
      </c>
    </row>
    <row r="468" ht="19" customHeight="1" s="1">
      <c r="B468" s="16" t="n">
        <v>463</v>
      </c>
      <c r="C468" s="16" t="inlineStr">
        <is>
          <t>边缘端前置流式计算与实时告警引擎服务</t>
        </is>
      </c>
      <c r="D468" s="16" t="inlineStr">
        <is>
          <t>规则配置服务</t>
        </is>
      </c>
      <c r="E468" s="16" t="inlineStr">
        <is>
          <t>可视化编排</t>
        </is>
      </c>
      <c r="F468" s="16" t="inlineStr">
        <is>
          <t>批量部署</t>
        </is>
      </c>
      <c r="G468" s="17" t="inlineStr">
        <is>
          <t xml:space="preserve"> 提供规则批量发布到多设备组服务</t>
        </is>
      </c>
      <c r="H468" s="18" t="inlineStr">
        <is>
          <t>EQ</t>
        </is>
      </c>
      <c r="I468" s="18">
        <f>IF(H468="ILF",10,IF(H468="EIF",7,IF(H468="EI",4,IF(H468="EO",5,IF(H468="EQ",4,"")))))</f>
        <v/>
      </c>
      <c r="J468" s="18" t="inlineStr">
        <is>
          <t>中</t>
        </is>
      </c>
      <c r="K468" s="18">
        <f>IF(J468="高",0.33,IF(J468="中",0.67,IF(J468="低",1,"")))</f>
        <v/>
      </c>
      <c r="L468" s="18" t="inlineStr">
        <is>
          <t>新增</t>
        </is>
      </c>
      <c r="M468" s="18">
        <f>IF(L468="新增",1,IF(L468="修改",0.8,IF(L468="删除",0.2,"")))</f>
        <v/>
      </c>
      <c r="N468" s="18">
        <f>I468*K468*M468</f>
        <v/>
      </c>
    </row>
    <row r="469" ht="19" customHeight="1" s="1">
      <c r="B469" s="16" t="n">
        <v>464</v>
      </c>
      <c r="C469" s="16" t="inlineStr">
        <is>
          <t>边缘端前置流式计算与实时告警引擎服务</t>
        </is>
      </c>
      <c r="D469" s="16" t="inlineStr">
        <is>
          <t>规则配置服务</t>
        </is>
      </c>
      <c r="E469" s="16" t="inlineStr">
        <is>
          <t>可视化编排</t>
        </is>
      </c>
      <c r="F469" s="16" t="inlineStr">
        <is>
          <t>测试沙箱</t>
        </is>
      </c>
      <c r="G469" s="17" t="inlineStr">
        <is>
          <t xml:space="preserve"> 提供规则配置的沙箱测试环境服务</t>
        </is>
      </c>
      <c r="H469" s="18" t="inlineStr">
        <is>
          <t>EQ</t>
        </is>
      </c>
      <c r="I469" s="18">
        <f>IF(H469="ILF",10,IF(H469="EIF",7,IF(H469="EI",4,IF(H469="EO",5,IF(H469="EQ",4,"")))))</f>
        <v/>
      </c>
      <c r="J469" s="18" t="inlineStr">
        <is>
          <t>中</t>
        </is>
      </c>
      <c r="K469" s="18">
        <f>IF(J469="高",0.33,IF(J469="中",0.67,IF(J469="低",1,"")))</f>
        <v/>
      </c>
      <c r="L469" s="18" t="inlineStr">
        <is>
          <t>新增</t>
        </is>
      </c>
      <c r="M469" s="18">
        <f>IF(L469="新增",1,IF(L469="修改",0.8,IF(L469="删除",0.2,"")))</f>
        <v/>
      </c>
      <c r="N469" s="18">
        <f>I469*K469*M469</f>
        <v/>
      </c>
    </row>
    <row r="470" ht="19" customHeight="1" s="1">
      <c r="B470" s="16" t="n">
        <v>465</v>
      </c>
      <c r="C470" s="16" t="inlineStr">
        <is>
          <t>边缘端前置流式计算与实时告警引擎服务</t>
        </is>
      </c>
      <c r="D470" s="16" t="inlineStr">
        <is>
          <t>规则配置服务</t>
        </is>
      </c>
      <c r="E470" s="16" t="inlineStr">
        <is>
          <t>可视化编排</t>
        </is>
      </c>
      <c r="F470" s="16" t="inlineStr">
        <is>
          <t>执行日志</t>
        </is>
      </c>
      <c r="G470" s="17" t="inlineStr">
        <is>
          <t xml:space="preserve"> 提供规则触发和执行日志记录服务</t>
        </is>
      </c>
      <c r="H470" s="18" t="inlineStr">
        <is>
          <t>EQ</t>
        </is>
      </c>
      <c r="I470" s="18">
        <f>IF(H470="ILF",10,IF(H470="EIF",7,IF(H470="EI",4,IF(H470="EO",5,IF(H470="EQ",4,"")))))</f>
        <v/>
      </c>
      <c r="J470" s="18" t="inlineStr">
        <is>
          <t>中</t>
        </is>
      </c>
      <c r="K470" s="18">
        <f>IF(J470="高",0.33,IF(J470="中",0.67,IF(J470="低",1,"")))</f>
        <v/>
      </c>
      <c r="L470" s="18" t="inlineStr">
        <is>
          <t>新增</t>
        </is>
      </c>
      <c r="M470" s="18">
        <f>IF(L470="新增",1,IF(L470="修改",0.8,IF(L470="删除",0.2,"")))</f>
        <v/>
      </c>
      <c r="N470" s="18">
        <f>I470*K470*M470</f>
        <v/>
      </c>
    </row>
    <row r="471" ht="19" customHeight="1" s="1">
      <c r="B471" s="16" t="n">
        <v>466</v>
      </c>
      <c r="C471" s="16" t="inlineStr">
        <is>
          <t>边缘端前置流式计算与实时告警引擎服务</t>
        </is>
      </c>
      <c r="D471" s="16" t="inlineStr">
        <is>
          <t>规则配置服务</t>
        </is>
      </c>
      <c r="E471" s="16" t="inlineStr">
        <is>
          <t>可视化编排</t>
        </is>
      </c>
      <c r="F471" s="16" t="inlineStr">
        <is>
          <t>执行统计</t>
        </is>
      </c>
      <c r="G471" s="17" t="inlineStr">
        <is>
          <t xml:space="preserve"> 提供规则触发频率/命中率统计服务</t>
        </is>
      </c>
      <c r="H471" s="18" t="inlineStr">
        <is>
          <t>EQ</t>
        </is>
      </c>
      <c r="I471" s="18">
        <f>IF(H471="ILF",10,IF(H471="EIF",7,IF(H471="EI",4,IF(H471="EO",5,IF(H471="EQ",4,"")))))</f>
        <v/>
      </c>
      <c r="J471" s="18" t="inlineStr">
        <is>
          <t>中</t>
        </is>
      </c>
      <c r="K471" s="18">
        <f>IF(J471="高",0.33,IF(J471="中",0.67,IF(J471="低",1,"")))</f>
        <v/>
      </c>
      <c r="L471" s="18" t="inlineStr">
        <is>
          <t>新增</t>
        </is>
      </c>
      <c r="M471" s="18">
        <f>IF(L471="新增",1,IF(L471="修改",0.8,IF(L471="删除",0.2,"")))</f>
        <v/>
      </c>
      <c r="N471" s="18">
        <f>I471*K471*M471</f>
        <v/>
      </c>
    </row>
    <row r="472" ht="19" customHeight="1" s="1">
      <c r="B472" s="16" t="n">
        <v>467</v>
      </c>
      <c r="C472" s="16" t="inlineStr">
        <is>
          <t>边缘端前置流式计算与实时告警引擎服务</t>
        </is>
      </c>
      <c r="D472" s="16" t="inlineStr">
        <is>
          <t>规则配置服务</t>
        </is>
      </c>
      <c r="E472" s="16" t="inlineStr">
        <is>
          <t>回溯验证</t>
        </is>
      </c>
      <c r="F472" s="16" t="inlineStr">
        <is>
          <t>数据选取</t>
        </is>
      </c>
      <c r="G472" s="17" t="inlineStr">
        <is>
          <t xml:space="preserve"> 提供选定井号和时段的历史数据选取加载服务</t>
        </is>
      </c>
      <c r="H472" s="18" t="inlineStr">
        <is>
          <t>EQ</t>
        </is>
      </c>
      <c r="I472" s="18">
        <f>IF(H472="ILF",10,IF(H472="EIF",7,IF(H472="EI",4,IF(H472="EO",5,IF(H472="EQ",4,"")))))</f>
        <v/>
      </c>
      <c r="J472" s="18" t="inlineStr">
        <is>
          <t>中</t>
        </is>
      </c>
      <c r="K472" s="18">
        <f>IF(J472="高",0.33,IF(J472="中",0.67,IF(J472="低",1,"")))</f>
        <v/>
      </c>
      <c r="L472" s="18" t="inlineStr">
        <is>
          <t>新增</t>
        </is>
      </c>
      <c r="M472" s="18">
        <f>IF(L472="新增",1,IF(L472="修改",0.8,IF(L472="删除",0.2,"")))</f>
        <v/>
      </c>
      <c r="N472" s="18">
        <f>I472*K472*M472</f>
        <v/>
      </c>
    </row>
    <row r="473" ht="19" customHeight="1" s="1">
      <c r="B473" s="16" t="n">
        <v>468</v>
      </c>
      <c r="C473" s="16" t="inlineStr">
        <is>
          <t>边缘端前置流式计算与实时告警引擎服务</t>
        </is>
      </c>
      <c r="D473" s="16" t="inlineStr">
        <is>
          <t>规则配置服务</t>
        </is>
      </c>
      <c r="E473" s="16" t="inlineStr">
        <is>
          <t>回溯验证</t>
        </is>
      </c>
      <c r="F473" s="16" t="inlineStr">
        <is>
          <t>模拟回放</t>
        </is>
      </c>
      <c r="G473" s="17" t="inlineStr">
        <is>
          <t xml:space="preserve"> 提供新规则在历史数据上的模拟回放测试服务</t>
        </is>
      </c>
      <c r="H473" s="18" t="inlineStr">
        <is>
          <t>EQ</t>
        </is>
      </c>
      <c r="I473" s="18">
        <f>IF(H473="ILF",10,IF(H473="EIF",7,IF(H473="EI",4,IF(H473="EO",5,IF(H473="EQ",4,"")))))</f>
        <v/>
      </c>
      <c r="J473" s="18" t="inlineStr">
        <is>
          <t>中</t>
        </is>
      </c>
      <c r="K473" s="18">
        <f>IF(J473="高",0.33,IF(J473="中",0.67,IF(J473="低",1,"")))</f>
        <v/>
      </c>
      <c r="L473" s="18" t="inlineStr">
        <is>
          <t>新增</t>
        </is>
      </c>
      <c r="M473" s="18">
        <f>IF(L473="新增",1,IF(L473="修改",0.8,IF(L473="删除",0.2,"")))</f>
        <v/>
      </c>
      <c r="N473" s="18">
        <f>I473*K473*M473</f>
        <v/>
      </c>
    </row>
    <row r="474" ht="19" customHeight="1" s="1">
      <c r="B474" s="16" t="n">
        <v>469</v>
      </c>
      <c r="C474" s="16" t="inlineStr">
        <is>
          <t>边缘端前置流式计算与实时告警引擎服务</t>
        </is>
      </c>
      <c r="D474" s="16" t="inlineStr">
        <is>
          <t>规则配置服务</t>
        </is>
      </c>
      <c r="E474" s="16" t="inlineStr">
        <is>
          <t>回溯验证</t>
        </is>
      </c>
      <c r="F474" s="16" t="inlineStr">
        <is>
          <t>匹配率</t>
        </is>
      </c>
      <c r="G474" s="17" t="inlineStr">
        <is>
          <t xml:space="preserve"> 提供规则模拟结果匹配率统计分析服务</t>
        </is>
      </c>
      <c r="H474" s="18" t="inlineStr">
        <is>
          <t>EQ</t>
        </is>
      </c>
      <c r="I474" s="18">
        <f>IF(H474="ILF",10,IF(H474="EIF",7,IF(H474="EI",4,IF(H474="EO",5,IF(H474="EQ",4,"")))))</f>
        <v/>
      </c>
      <c r="J474" s="18" t="inlineStr">
        <is>
          <t>中</t>
        </is>
      </c>
      <c r="K474" s="18">
        <f>IF(J474="高",0.33,IF(J474="中",0.67,IF(J474="低",1,"")))</f>
        <v/>
      </c>
      <c r="L474" s="18" t="inlineStr">
        <is>
          <t>新增</t>
        </is>
      </c>
      <c r="M474" s="18">
        <f>IF(L474="新增",1,IF(L474="修改",0.8,IF(L474="删除",0.2,"")))</f>
        <v/>
      </c>
      <c r="N474" s="18">
        <f>I474*K474*M474</f>
        <v/>
      </c>
    </row>
    <row r="475" ht="19" customHeight="1" s="1">
      <c r="B475" s="16" t="n">
        <v>470</v>
      </c>
      <c r="C475" s="16" t="inlineStr">
        <is>
          <t>边缘端前置流式计算与实时告警引擎服务</t>
        </is>
      </c>
      <c r="D475" s="16" t="inlineStr">
        <is>
          <t>规则配置服务</t>
        </is>
      </c>
      <c r="E475" s="16" t="inlineStr">
        <is>
          <t>回溯验证</t>
        </is>
      </c>
      <c r="F475" s="16" t="inlineStr">
        <is>
          <t>误报率</t>
        </is>
      </c>
      <c r="G475" s="17" t="inlineStr">
        <is>
          <t xml:space="preserve"> 提供规则模拟结果误报率统计分析服务</t>
        </is>
      </c>
      <c r="H475" s="18" t="inlineStr">
        <is>
          <t>EQ</t>
        </is>
      </c>
      <c r="I475" s="18">
        <f>IF(H475="ILF",10,IF(H475="EIF",7,IF(H475="EI",4,IF(H475="EO",5,IF(H475="EQ",4,"")))))</f>
        <v/>
      </c>
      <c r="J475" s="18" t="inlineStr">
        <is>
          <t>中</t>
        </is>
      </c>
      <c r="K475" s="18">
        <f>IF(J475="高",0.33,IF(J475="中",0.67,IF(J475="低",1,"")))</f>
        <v/>
      </c>
      <c r="L475" s="18" t="inlineStr">
        <is>
          <t>新增</t>
        </is>
      </c>
      <c r="M475" s="18">
        <f>IF(L475="新增",1,IF(L475="修改",0.8,IF(L475="删除",0.2,"")))</f>
        <v/>
      </c>
      <c r="N475" s="18">
        <f>I475*K475*M475</f>
        <v/>
      </c>
    </row>
    <row r="476" ht="19" customHeight="1" s="1">
      <c r="B476" s="16" t="n">
        <v>471</v>
      </c>
      <c r="C476" s="16" t="inlineStr">
        <is>
          <t>边缘端前置流式计算与实时告警引擎服务</t>
        </is>
      </c>
      <c r="D476" s="16" t="inlineStr">
        <is>
          <t>规则配置服务</t>
        </is>
      </c>
      <c r="E476" s="16" t="inlineStr">
        <is>
          <t>回溯验证</t>
        </is>
      </c>
      <c r="F476" s="16" t="inlineStr">
        <is>
          <t>漏报率</t>
        </is>
      </c>
      <c r="G476" s="17" t="inlineStr">
        <is>
          <t xml:space="preserve"> 提供规则模拟结果漏报率统计分析服务</t>
        </is>
      </c>
      <c r="H476" s="18" t="inlineStr">
        <is>
          <t>EQ</t>
        </is>
      </c>
      <c r="I476" s="18">
        <f>IF(H476="ILF",10,IF(H476="EIF",7,IF(H476="EI",4,IF(H476="EO",5,IF(H476="EQ",4,"")))))</f>
        <v/>
      </c>
      <c r="J476" s="18" t="inlineStr">
        <is>
          <t>高</t>
        </is>
      </c>
      <c r="K476" s="18">
        <f>IF(J476="高",0.33,IF(J476="中",0.67,IF(J476="低",1,"")))</f>
        <v/>
      </c>
      <c r="L476" s="18" t="inlineStr">
        <is>
          <t>新增</t>
        </is>
      </c>
      <c r="M476" s="18">
        <f>IF(L476="新增",1,IF(L476="修改",0.8,IF(L476="删除",0.2,"")))</f>
        <v/>
      </c>
      <c r="N476" s="18">
        <f>I476*K476*M476</f>
        <v/>
      </c>
    </row>
    <row r="477" ht="19" customHeight="1" s="1">
      <c r="B477" s="16" t="n">
        <v>472</v>
      </c>
      <c r="C477" s="16" t="inlineStr">
        <is>
          <t>边缘端前置流式计算与实时告警引擎服务</t>
        </is>
      </c>
      <c r="D477" s="16" t="inlineStr">
        <is>
          <t>规则配置服务</t>
        </is>
      </c>
      <c r="E477" s="16" t="inlineStr">
        <is>
          <t>回溯验证</t>
        </is>
      </c>
      <c r="F477" s="16" t="inlineStr">
        <is>
          <t>新旧对比</t>
        </is>
      </c>
      <c r="G477" s="17" t="inlineStr">
        <is>
          <t xml:space="preserve"> 提供新规则与原规则触发效果对比分析服务</t>
        </is>
      </c>
      <c r="H477" s="18" t="inlineStr">
        <is>
          <t>EQ</t>
        </is>
      </c>
      <c r="I477" s="18">
        <f>IF(H477="ILF",10,IF(H477="EIF",7,IF(H477="EI",4,IF(H477="EO",5,IF(H477="EQ",4,"")))))</f>
        <v/>
      </c>
      <c r="J477" s="18" t="inlineStr">
        <is>
          <t>高</t>
        </is>
      </c>
      <c r="K477" s="18">
        <f>IF(J477="高",0.33,IF(J477="中",0.67,IF(J477="低",1,"")))</f>
        <v/>
      </c>
      <c r="L477" s="18" t="inlineStr">
        <is>
          <t>新增</t>
        </is>
      </c>
      <c r="M477" s="18">
        <f>IF(L477="新增",1,IF(L477="修改",0.8,IF(L477="删除",0.2,"")))</f>
        <v/>
      </c>
      <c r="N477" s="18">
        <f>I477*K477*M477</f>
        <v/>
      </c>
    </row>
    <row r="478" ht="19" customHeight="1" s="1">
      <c r="B478" s="16" t="n">
        <v>473</v>
      </c>
      <c r="C478" s="16" t="inlineStr">
        <is>
          <t>边缘端前置流式计算与实时告警引擎服务</t>
        </is>
      </c>
      <c r="D478" s="16" t="inlineStr">
        <is>
          <t>规则配置服务</t>
        </is>
      </c>
      <c r="E478" s="16" t="inlineStr">
        <is>
          <t>回溯验证</t>
        </is>
      </c>
      <c r="F478" s="16" t="inlineStr">
        <is>
          <t>回溯参数</t>
        </is>
      </c>
      <c r="G478" s="17" t="inlineStr">
        <is>
          <t xml:space="preserve"> 提供回溯验证的窗口/阈值参数配置服务</t>
        </is>
      </c>
      <c r="H478" s="18" t="inlineStr">
        <is>
          <t>EQ</t>
        </is>
      </c>
      <c r="I478" s="18">
        <f>IF(H478="ILF",10,IF(H478="EIF",7,IF(H478="EI",4,IF(H478="EO",5,IF(H478="EQ",4,"")))))</f>
        <v/>
      </c>
      <c r="J478" s="18" t="inlineStr">
        <is>
          <t>高</t>
        </is>
      </c>
      <c r="K478" s="18">
        <f>IF(J478="高",0.33,IF(J478="中",0.67,IF(J478="低",1,"")))</f>
        <v/>
      </c>
      <c r="L478" s="18" t="inlineStr">
        <is>
          <t>新增</t>
        </is>
      </c>
      <c r="M478" s="18">
        <f>IF(L478="新增",1,IF(L478="修改",0.8,IF(L478="删除",0.2,"")))</f>
        <v/>
      </c>
      <c r="N478" s="18">
        <f>I478*K478*M478</f>
        <v/>
      </c>
    </row>
    <row r="479" ht="19" customHeight="1" s="1">
      <c r="B479" s="16" t="n">
        <v>474</v>
      </c>
      <c r="C479" s="16" t="inlineStr">
        <is>
          <t>边缘端前置流式计算与实时告警引擎服务</t>
        </is>
      </c>
      <c r="D479" s="16" t="inlineStr">
        <is>
          <t>规则配置服务</t>
        </is>
      </c>
      <c r="E479" s="16" t="inlineStr">
        <is>
          <t>回溯验证</t>
        </is>
      </c>
      <c r="F479" s="16" t="inlineStr">
        <is>
          <t>回溯报告</t>
        </is>
      </c>
      <c r="G479" s="17" t="inlineStr">
        <is>
          <t xml:space="preserve"> 提供回溯验证结果报告自动生成服务</t>
        </is>
      </c>
      <c r="H479" s="18" t="inlineStr">
        <is>
          <t>EQ</t>
        </is>
      </c>
      <c r="I479" s="18">
        <f>IF(H479="ILF",10,IF(H479="EIF",7,IF(H479="EI",4,IF(H479="EO",5,IF(H479="EQ",4,"")))))</f>
        <v/>
      </c>
      <c r="J479" s="18" t="inlineStr">
        <is>
          <t>高</t>
        </is>
      </c>
      <c r="K479" s="18">
        <f>IF(J479="高",0.33,IF(J479="中",0.67,IF(J479="低",1,"")))</f>
        <v/>
      </c>
      <c r="L479" s="18" t="inlineStr">
        <is>
          <t>新增</t>
        </is>
      </c>
      <c r="M479" s="18">
        <f>IF(L479="新增",1,IF(L479="修改",0.8,IF(L479="删除",0.2,"")))</f>
        <v/>
      </c>
      <c r="N479" s="18">
        <f>I479*K479*M479</f>
        <v/>
      </c>
    </row>
    <row r="480" ht="19" customHeight="1" s="1">
      <c r="B480" s="16" t="n">
        <v>475</v>
      </c>
      <c r="C480" s="16" t="inlineStr">
        <is>
          <t>边缘端前置流式计算与实时告警引擎服务</t>
        </is>
      </c>
      <c r="D480" s="16" t="inlineStr">
        <is>
          <t>边缘平台联动</t>
        </is>
      </c>
      <c r="E480" s="16" t="inlineStr">
        <is>
          <t>边缘判定</t>
        </is>
      </c>
      <c r="F480" s="16" t="inlineStr">
        <is>
          <t>实时判定</t>
        </is>
      </c>
      <c r="G480" s="17" t="inlineStr">
        <is>
          <t xml:space="preserve"> 提供边缘网关侧毫秒级告警算法判定服务</t>
        </is>
      </c>
      <c r="H480" s="18" t="inlineStr">
        <is>
          <t>EQ</t>
        </is>
      </c>
      <c r="I480" s="18">
        <f>IF(H480="ILF",10,IF(H480="EIF",7,IF(H480="EI",4,IF(H480="EO",5,IF(H480="EQ",4,"")))))</f>
        <v/>
      </c>
      <c r="J480" s="18" t="inlineStr">
        <is>
          <t>高</t>
        </is>
      </c>
      <c r="K480" s="18">
        <f>IF(J480="高",0.33,IF(J480="中",0.67,IF(J480="低",1,"")))</f>
        <v/>
      </c>
      <c r="L480" s="18" t="inlineStr">
        <is>
          <t>新增</t>
        </is>
      </c>
      <c r="M480" s="18">
        <f>IF(L480="新增",1,IF(L480="修改",0.8,IF(L480="删除",0.2,"")))</f>
        <v/>
      </c>
      <c r="N480" s="18">
        <f>I480*K480*M480</f>
        <v/>
      </c>
    </row>
    <row r="481" ht="19" customHeight="1" s="1">
      <c r="B481" s="16" t="n">
        <v>476</v>
      </c>
      <c r="C481" s="16" t="inlineStr">
        <is>
          <t>设备资产全生命周期数据治理与运行健康评估服务</t>
        </is>
      </c>
      <c r="D481" s="16" t="inlineStr">
        <is>
          <t>健康管理服务</t>
        </is>
      </c>
      <c r="E481" s="16" t="inlineStr">
        <is>
          <t>设备状态监测</t>
        </is>
      </c>
      <c r="F481" s="16" t="inlineStr">
        <is>
          <t>设备KPI编制</t>
        </is>
      </c>
      <c r="G481" s="17" t="inlineStr">
        <is>
          <t xml:space="preserve"> 提供设备关键绩效指标KPI编制服务</t>
        </is>
      </c>
      <c r="H481" s="18" t="inlineStr">
        <is>
          <t>ILF</t>
        </is>
      </c>
      <c r="I481" s="18">
        <f>IF(H481="ILF",10,IF(H481="EIF",7,IF(H481="EI",4,IF(H481="EO",5,IF(H481="EQ",4,"")))))</f>
        <v/>
      </c>
      <c r="J481" s="18" t="inlineStr">
        <is>
          <t>低</t>
        </is>
      </c>
      <c r="K481" s="18">
        <f>IF(J481="高",0.33,IF(J481="中",0.67,IF(J481="低",1,"")))</f>
        <v/>
      </c>
      <c r="L481" s="18" t="inlineStr">
        <is>
          <t>新增</t>
        </is>
      </c>
      <c r="M481" s="18">
        <f>IF(L481="新增",1,IF(L481="修改",0.8,IF(L481="删除",0.2,"")))</f>
        <v/>
      </c>
      <c r="N481" s="18">
        <f>I481*K481*M481</f>
        <v/>
      </c>
    </row>
    <row r="482" ht="19" customHeight="1" s="1">
      <c r="B482" s="16" t="n">
        <v>477</v>
      </c>
      <c r="C482" s="16" t="inlineStr">
        <is>
          <t>设备资产全生命周期数据治理与运行健康评估服务</t>
        </is>
      </c>
      <c r="D482" s="16" t="inlineStr">
        <is>
          <t>健康管理服务</t>
        </is>
      </c>
      <c r="E482" s="16" t="inlineStr">
        <is>
          <t>设备状态监测</t>
        </is>
      </c>
      <c r="F482" s="16" t="inlineStr">
        <is>
          <t>设备KPI监控</t>
        </is>
      </c>
      <c r="G482" s="17" t="inlineStr">
        <is>
          <t xml:space="preserve"> 提供设备KPI实时监控服务</t>
        </is>
      </c>
      <c r="H482" s="18" t="inlineStr">
        <is>
          <t>ILF</t>
        </is>
      </c>
      <c r="I482" s="18">
        <f>IF(H482="ILF",10,IF(H482="EIF",7,IF(H482="EI",4,IF(H482="EO",5,IF(H482="EQ",4,"")))))</f>
        <v/>
      </c>
      <c r="J482" s="18" t="inlineStr">
        <is>
          <t>低</t>
        </is>
      </c>
      <c r="K482" s="18">
        <f>IF(J482="高",0.33,IF(J482="中",0.67,IF(J482="低",1,"")))</f>
        <v/>
      </c>
      <c r="L482" s="18" t="inlineStr">
        <is>
          <t>新增</t>
        </is>
      </c>
      <c r="M482" s="18">
        <f>IF(L482="新增",1,IF(L482="修改",0.8,IF(L482="删除",0.2,"")))</f>
        <v/>
      </c>
      <c r="N482" s="18">
        <f>I482*K482*M482</f>
        <v/>
      </c>
    </row>
    <row r="483" ht="19" customHeight="1" s="1">
      <c r="B483" s="16" t="n">
        <v>478</v>
      </c>
      <c r="C483" s="16" t="inlineStr">
        <is>
          <t>设备资产全生命周期数据治理与运行健康评估服务</t>
        </is>
      </c>
      <c r="D483" s="16" t="inlineStr">
        <is>
          <t>健康管理服务</t>
        </is>
      </c>
      <c r="E483" s="16" t="inlineStr">
        <is>
          <t>设备状态监测</t>
        </is>
      </c>
      <c r="F483" s="16" t="inlineStr">
        <is>
          <t>设备KPI报表</t>
        </is>
      </c>
      <c r="G483" s="17" t="inlineStr">
        <is>
          <t xml:space="preserve"> 提供设备KPI统计报表生成服务</t>
        </is>
      </c>
      <c r="H483" s="18" t="inlineStr">
        <is>
          <t>ILF</t>
        </is>
      </c>
      <c r="I483" s="18">
        <f>IF(H483="ILF",10,IF(H483="EIF",7,IF(H483="EI",4,IF(H483="EO",5,IF(H483="EQ",4,"")))))</f>
        <v/>
      </c>
      <c r="J483" s="18" t="inlineStr">
        <is>
          <t>低</t>
        </is>
      </c>
      <c r="K483" s="18">
        <f>IF(J483="高",0.33,IF(J483="中",0.67,IF(J483="低",1,"")))</f>
        <v/>
      </c>
      <c r="L483" s="18" t="inlineStr">
        <is>
          <t>新增</t>
        </is>
      </c>
      <c r="M483" s="18">
        <f>IF(L483="新增",1,IF(L483="修改",0.8,IF(L483="删除",0.2,"")))</f>
        <v/>
      </c>
      <c r="N483" s="18">
        <f>I483*K483*M483</f>
        <v/>
      </c>
    </row>
    <row r="484" ht="19" customHeight="1" s="1">
      <c r="B484" s="16" t="n">
        <v>479</v>
      </c>
      <c r="C484" s="16" t="inlineStr">
        <is>
          <t>设备资产全生命周期数据治理与运行健康评估服务</t>
        </is>
      </c>
      <c r="D484" s="16" t="inlineStr">
        <is>
          <t>健康管理服务</t>
        </is>
      </c>
      <c r="E484" s="16" t="inlineStr">
        <is>
          <t>设备状态监测</t>
        </is>
      </c>
      <c r="F484" s="16" t="inlineStr">
        <is>
          <t>设备排放监测</t>
        </is>
      </c>
      <c r="G484" s="17" t="inlineStr">
        <is>
          <t xml:space="preserve"> 提供设备环保排放监测服务</t>
        </is>
      </c>
      <c r="H484" s="18" t="inlineStr">
        <is>
          <t>ILF</t>
        </is>
      </c>
      <c r="I484" s="18">
        <f>IF(H484="ILF",10,IF(H484="EIF",7,IF(H484="EI",4,IF(H484="EO",5,IF(H484="EQ",4,"")))))</f>
        <v/>
      </c>
      <c r="J484" s="18" t="inlineStr">
        <is>
          <t>低</t>
        </is>
      </c>
      <c r="K484" s="18">
        <f>IF(J484="高",0.33,IF(J484="中",0.67,IF(J484="低",1,"")))</f>
        <v/>
      </c>
      <c r="L484" s="18" t="inlineStr">
        <is>
          <t>新增</t>
        </is>
      </c>
      <c r="M484" s="18">
        <f>IF(L484="新增",1,IF(L484="修改",0.8,IF(L484="删除",0.2,"")))</f>
        <v/>
      </c>
      <c r="N484" s="18">
        <f>I484*K484*M484</f>
        <v/>
      </c>
    </row>
    <row r="485" ht="19" customHeight="1" s="1">
      <c r="B485" s="16" t="n">
        <v>480</v>
      </c>
      <c r="C485" s="16" t="inlineStr">
        <is>
          <t>设备资产全生命周期数据治理与运行健康评估服务</t>
        </is>
      </c>
      <c r="D485" s="16" t="inlineStr">
        <is>
          <t>健康管理服务</t>
        </is>
      </c>
      <c r="E485" s="16" t="inlineStr">
        <is>
          <t>设备状态监测</t>
        </is>
      </c>
      <c r="F485" s="16" t="inlineStr">
        <is>
          <t>设备校准管理</t>
        </is>
      </c>
      <c r="G485" s="17" t="inlineStr">
        <is>
          <t xml:space="preserve"> 提供设备校准周期和记录管理服务</t>
        </is>
      </c>
      <c r="H485" s="18" t="inlineStr">
        <is>
          <t>ILF</t>
        </is>
      </c>
      <c r="I485" s="18">
        <f>IF(H485="ILF",10,IF(H485="EIF",7,IF(H485="EI",4,IF(H485="EO",5,IF(H485="EQ",4,"")))))</f>
        <v/>
      </c>
      <c r="J485" s="18" t="inlineStr">
        <is>
          <t>低</t>
        </is>
      </c>
      <c r="K485" s="18">
        <f>IF(J485="高",0.33,IF(J485="中",0.67,IF(J485="低",1,"")))</f>
        <v/>
      </c>
      <c r="L485" s="18" t="inlineStr">
        <is>
          <t>新增</t>
        </is>
      </c>
      <c r="M485" s="18">
        <f>IF(L485="新增",1,IF(L485="修改",0.8,IF(L485="删除",0.2,"")))</f>
        <v/>
      </c>
      <c r="N485" s="18">
        <f>I485*K485*M485</f>
        <v/>
      </c>
    </row>
    <row r="486" ht="19" customHeight="1" s="1">
      <c r="B486" s="16" t="n">
        <v>481</v>
      </c>
      <c r="C486" s="16" t="inlineStr">
        <is>
          <t>设备资产全生命周期数据治理与运行健康评估服务</t>
        </is>
      </c>
      <c r="D486" s="16" t="inlineStr">
        <is>
          <t>健康管理服务</t>
        </is>
      </c>
      <c r="E486" s="16" t="inlineStr">
        <is>
          <t>设备状态监测</t>
        </is>
      </c>
      <c r="F486" s="16" t="inlineStr">
        <is>
          <t>设备检定管理</t>
        </is>
      </c>
      <c r="G486" s="17" t="inlineStr">
        <is>
          <t xml:space="preserve"> 提供设备计量检定管理服务</t>
        </is>
      </c>
      <c r="H486" s="18" t="inlineStr">
        <is>
          <t>ILF</t>
        </is>
      </c>
      <c r="I486" s="18">
        <f>IF(H486="ILF",10,IF(H486="EIF",7,IF(H486="EI",4,IF(H486="EO",5,IF(H486="EQ",4,"")))))</f>
        <v/>
      </c>
      <c r="J486" s="18" t="inlineStr">
        <is>
          <t>低</t>
        </is>
      </c>
      <c r="K486" s="18">
        <f>IF(J486="高",0.33,IF(J486="中",0.67,IF(J486="低",1,"")))</f>
        <v/>
      </c>
      <c r="L486" s="18" t="inlineStr">
        <is>
          <t>新增</t>
        </is>
      </c>
      <c r="M486" s="18">
        <f>IF(L486="新增",1,IF(L486="修改",0.8,IF(L486="删除",0.2,"")))</f>
        <v/>
      </c>
      <c r="N486" s="18">
        <f>I486*K486*M486</f>
        <v/>
      </c>
    </row>
    <row r="487" ht="19" customHeight="1" s="1">
      <c r="B487" s="16" t="n">
        <v>482</v>
      </c>
      <c r="C487" s="16" t="inlineStr">
        <is>
          <t>设备资产全生命周期数据治理与运行健康评估服务</t>
        </is>
      </c>
      <c r="D487" s="16" t="inlineStr">
        <is>
          <t>健康管理服务</t>
        </is>
      </c>
      <c r="E487" s="16" t="inlineStr">
        <is>
          <t>设备状态监测</t>
        </is>
      </c>
      <c r="F487" s="16" t="inlineStr">
        <is>
          <t>设备巡检管理</t>
        </is>
      </c>
      <c r="G487" s="17" t="inlineStr">
        <is>
          <t xml:space="preserve"> 提供设备巡检任务和记录管理服务</t>
        </is>
      </c>
      <c r="H487" s="18" t="inlineStr">
        <is>
          <t>ILF</t>
        </is>
      </c>
      <c r="I487" s="18">
        <f>IF(H487="ILF",10,IF(H487="EIF",7,IF(H487="EI",4,IF(H487="EO",5,IF(H487="EQ",4,"")))))</f>
        <v/>
      </c>
      <c r="J487" s="18" t="inlineStr">
        <is>
          <t>低</t>
        </is>
      </c>
      <c r="K487" s="18">
        <f>IF(J487="高",0.33,IF(J487="中",0.67,IF(J487="低",1,"")))</f>
        <v/>
      </c>
      <c r="L487" s="18" t="inlineStr">
        <is>
          <t>新增</t>
        </is>
      </c>
      <c r="M487" s="18">
        <f>IF(L487="新增",1,IF(L487="修改",0.8,IF(L487="删除",0.2,"")))</f>
        <v/>
      </c>
      <c r="N487" s="18">
        <f>I487*K487*M487</f>
        <v/>
      </c>
    </row>
    <row r="488" ht="19" customHeight="1" s="1">
      <c r="B488" s="16" t="n">
        <v>483</v>
      </c>
      <c r="C488" s="16" t="inlineStr">
        <is>
          <t>设备资产全生命周期数据治理与运行健康评估服务</t>
        </is>
      </c>
      <c r="D488" s="16" t="inlineStr">
        <is>
          <t>健康管理服务</t>
        </is>
      </c>
      <c r="E488" s="16" t="inlineStr">
        <is>
          <t>设备状态监测</t>
        </is>
      </c>
      <c r="F488" s="16" t="inlineStr">
        <is>
          <t>设备点检管理</t>
        </is>
      </c>
      <c r="G488" s="17" t="inlineStr">
        <is>
          <t xml:space="preserve"> 提供设备点检标准和记录管理服务</t>
        </is>
      </c>
      <c r="H488" s="18" t="inlineStr">
        <is>
          <t>ILF</t>
        </is>
      </c>
      <c r="I488" s="18">
        <f>IF(H488="ILF",10,IF(H488="EIF",7,IF(H488="EI",4,IF(H488="EO",5,IF(H488="EQ",4,"")))))</f>
        <v/>
      </c>
      <c r="J488" s="18" t="inlineStr">
        <is>
          <t>低</t>
        </is>
      </c>
      <c r="K488" s="18">
        <f>IF(J488="高",0.33,IF(J488="中",0.67,IF(J488="低",1,"")))</f>
        <v/>
      </c>
      <c r="L488" s="18" t="inlineStr">
        <is>
          <t>新增</t>
        </is>
      </c>
      <c r="M488" s="18">
        <f>IF(L488="新增",1,IF(L488="修改",0.8,IF(L488="删除",0.2,"")))</f>
        <v/>
      </c>
      <c r="N488" s="18">
        <f>I488*K488*M488</f>
        <v/>
      </c>
    </row>
    <row r="489" ht="19" customHeight="1" s="1">
      <c r="B489" s="16" t="n">
        <v>484</v>
      </c>
      <c r="C489" s="16" t="inlineStr">
        <is>
          <t>设备资产全生命周期数据治理与运行健康评估服务</t>
        </is>
      </c>
      <c r="D489" s="16" t="inlineStr">
        <is>
          <t>健康管理服务</t>
        </is>
      </c>
      <c r="E489" s="16" t="inlineStr">
        <is>
          <t>设备状态监测</t>
        </is>
      </c>
      <c r="F489" s="16" t="inlineStr">
        <is>
          <t>设备保养管理</t>
        </is>
      </c>
      <c r="G489" s="17" t="inlineStr">
        <is>
          <t xml:space="preserve"> 提供设备保养计划执行管理服务</t>
        </is>
      </c>
      <c r="H489" s="18" t="inlineStr">
        <is>
          <t>ILF</t>
        </is>
      </c>
      <c r="I489" s="18">
        <f>IF(H489="ILF",10,IF(H489="EIF",7,IF(H489="EI",4,IF(H489="EO",5,IF(H489="EQ",4,"")))))</f>
        <v/>
      </c>
      <c r="J489" s="18" t="inlineStr">
        <is>
          <t>低</t>
        </is>
      </c>
      <c r="K489" s="18">
        <f>IF(J489="高",0.33,IF(J489="中",0.67,IF(J489="低",1,"")))</f>
        <v/>
      </c>
      <c r="L489" s="18" t="inlineStr">
        <is>
          <t>新增</t>
        </is>
      </c>
      <c r="M489" s="18">
        <f>IF(L489="新增",1,IF(L489="修改",0.8,IF(L489="删除",0.2,"")))</f>
        <v/>
      </c>
      <c r="N489" s="18">
        <f>I489*K489*M489</f>
        <v/>
      </c>
    </row>
    <row r="490" ht="19" customHeight="1" s="1">
      <c r="B490" s="16" t="n">
        <v>485</v>
      </c>
      <c r="C490" s="16" t="inlineStr">
        <is>
          <t>设备资产全生命周期数据治理与运行健康评估服务</t>
        </is>
      </c>
      <c r="D490" s="16" t="inlineStr">
        <is>
          <t>设备档案管理</t>
        </is>
      </c>
      <c r="E490" s="16" t="inlineStr">
        <is>
          <t>设备巡检管理</t>
        </is>
      </c>
      <c r="F490" s="16" t="inlineStr">
        <is>
          <t>巡检计划配置</t>
        </is>
      </c>
      <c r="G490" s="17" t="inlineStr">
        <is>
          <t xml:space="preserve"> 提供设备巡检计划编制和配置技术服务</t>
        </is>
      </c>
      <c r="H490" s="18" t="inlineStr">
        <is>
          <t>ILF</t>
        </is>
      </c>
      <c r="I490" s="18">
        <f>IF(H490="ILF",10,IF(H490="EIF",7,IF(H490="EI",4,IF(H490="EO",5,IF(H490="EQ",4,"")))))</f>
        <v/>
      </c>
      <c r="J490" s="18" t="inlineStr">
        <is>
          <t>低</t>
        </is>
      </c>
      <c r="K490" s="18">
        <f>IF(J490="高",0.33,IF(J490="中",0.67,IF(J490="低",1,"")))</f>
        <v/>
      </c>
      <c r="L490" s="18" t="inlineStr">
        <is>
          <t>新增</t>
        </is>
      </c>
      <c r="M490" s="18">
        <f>IF(L490="新增",1,IF(L490="修改",0.8,IF(L490="删除",0.2,"")))</f>
        <v/>
      </c>
      <c r="N490" s="18">
        <f>I490*K490*M490</f>
        <v/>
      </c>
    </row>
    <row r="491" ht="19" customHeight="1" s="1">
      <c r="B491" s="16" t="n">
        <v>486</v>
      </c>
      <c r="C491" s="16" t="inlineStr">
        <is>
          <t>设备资产全生命周期数据治理与运行健康评估服务</t>
        </is>
      </c>
      <c r="D491" s="16" t="inlineStr">
        <is>
          <t>设备档案管理</t>
        </is>
      </c>
      <c r="E491" s="16" t="inlineStr">
        <is>
          <t>设备巡检管理</t>
        </is>
      </c>
      <c r="F491" s="16" t="inlineStr">
        <is>
          <t>巡检路线配置</t>
        </is>
      </c>
      <c r="G491" s="17" t="inlineStr">
        <is>
          <t xml:space="preserve"> 提供设备巡检路线和点位配置技术服务</t>
        </is>
      </c>
      <c r="H491" s="18" t="inlineStr">
        <is>
          <t>ILF</t>
        </is>
      </c>
      <c r="I491" s="18">
        <f>IF(H491="ILF",10,IF(H491="EIF",7,IF(H491="EI",4,IF(H491="EO",5,IF(H491="EQ",4,"")))))</f>
        <v/>
      </c>
      <c r="J491" s="18" t="inlineStr">
        <is>
          <t>低</t>
        </is>
      </c>
      <c r="K491" s="18">
        <f>IF(J491="高",0.33,IF(J491="中",0.67,IF(J491="低",1,"")))</f>
        <v/>
      </c>
      <c r="L491" s="18" t="inlineStr">
        <is>
          <t>新增</t>
        </is>
      </c>
      <c r="M491" s="18">
        <f>IF(L491="新增",1,IF(L491="修改",0.8,IF(L491="删除",0.2,"")))</f>
        <v/>
      </c>
      <c r="N491" s="18">
        <f>I491*K491*M491</f>
        <v/>
      </c>
    </row>
    <row r="492" ht="19" customHeight="1" s="1">
      <c r="B492" s="16" t="n">
        <v>487</v>
      </c>
      <c r="C492" s="16" t="inlineStr">
        <is>
          <t>设备资产全生命周期数据治理与运行健康评估服务</t>
        </is>
      </c>
      <c r="D492" s="16" t="inlineStr">
        <is>
          <t>设备档案管理</t>
        </is>
      </c>
      <c r="E492" s="16" t="inlineStr">
        <is>
          <t>设备巡检管理</t>
        </is>
      </c>
      <c r="F492" s="16" t="inlineStr">
        <is>
          <t>巡检标准配置</t>
        </is>
      </c>
      <c r="G492" s="17" t="inlineStr">
        <is>
          <t xml:space="preserve"> 提供设备巡检标准参数配置技术服务</t>
        </is>
      </c>
      <c r="H492" s="18" t="inlineStr">
        <is>
          <t>ILF</t>
        </is>
      </c>
      <c r="I492" s="18">
        <f>IF(H492="ILF",10,IF(H492="EIF",7,IF(H492="EI",4,IF(H492="EO",5,IF(H492="EQ",4,"")))))</f>
        <v/>
      </c>
      <c r="J492" s="18" t="inlineStr">
        <is>
          <t>低</t>
        </is>
      </c>
      <c r="K492" s="18">
        <f>IF(J492="高",0.33,IF(J492="中",0.67,IF(J492="低",1,"")))</f>
        <v/>
      </c>
      <c r="L492" s="18" t="inlineStr">
        <is>
          <t>新增</t>
        </is>
      </c>
      <c r="M492" s="18">
        <f>IF(L492="新增",1,IF(L492="修改",0.8,IF(L492="删除",0.2,"")))</f>
        <v/>
      </c>
      <c r="N492" s="18">
        <f>I492*K492*M492</f>
        <v/>
      </c>
    </row>
    <row r="493" ht="19" customHeight="1" s="1">
      <c r="B493" s="16" t="n">
        <v>488</v>
      </c>
      <c r="C493" s="16" t="inlineStr">
        <is>
          <t>设备资产全生命周期数据治理与运行健康评估服务</t>
        </is>
      </c>
      <c r="D493" s="16" t="inlineStr">
        <is>
          <t>设备档案管理</t>
        </is>
      </c>
      <c r="E493" s="16" t="inlineStr">
        <is>
          <t>设备保养管理</t>
        </is>
      </c>
      <c r="F493" s="16" t="inlineStr">
        <is>
          <t>保养计划配置</t>
        </is>
      </c>
      <c r="G493" s="17" t="inlineStr">
        <is>
          <t xml:space="preserve"> 提供设备保养计划编制配置技术服务</t>
        </is>
      </c>
      <c r="H493" s="18" t="inlineStr">
        <is>
          <t>ILF</t>
        </is>
      </c>
      <c r="I493" s="18">
        <f>IF(H493="ILF",10,IF(H493="EIF",7,IF(H493="EI",4,IF(H493="EO",5,IF(H493="EQ",4,"")))))</f>
        <v/>
      </c>
      <c r="J493" s="18" t="inlineStr">
        <is>
          <t>低</t>
        </is>
      </c>
      <c r="K493" s="18">
        <f>IF(J493="高",0.33,IF(J493="中",0.67,IF(J493="低",1,"")))</f>
        <v/>
      </c>
      <c r="L493" s="18" t="inlineStr">
        <is>
          <t>新增</t>
        </is>
      </c>
      <c r="M493" s="18">
        <f>IF(L493="新增",1,IF(L493="修改",0.8,IF(L493="删除",0.2,"")))</f>
        <v/>
      </c>
      <c r="N493" s="18">
        <f>I493*K493*M493</f>
        <v/>
      </c>
    </row>
    <row r="494" ht="19" customHeight="1" s="1">
      <c r="B494" s="16" t="n">
        <v>489</v>
      </c>
      <c r="C494" s="16" t="inlineStr">
        <is>
          <t>设备资产全生命周期数据治理与运行健康评估服务</t>
        </is>
      </c>
      <c r="D494" s="16" t="inlineStr">
        <is>
          <t>设备档案管理</t>
        </is>
      </c>
      <c r="E494" s="16" t="inlineStr">
        <is>
          <t>设备保养管理</t>
        </is>
      </c>
      <c r="F494" s="16" t="inlineStr">
        <is>
          <t>保养标准配置</t>
        </is>
      </c>
      <c r="G494" s="17" t="inlineStr">
        <is>
          <t xml:space="preserve"> 提供设备保养标准参数配置技术服务</t>
        </is>
      </c>
      <c r="H494" s="18" t="inlineStr">
        <is>
          <t>ILF</t>
        </is>
      </c>
      <c r="I494" s="18">
        <f>IF(H494="ILF",10,IF(H494="EIF",7,IF(H494="EI",4,IF(H494="EO",5,IF(H494="EQ",4,"")))))</f>
        <v/>
      </c>
      <c r="J494" s="18" t="inlineStr">
        <is>
          <t>中</t>
        </is>
      </c>
      <c r="K494" s="18">
        <f>IF(J494="高",0.33,IF(J494="中",0.67,IF(J494="低",1,"")))</f>
        <v/>
      </c>
      <c r="L494" s="18" t="inlineStr">
        <is>
          <t>新增</t>
        </is>
      </c>
      <c r="M494" s="18">
        <f>IF(L494="新增",1,IF(L494="修改",0.8,IF(L494="删除",0.2,"")))</f>
        <v/>
      </c>
      <c r="N494" s="18">
        <f>I494*K494*M494</f>
        <v/>
      </c>
    </row>
    <row r="495" ht="19" customHeight="1" s="1">
      <c r="B495" s="16" t="n">
        <v>490</v>
      </c>
      <c r="C495" s="16" t="inlineStr">
        <is>
          <t>设备资产全生命周期数据治理与运行健康评估服务</t>
        </is>
      </c>
      <c r="D495" s="16" t="inlineStr">
        <is>
          <t>设备档案管理</t>
        </is>
      </c>
      <c r="E495" s="16" t="inlineStr">
        <is>
          <t>设备校准管理</t>
        </is>
      </c>
      <c r="F495" s="16" t="inlineStr">
        <is>
          <t>校准周期配置</t>
        </is>
      </c>
      <c r="G495" s="17" t="inlineStr">
        <is>
          <t xml:space="preserve"> 提供设备校准周期参数配置技术服务</t>
        </is>
      </c>
      <c r="H495" s="18" t="inlineStr">
        <is>
          <t>ILF</t>
        </is>
      </c>
      <c r="I495" s="18">
        <f>IF(H495="ILF",10,IF(H495="EIF",7,IF(H495="EI",4,IF(H495="EO",5,IF(H495="EQ",4,"")))))</f>
        <v/>
      </c>
      <c r="J495" s="18" t="inlineStr">
        <is>
          <t>中</t>
        </is>
      </c>
      <c r="K495" s="18">
        <f>IF(J495="高",0.33,IF(J495="中",0.67,IF(J495="低",1,"")))</f>
        <v/>
      </c>
      <c r="L495" s="18" t="inlineStr">
        <is>
          <t>新增</t>
        </is>
      </c>
      <c r="M495" s="18">
        <f>IF(L495="新增",1,IF(L495="修改",0.8,IF(L495="删除",0.2,"")))</f>
        <v/>
      </c>
      <c r="N495" s="18">
        <f>I495*K495*M495</f>
        <v/>
      </c>
    </row>
    <row r="496" ht="19" customHeight="1" s="1">
      <c r="B496" s="16" t="n">
        <v>491</v>
      </c>
      <c r="C496" s="16" t="inlineStr">
        <is>
          <t>设备资产全生命周期数据治理与运行健康评估服务</t>
        </is>
      </c>
      <c r="D496" s="16" t="inlineStr">
        <is>
          <t>设备档案管理</t>
        </is>
      </c>
      <c r="E496" s="16" t="inlineStr">
        <is>
          <t>设备校准管理</t>
        </is>
      </c>
      <c r="F496" s="16" t="inlineStr">
        <is>
          <t>校准标准配置</t>
        </is>
      </c>
      <c r="G496" s="17" t="inlineStr">
        <is>
          <t xml:space="preserve"> 提供设备校准标准参数配置技术服务</t>
        </is>
      </c>
      <c r="H496" s="18" t="inlineStr">
        <is>
          <t>ILF</t>
        </is>
      </c>
      <c r="I496" s="18">
        <f>IF(H496="ILF",10,IF(H496="EIF",7,IF(H496="EI",4,IF(H496="EO",5,IF(H496="EQ",4,"")))))</f>
        <v/>
      </c>
      <c r="J496" s="18" t="inlineStr">
        <is>
          <t>中</t>
        </is>
      </c>
      <c r="K496" s="18">
        <f>IF(J496="高",0.33,IF(J496="中",0.67,IF(J496="低",1,"")))</f>
        <v/>
      </c>
      <c r="L496" s="18" t="inlineStr">
        <is>
          <t>新增</t>
        </is>
      </c>
      <c r="M496" s="18">
        <f>IF(L496="新增",1,IF(L496="修改",0.8,IF(L496="删除",0.2,"")))</f>
        <v/>
      </c>
      <c r="N496" s="18">
        <f>I496*K496*M496</f>
        <v/>
      </c>
    </row>
    <row r="497" ht="19" customHeight="1" s="1">
      <c r="B497" s="16" t="n">
        <v>492</v>
      </c>
      <c r="C497" s="16" t="inlineStr">
        <is>
          <t>设备资产全生命周期数据治理与运行健康评估服务</t>
        </is>
      </c>
      <c r="D497" s="16" t="inlineStr">
        <is>
          <t>设备档案管理</t>
        </is>
      </c>
      <c r="E497" s="16" t="inlineStr">
        <is>
          <t>设备备件管理</t>
        </is>
      </c>
      <c r="F497" s="16" t="inlineStr">
        <is>
          <t>备件目录配置</t>
        </is>
      </c>
      <c r="G497" s="17" t="inlineStr">
        <is>
          <t xml:space="preserve"> 提供设备备件目录编制配置技术服务</t>
        </is>
      </c>
      <c r="H497" s="18" t="inlineStr">
        <is>
          <t>ILF</t>
        </is>
      </c>
      <c r="I497" s="18">
        <f>IF(H497="ILF",10,IF(H497="EIF",7,IF(H497="EI",4,IF(H497="EO",5,IF(H497="EQ",4,"")))))</f>
        <v/>
      </c>
      <c r="J497" s="18" t="inlineStr">
        <is>
          <t>中</t>
        </is>
      </c>
      <c r="K497" s="18">
        <f>IF(J497="高",0.33,IF(J497="中",0.67,IF(J497="低",1,"")))</f>
        <v/>
      </c>
      <c r="L497" s="18" t="inlineStr">
        <is>
          <t>新增</t>
        </is>
      </c>
      <c r="M497" s="18">
        <f>IF(L497="新增",1,IF(L497="修改",0.8,IF(L497="删除",0.2,"")))</f>
        <v/>
      </c>
      <c r="N497" s="18">
        <f>I497*K497*M497</f>
        <v/>
      </c>
    </row>
    <row r="498" ht="19" customHeight="1" s="1">
      <c r="B498" s="16" t="n">
        <v>493</v>
      </c>
      <c r="C498" s="16" t="inlineStr">
        <is>
          <t>设备资产全生命周期数据治理与运行健康评估服务</t>
        </is>
      </c>
      <c r="D498" s="16" t="inlineStr">
        <is>
          <t>设备档案管理</t>
        </is>
      </c>
      <c r="E498" s="16" t="inlineStr">
        <is>
          <t>设备备件管理</t>
        </is>
      </c>
      <c r="F498" s="16" t="inlineStr">
        <is>
          <t>备件库存查询</t>
        </is>
      </c>
      <c r="G498" s="17" t="inlineStr">
        <is>
          <t xml:space="preserve"> 提供设备备件库存实时查询技术服务</t>
        </is>
      </c>
      <c r="H498" s="18" t="inlineStr">
        <is>
          <t>ILF</t>
        </is>
      </c>
      <c r="I498" s="18">
        <f>IF(H498="ILF",10,IF(H498="EIF",7,IF(H498="EI",4,IF(H498="EO",5,IF(H498="EQ",4,"")))))</f>
        <v/>
      </c>
      <c r="J498" s="18" t="inlineStr">
        <is>
          <t>中</t>
        </is>
      </c>
      <c r="K498" s="18">
        <f>IF(J498="高",0.33,IF(J498="中",0.67,IF(J498="低",1,"")))</f>
        <v/>
      </c>
      <c r="L498" s="18" t="inlineStr">
        <is>
          <t>新增</t>
        </is>
      </c>
      <c r="M498" s="18">
        <f>IF(L498="新增",1,IF(L498="修改",0.8,IF(L498="删除",0.2,"")))</f>
        <v/>
      </c>
      <c r="N498" s="18">
        <f>I498*K498*M498</f>
        <v/>
      </c>
    </row>
    <row r="499" ht="19" customHeight="1" s="1">
      <c r="B499" s="16" t="n">
        <v>494</v>
      </c>
      <c r="C499" s="16" t="inlineStr">
        <is>
          <t>设备资产全生命周期数据治理与运行健康评估服务</t>
        </is>
      </c>
      <c r="D499" s="16" t="inlineStr">
        <is>
          <t>健康管理服务</t>
        </is>
      </c>
      <c r="E499" s="16" t="inlineStr">
        <is>
          <t>设备评估管理</t>
        </is>
      </c>
      <c r="F499" s="16" t="inlineStr">
        <is>
          <t>综合状态评估</t>
        </is>
      </c>
      <c r="G499" s="17" t="inlineStr">
        <is>
          <t xml:space="preserve"> 提供设备综合运行状态评估报告服务</t>
        </is>
      </c>
      <c r="H499" s="18" t="inlineStr">
        <is>
          <t>EIF</t>
        </is>
      </c>
      <c r="I499" s="18">
        <f>IF(H499="ILF",10,IF(H499="EIF",7,IF(H499="EI",4,IF(H499="EO",5,IF(H499="EQ",4,"")))))</f>
        <v/>
      </c>
      <c r="J499" s="18" t="inlineStr">
        <is>
          <t>中</t>
        </is>
      </c>
      <c r="K499" s="18">
        <f>IF(J499="高",0.33,IF(J499="中",0.67,IF(J499="低",1,"")))</f>
        <v/>
      </c>
      <c r="L499" s="18" t="inlineStr">
        <is>
          <t>新增</t>
        </is>
      </c>
      <c r="M499" s="18">
        <f>IF(L499="新增",1,IF(L499="修改",0.8,IF(L499="删除",0.2,"")))</f>
        <v/>
      </c>
      <c r="N499" s="18">
        <f>I499*K499*M499</f>
        <v/>
      </c>
    </row>
    <row r="500" ht="19" customHeight="1" s="1">
      <c r="B500" s="16" t="n">
        <v>495</v>
      </c>
      <c r="C500" s="16" t="inlineStr">
        <is>
          <t>设备资产全生命周期数据治理与运行健康评估服务</t>
        </is>
      </c>
      <c r="D500" s="16" t="inlineStr">
        <is>
          <t>健康管理服务</t>
        </is>
      </c>
      <c r="E500" s="16" t="inlineStr">
        <is>
          <t>设备评估管理</t>
        </is>
      </c>
      <c r="F500" s="16" t="inlineStr">
        <is>
          <t>运维绩效报表</t>
        </is>
      </c>
      <c r="G500" s="17" t="inlineStr">
        <is>
          <t xml:space="preserve"> 提供设备运维绩效统计报表服务</t>
        </is>
      </c>
      <c r="H500" s="18" t="inlineStr">
        <is>
          <t>EI</t>
        </is>
      </c>
      <c r="I500" s="18">
        <f>IF(H500="ILF",10,IF(H500="EIF",7,IF(H500="EI",4,IF(H500="EO",5,IF(H500="EQ",4,"")))))</f>
        <v/>
      </c>
      <c r="J500" s="18" t="inlineStr">
        <is>
          <t>低</t>
        </is>
      </c>
      <c r="K500" s="18">
        <f>IF(J500="高",0.33,IF(J500="中",0.67,IF(J500="低",1,"")))</f>
        <v/>
      </c>
      <c r="L500" s="18" t="inlineStr">
        <is>
          <t>新增</t>
        </is>
      </c>
      <c r="M500" s="18">
        <f>IF(L500="新增",1,IF(L500="修改",0.8,IF(L500="删除",0.2,"")))</f>
        <v/>
      </c>
      <c r="N500" s="18">
        <f>I500*K500*M500</f>
        <v/>
      </c>
    </row>
    <row r="501" ht="19" customHeight="1" s="1">
      <c r="B501" s="16" t="n">
        <v>496</v>
      </c>
      <c r="C501" s="16" t="inlineStr">
        <is>
          <t>设备资产全生命周期数据治理与运行健康评估服务</t>
        </is>
      </c>
      <c r="D501" s="16" t="inlineStr">
        <is>
          <t>健康管理服务</t>
        </is>
      </c>
      <c r="E501" s="16" t="inlineStr">
        <is>
          <t>评分与预警</t>
        </is>
      </c>
      <c r="F501" s="16" t="inlineStr">
        <is>
          <t>预警阈值</t>
        </is>
      </c>
      <c r="G501" s="17" t="inlineStr">
        <is>
          <t xml:space="preserve"> 提供设备健康预警触发阈值配置服务</t>
        </is>
      </c>
      <c r="H501" s="18" t="inlineStr">
        <is>
          <t>EI</t>
        </is>
      </c>
      <c r="I501" s="18">
        <f>IF(H501="ILF",10,IF(H501="EIF",7,IF(H501="EI",4,IF(H501="EO",5,IF(H501="EQ",4,"")))))</f>
        <v/>
      </c>
      <c r="J501" s="18" t="inlineStr">
        <is>
          <t>低</t>
        </is>
      </c>
      <c r="K501" s="18">
        <f>IF(J501="高",0.33,IF(J501="中",0.67,IF(J501="低",1,"")))</f>
        <v/>
      </c>
      <c r="L501" s="18" t="inlineStr">
        <is>
          <t>新增</t>
        </is>
      </c>
      <c r="M501" s="18">
        <f>IF(L501="新增",1,IF(L501="修改",0.8,IF(L501="删除",0.2,"")))</f>
        <v/>
      </c>
      <c r="N501" s="18">
        <f>I501*K501*M501</f>
        <v/>
      </c>
    </row>
    <row r="502" ht="19" customHeight="1" s="1">
      <c r="B502" s="16" t="n">
        <v>497</v>
      </c>
      <c r="C502" s="16" t="inlineStr">
        <is>
          <t>设备资产全生命周期数据治理与运行健康评估服务</t>
        </is>
      </c>
      <c r="D502" s="16" t="inlineStr">
        <is>
          <t>健康管理服务</t>
        </is>
      </c>
      <c r="E502" s="16" t="inlineStr">
        <is>
          <t>评分与预警</t>
        </is>
      </c>
      <c r="F502" s="16" t="inlineStr">
        <is>
          <t>预警通知</t>
        </is>
      </c>
      <c r="G502" s="17" t="inlineStr">
        <is>
          <t xml:space="preserve"> 提供设备健康评分低于阈值通知推送服务</t>
        </is>
      </c>
      <c r="H502" s="18" t="inlineStr">
        <is>
          <t>EI</t>
        </is>
      </c>
      <c r="I502" s="18">
        <f>IF(H502="ILF",10,IF(H502="EIF",7,IF(H502="EI",4,IF(H502="EO",5,IF(H502="EQ",4,"")))))</f>
        <v/>
      </c>
      <c r="J502" s="18" t="inlineStr">
        <is>
          <t>低</t>
        </is>
      </c>
      <c r="K502" s="18">
        <f>IF(J502="高",0.33,IF(J502="中",0.67,IF(J502="低",1,"")))</f>
        <v/>
      </c>
      <c r="L502" s="18" t="inlineStr">
        <is>
          <t>新增</t>
        </is>
      </c>
      <c r="M502" s="18">
        <f>IF(L502="新增",1,IF(L502="修改",0.8,IF(L502="删除",0.2,"")))</f>
        <v/>
      </c>
      <c r="N502" s="18">
        <f>I502*K502*M502</f>
        <v/>
      </c>
    </row>
    <row r="503" ht="19" customHeight="1" s="1">
      <c r="B503" s="16" t="n">
        <v>498</v>
      </c>
      <c r="C503" s="16" t="inlineStr">
        <is>
          <t>设备资产全生命周期数据治理与运行健康评估服务</t>
        </is>
      </c>
      <c r="D503" s="16" t="inlineStr">
        <is>
          <t>健康管理服务</t>
        </is>
      </c>
      <c r="E503" s="16" t="inlineStr">
        <is>
          <t>评分与预警</t>
        </is>
      </c>
      <c r="F503" s="16" t="inlineStr">
        <is>
          <t>模型配置</t>
        </is>
      </c>
      <c r="G503" s="17" t="inlineStr">
        <is>
          <t xml:space="preserve"> 提供健康评分模型权重参数配置服务</t>
        </is>
      </c>
      <c r="H503" s="18" t="inlineStr">
        <is>
          <t>EI</t>
        </is>
      </c>
      <c r="I503" s="18">
        <f>IF(H503="ILF",10,IF(H503="EIF",7,IF(H503="EI",4,IF(H503="EO",5,IF(H503="EQ",4,"")))))</f>
        <v/>
      </c>
      <c r="J503" s="18" t="inlineStr">
        <is>
          <t>低</t>
        </is>
      </c>
      <c r="K503" s="18">
        <f>IF(J503="高",0.33,IF(J503="中",0.67,IF(J503="低",1,"")))</f>
        <v/>
      </c>
      <c r="L503" s="18" t="inlineStr">
        <is>
          <t>新增</t>
        </is>
      </c>
      <c r="M503" s="18">
        <f>IF(L503="新增",1,IF(L503="修改",0.8,IF(L503="删除",0.2,"")))</f>
        <v/>
      </c>
      <c r="N503" s="18">
        <f>I503*K503*M503</f>
        <v/>
      </c>
    </row>
    <row r="504" ht="19" customHeight="1" s="1">
      <c r="B504" s="16" t="n">
        <v>499</v>
      </c>
      <c r="C504" s="16" t="inlineStr">
        <is>
          <t>设备资产全生命周期数据治理与运行健康评估服务</t>
        </is>
      </c>
      <c r="D504" s="16" t="inlineStr">
        <is>
          <t>健康管理服务</t>
        </is>
      </c>
      <c r="E504" s="16" t="inlineStr">
        <is>
          <t>评分与预警</t>
        </is>
      </c>
      <c r="F504" s="16" t="inlineStr">
        <is>
          <t>健康报告</t>
        </is>
      </c>
      <c r="G504" s="17" t="inlineStr">
        <is>
          <t xml:space="preserve"> 提供设备健康状态报告自动生成服务</t>
        </is>
      </c>
      <c r="H504" s="18" t="inlineStr">
        <is>
          <t>EI</t>
        </is>
      </c>
      <c r="I504" s="18">
        <f>IF(H504="ILF",10,IF(H504="EIF",7,IF(H504="EI",4,IF(H504="EO",5,IF(H504="EQ",4,"")))))</f>
        <v/>
      </c>
      <c r="J504" s="18" t="inlineStr">
        <is>
          <t>低</t>
        </is>
      </c>
      <c r="K504" s="18">
        <f>IF(J504="高",0.33,IF(J504="中",0.67,IF(J504="低",1,"")))</f>
        <v/>
      </c>
      <c r="L504" s="18" t="inlineStr">
        <is>
          <t>新增</t>
        </is>
      </c>
      <c r="M504" s="18">
        <f>IF(L504="新增",1,IF(L504="修改",0.8,IF(L504="删除",0.2,"")))</f>
        <v/>
      </c>
      <c r="N504" s="18">
        <f>I504*K504*M504</f>
        <v/>
      </c>
    </row>
    <row r="505" ht="19" customHeight="1" s="1">
      <c r="B505" s="16" t="n">
        <v>500</v>
      </c>
      <c r="C505" s="16" t="inlineStr">
        <is>
          <t>设备资产全生命周期数据治理与运行健康评估服务</t>
        </is>
      </c>
      <c r="D505" s="16" t="inlineStr">
        <is>
          <t>健康管理服务</t>
        </is>
      </c>
      <c r="E505" s="16" t="inlineStr">
        <is>
          <t>评分与预警</t>
        </is>
      </c>
      <c r="F505" s="16" t="inlineStr">
        <is>
          <t>健康画像</t>
        </is>
      </c>
      <c r="G505" s="17" t="inlineStr">
        <is>
          <t xml:space="preserve"> 提供设备多维健康画像展示服务</t>
        </is>
      </c>
      <c r="H505" s="18" t="inlineStr">
        <is>
          <t>EI</t>
        </is>
      </c>
      <c r="I505" s="18">
        <f>IF(H505="ILF",10,IF(H505="EIF",7,IF(H505="EI",4,IF(H505="EO",5,IF(H505="EQ",4,"")))))</f>
        <v/>
      </c>
      <c r="J505" s="18" t="inlineStr">
        <is>
          <t>低</t>
        </is>
      </c>
      <c r="K505" s="18">
        <f>IF(J505="高",0.33,IF(J505="中",0.67,IF(J505="低",1,"")))</f>
        <v/>
      </c>
      <c r="L505" s="18" t="inlineStr">
        <is>
          <t>新增</t>
        </is>
      </c>
      <c r="M505" s="18">
        <f>IF(L505="新增",1,IF(L505="修改",0.8,IF(L505="删除",0.2,"")))</f>
        <v/>
      </c>
      <c r="N505" s="18">
        <f>I505*K505*M505</f>
        <v/>
      </c>
    </row>
    <row r="506" ht="19" customHeight="1" s="1">
      <c r="B506" s="16" t="n">
        <v>501</v>
      </c>
      <c r="C506" s="16" t="inlineStr">
        <is>
          <t>设备资产全生命周期数据治理与运行健康评估服务</t>
        </is>
      </c>
      <c r="D506" s="16" t="inlineStr">
        <is>
          <t>健康管理服务</t>
        </is>
      </c>
      <c r="E506" s="16" t="inlineStr">
        <is>
          <t>评分与预警</t>
        </is>
      </c>
      <c r="F506" s="16" t="inlineStr">
        <is>
          <t>效果评估</t>
        </is>
      </c>
      <c r="G506" s="17" t="inlineStr">
        <is>
          <t xml:space="preserve"> 提供设备故障预警准确性和及时性评估服务</t>
        </is>
      </c>
      <c r="H506" s="18" t="inlineStr">
        <is>
          <t>EI</t>
        </is>
      </c>
      <c r="I506" s="18">
        <f>IF(H506="ILF",10,IF(H506="EIF",7,IF(H506="EI",4,IF(H506="EO",5,IF(H506="EQ",4,"")))))</f>
        <v/>
      </c>
      <c r="J506" s="18" t="inlineStr">
        <is>
          <t>低</t>
        </is>
      </c>
      <c r="K506" s="18">
        <f>IF(J506="高",0.33,IF(J506="中",0.67,IF(J506="低",1,"")))</f>
        <v/>
      </c>
      <c r="L506" s="18" t="inlineStr">
        <is>
          <t>新增</t>
        </is>
      </c>
      <c r="M506" s="18">
        <f>IF(L506="新增",1,IF(L506="修改",0.8,IF(L506="删除",0.2,"")))</f>
        <v/>
      </c>
      <c r="N506" s="18">
        <f>I506*K506*M506</f>
        <v/>
      </c>
    </row>
    <row r="507" ht="19" customHeight="1" s="1">
      <c r="B507" s="16" t="n">
        <v>502</v>
      </c>
      <c r="C507" s="16" t="inlineStr">
        <is>
          <t>设备资产全生命周期数据治理与运行健康评估服务</t>
        </is>
      </c>
      <c r="D507" s="16" t="inlineStr">
        <is>
          <t>设备档案管理</t>
        </is>
      </c>
      <c r="E507" s="16" t="inlineStr">
        <is>
          <t>设备台账</t>
        </is>
      </c>
      <c r="F507" s="16" t="inlineStr">
        <is>
          <t>台账编制</t>
        </is>
      </c>
      <c r="G507" s="17" t="inlineStr">
        <is>
          <t xml:space="preserve"> 提供设备台账初始编制服务</t>
        </is>
      </c>
      <c r="H507" s="18" t="inlineStr">
        <is>
          <t>EI</t>
        </is>
      </c>
      <c r="I507" s="18">
        <f>IF(H507="ILF",10,IF(H507="EIF",7,IF(H507="EI",4,IF(H507="EO",5,IF(H507="EQ",4,"")))))</f>
        <v/>
      </c>
      <c r="J507" s="18" t="inlineStr">
        <is>
          <t>低</t>
        </is>
      </c>
      <c r="K507" s="18">
        <f>IF(J507="高",0.33,IF(J507="中",0.67,IF(J507="低",1,"")))</f>
        <v/>
      </c>
      <c r="L507" s="18" t="inlineStr">
        <is>
          <t>新增</t>
        </is>
      </c>
      <c r="M507" s="18">
        <f>IF(L507="新增",1,IF(L507="修改",0.8,IF(L507="删除",0.2,"")))</f>
        <v/>
      </c>
      <c r="N507" s="18">
        <f>I507*K507*M507</f>
        <v/>
      </c>
    </row>
    <row r="508" ht="19" customHeight="1" s="1">
      <c r="B508" s="16" t="n">
        <v>503</v>
      </c>
      <c r="C508" s="16" t="inlineStr">
        <is>
          <t>设备资产全生命周期数据治理与运行健康评估服务</t>
        </is>
      </c>
      <c r="D508" s="16" t="inlineStr">
        <is>
          <t>设备档案管理</t>
        </is>
      </c>
      <c r="E508" s="16" t="inlineStr">
        <is>
          <t>设备台账</t>
        </is>
      </c>
      <c r="F508" s="16" t="inlineStr">
        <is>
          <t>台账录入</t>
        </is>
      </c>
      <c r="G508" s="17" t="inlineStr">
        <is>
          <t xml:space="preserve"> 提供设备台账数据录入服务</t>
        </is>
      </c>
      <c r="H508" s="18" t="inlineStr">
        <is>
          <t>EI</t>
        </is>
      </c>
      <c r="I508" s="18">
        <f>IF(H508="ILF",10,IF(H508="EIF",7,IF(H508="EI",4,IF(H508="EO",5,IF(H508="EQ",4,"")))))</f>
        <v/>
      </c>
      <c r="J508" s="18" t="inlineStr">
        <is>
          <t>低</t>
        </is>
      </c>
      <c r="K508" s="18">
        <f>IF(J508="高",0.33,IF(J508="中",0.67,IF(J508="低",1,"")))</f>
        <v/>
      </c>
      <c r="L508" s="18" t="inlineStr">
        <is>
          <t>新增</t>
        </is>
      </c>
      <c r="M508" s="18">
        <f>IF(L508="新增",1,IF(L508="修改",0.8,IF(L508="删除",0.2,"")))</f>
        <v/>
      </c>
      <c r="N508" s="18">
        <f>I508*K508*M508</f>
        <v/>
      </c>
    </row>
    <row r="509" ht="19" customHeight="1" s="1">
      <c r="B509" s="16" t="n">
        <v>504</v>
      </c>
      <c r="C509" s="16" t="inlineStr">
        <is>
          <t>设备资产全生命周期数据治理与运行健康评估服务</t>
        </is>
      </c>
      <c r="D509" s="16" t="inlineStr">
        <is>
          <t>设备档案管理</t>
        </is>
      </c>
      <c r="E509" s="16" t="inlineStr">
        <is>
          <t>设备台账</t>
        </is>
      </c>
      <c r="F509" s="16" t="inlineStr">
        <is>
          <t>台账维护</t>
        </is>
      </c>
      <c r="G509" s="17" t="inlineStr">
        <is>
          <t xml:space="preserve"> 提供设备台账定期维护更新服务</t>
        </is>
      </c>
      <c r="H509" s="18" t="inlineStr">
        <is>
          <t>EI</t>
        </is>
      </c>
      <c r="I509" s="18">
        <f>IF(H509="ILF",10,IF(H509="EIF",7,IF(H509="EI",4,IF(H509="EO",5,IF(H509="EQ",4,"")))))</f>
        <v/>
      </c>
      <c r="J509" s="18" t="inlineStr">
        <is>
          <t>低</t>
        </is>
      </c>
      <c r="K509" s="18">
        <f>IF(J509="高",0.33,IF(J509="中",0.67,IF(J509="低",1,"")))</f>
        <v/>
      </c>
      <c r="L509" s="18" t="inlineStr">
        <is>
          <t>新增</t>
        </is>
      </c>
      <c r="M509" s="18">
        <f>IF(L509="新增",1,IF(L509="修改",0.8,IF(L509="删除",0.2,"")))</f>
        <v/>
      </c>
      <c r="N509" s="18">
        <f>I509*K509*M509</f>
        <v/>
      </c>
    </row>
    <row r="510" ht="19" customHeight="1" s="1">
      <c r="B510" s="16" t="n">
        <v>505</v>
      </c>
      <c r="C510" s="16" t="inlineStr">
        <is>
          <t>设备资产全生命周期数据治理与运行健康评估服务</t>
        </is>
      </c>
      <c r="D510" s="16" t="inlineStr">
        <is>
          <t>设备档案管理</t>
        </is>
      </c>
      <c r="E510" s="16" t="inlineStr">
        <is>
          <t>设备台账</t>
        </is>
      </c>
      <c r="F510" s="16" t="inlineStr">
        <is>
          <t>台账审核</t>
        </is>
      </c>
      <c r="G510" s="17" t="inlineStr">
        <is>
          <t xml:space="preserve"> 提供设备台账数据审核确认服务</t>
        </is>
      </c>
      <c r="H510" s="18" t="inlineStr">
        <is>
          <t>EI</t>
        </is>
      </c>
      <c r="I510" s="18">
        <f>IF(H510="ILF",10,IF(H510="EIF",7,IF(H510="EI",4,IF(H510="EO",5,IF(H510="EQ",4,"")))))</f>
        <v/>
      </c>
      <c r="J510" s="18" t="inlineStr">
        <is>
          <t>低</t>
        </is>
      </c>
      <c r="K510" s="18">
        <f>IF(J510="高",0.33,IF(J510="中",0.67,IF(J510="低",1,"")))</f>
        <v/>
      </c>
      <c r="L510" s="18" t="inlineStr">
        <is>
          <t>新增</t>
        </is>
      </c>
      <c r="M510" s="18">
        <f>IF(L510="新增",1,IF(L510="修改",0.8,IF(L510="删除",0.2,"")))</f>
        <v/>
      </c>
      <c r="N510" s="18">
        <f>I510*K510*M510</f>
        <v/>
      </c>
    </row>
    <row r="511" ht="19" customHeight="1" s="1">
      <c r="B511" s="16" t="n">
        <v>506</v>
      </c>
      <c r="C511" s="16" t="inlineStr">
        <is>
          <t>设备资产全生命周期数据治理与运行健康评估服务</t>
        </is>
      </c>
      <c r="D511" s="16" t="inlineStr">
        <is>
          <t>设备档案管理</t>
        </is>
      </c>
      <c r="E511" s="16" t="inlineStr">
        <is>
          <t>设备台账</t>
        </is>
      </c>
      <c r="F511" s="16" t="inlineStr">
        <is>
          <t>台账查询</t>
        </is>
      </c>
      <c r="G511" s="17" t="inlineStr">
        <is>
          <t xml:space="preserve"> 提供设备台账多维度查询服务</t>
        </is>
      </c>
      <c r="H511" s="18" t="inlineStr">
        <is>
          <t>EI</t>
        </is>
      </c>
      <c r="I511" s="18">
        <f>IF(H511="ILF",10,IF(H511="EIF",7,IF(H511="EI",4,IF(H511="EO",5,IF(H511="EQ",4,"")))))</f>
        <v/>
      </c>
      <c r="J511" s="18" t="inlineStr">
        <is>
          <t>低</t>
        </is>
      </c>
      <c r="K511" s="18">
        <f>IF(J511="高",0.33,IF(J511="中",0.67,IF(J511="低",1,"")))</f>
        <v/>
      </c>
      <c r="L511" s="18" t="inlineStr">
        <is>
          <t>新增</t>
        </is>
      </c>
      <c r="M511" s="18">
        <f>IF(L511="新增",1,IF(L511="修改",0.8,IF(L511="删除",0.2,"")))</f>
        <v/>
      </c>
      <c r="N511" s="18">
        <f>I511*K511*M511</f>
        <v/>
      </c>
    </row>
    <row r="512" ht="19" customHeight="1" s="1">
      <c r="B512" s="16" t="n">
        <v>507</v>
      </c>
      <c r="C512" s="16" t="inlineStr">
        <is>
          <t>设备资产全生命周期数据治理与运行健康评估服务</t>
        </is>
      </c>
      <c r="D512" s="16" t="inlineStr">
        <is>
          <t>设备档案管理</t>
        </is>
      </c>
      <c r="E512" s="16" t="inlineStr">
        <is>
          <t>设备台账</t>
        </is>
      </c>
      <c r="F512" s="16" t="inlineStr">
        <is>
          <t>台账统计</t>
        </is>
      </c>
      <c r="G512" s="17" t="inlineStr">
        <is>
          <t xml:space="preserve"> 提供设备台账分类汇总统计服务</t>
        </is>
      </c>
      <c r="H512" s="18" t="inlineStr">
        <is>
          <t>EI</t>
        </is>
      </c>
      <c r="I512" s="18">
        <f>IF(H512="ILF",10,IF(H512="EIF",7,IF(H512="EI",4,IF(H512="EO",5,IF(H512="EQ",4,"")))))</f>
        <v/>
      </c>
      <c r="J512" s="18" t="inlineStr">
        <is>
          <t>低</t>
        </is>
      </c>
      <c r="K512" s="18">
        <f>IF(J512="高",0.33,IF(J512="中",0.67,IF(J512="低",1,"")))</f>
        <v/>
      </c>
      <c r="L512" s="18" t="inlineStr">
        <is>
          <t>新增</t>
        </is>
      </c>
      <c r="M512" s="18">
        <f>IF(L512="新增",1,IF(L512="修改",0.8,IF(L512="删除",0.2,"")))</f>
        <v/>
      </c>
      <c r="N512" s="18">
        <f>I512*K512*M512</f>
        <v/>
      </c>
    </row>
    <row r="513" ht="19" customHeight="1" s="1">
      <c r="B513" s="16" t="n">
        <v>508</v>
      </c>
      <c r="C513" s="16" t="inlineStr">
        <is>
          <t>设备资产全生命周期数据治理与运行健康评估服务</t>
        </is>
      </c>
      <c r="D513" s="16" t="inlineStr">
        <is>
          <t>设备档案管理</t>
        </is>
      </c>
      <c r="E513" s="16" t="inlineStr">
        <is>
          <t>设备台账</t>
        </is>
      </c>
      <c r="F513" s="16" t="inlineStr">
        <is>
          <t>导出工具</t>
        </is>
      </c>
      <c r="G513" s="17" t="inlineStr">
        <is>
          <t xml:space="preserve"> 提供设备台账导出工具配置服务</t>
        </is>
      </c>
      <c r="H513" s="18" t="inlineStr">
        <is>
          <t>EI</t>
        </is>
      </c>
      <c r="I513" s="18">
        <f>IF(H513="ILF",10,IF(H513="EIF",7,IF(H513="EI",4,IF(H513="EO",5,IF(H513="EQ",4,"")))))</f>
        <v/>
      </c>
      <c r="J513" s="18" t="inlineStr">
        <is>
          <t>低</t>
        </is>
      </c>
      <c r="K513" s="18">
        <f>IF(J513="高",0.33,IF(J513="中",0.67,IF(J513="低",1,"")))</f>
        <v/>
      </c>
      <c r="L513" s="18" t="inlineStr">
        <is>
          <t>新增</t>
        </is>
      </c>
      <c r="M513" s="18">
        <f>IF(L513="新增",1,IF(L513="修改",0.8,IF(L513="删除",0.2,"")))</f>
        <v/>
      </c>
      <c r="N513" s="18">
        <f>I513*K513*M513</f>
        <v/>
      </c>
    </row>
    <row r="514" ht="19" customHeight="1" s="1">
      <c r="B514" s="16" t="n">
        <v>509</v>
      </c>
      <c r="C514" s="16" t="inlineStr">
        <is>
          <t>设备资产全生命周期数据治理与运行健康评估服务</t>
        </is>
      </c>
      <c r="D514" s="16" t="inlineStr">
        <is>
          <t>数据关联服务</t>
        </is>
      </c>
      <c r="E514" s="16" t="inlineStr">
        <is>
          <t>服务记录</t>
        </is>
      </c>
      <c r="F514" s="16" t="inlineStr">
        <is>
          <t>服务工单</t>
        </is>
      </c>
      <c r="G514" s="17" t="inlineStr">
        <is>
          <t xml:space="preserve"> 提供设备服务工单创建服务</t>
        </is>
      </c>
      <c r="H514" s="18" t="inlineStr">
        <is>
          <t>EI</t>
        </is>
      </c>
      <c r="I514" s="18">
        <f>IF(H514="ILF",10,IF(H514="EIF",7,IF(H514="EI",4,IF(H514="EO",5,IF(H514="EQ",4,"")))))</f>
        <v/>
      </c>
      <c r="J514" s="18" t="inlineStr">
        <is>
          <t>低</t>
        </is>
      </c>
      <c r="K514" s="18">
        <f>IF(J514="高",0.33,IF(J514="中",0.67,IF(J514="低",1,"")))</f>
        <v/>
      </c>
      <c r="L514" s="18" t="inlineStr">
        <is>
          <t>新增</t>
        </is>
      </c>
      <c r="M514" s="18">
        <f>IF(L514="新增",1,IF(L514="修改",0.8,IF(L514="删除",0.2,"")))</f>
        <v/>
      </c>
      <c r="N514" s="18">
        <f>I514*K514*M514</f>
        <v/>
      </c>
    </row>
    <row r="515" ht="19" customHeight="1" s="1">
      <c r="B515" s="16" t="n">
        <v>510</v>
      </c>
      <c r="C515" s="16" t="inlineStr">
        <is>
          <t>设备资产全生命周期数据治理与运行健康评估服务</t>
        </is>
      </c>
      <c r="D515" s="16" t="inlineStr">
        <is>
          <t>数据关联服务</t>
        </is>
      </c>
      <c r="E515" s="16" t="inlineStr">
        <is>
          <t>服务记录</t>
        </is>
      </c>
      <c r="F515" s="16" t="inlineStr">
        <is>
          <t>服务记录</t>
        </is>
      </c>
      <c r="G515" s="17" t="inlineStr">
        <is>
          <t xml:space="preserve"> 提供设备服务历史记录管理服务</t>
        </is>
      </c>
      <c r="H515" s="18" t="inlineStr">
        <is>
          <t>EI</t>
        </is>
      </c>
      <c r="I515" s="18">
        <f>IF(H515="ILF",10,IF(H515="EIF",7,IF(H515="EI",4,IF(H515="EO",5,IF(H515="EQ",4,"")))))</f>
        <v/>
      </c>
      <c r="J515" s="18" t="inlineStr">
        <is>
          <t>低</t>
        </is>
      </c>
      <c r="K515" s="18">
        <f>IF(J515="高",0.33,IF(J515="中",0.67,IF(J515="低",1,"")))</f>
        <v/>
      </c>
      <c r="L515" s="18" t="inlineStr">
        <is>
          <t>新增</t>
        </is>
      </c>
      <c r="M515" s="18">
        <f>IF(L515="新增",1,IF(L515="修改",0.8,IF(L515="删除",0.2,"")))</f>
        <v/>
      </c>
      <c r="N515" s="18">
        <f>I515*K515*M515</f>
        <v/>
      </c>
    </row>
    <row r="516" ht="19" customHeight="1" s="1">
      <c r="B516" s="16" t="n">
        <v>511</v>
      </c>
      <c r="C516" s="16" t="inlineStr">
        <is>
          <t>设备资产全生命周期数据治理与运行健康评估服务</t>
        </is>
      </c>
      <c r="D516" s="16" t="inlineStr">
        <is>
          <t>设备档案管理</t>
        </is>
      </c>
      <c r="E516" s="16" t="inlineStr">
        <is>
          <t>设备变更</t>
        </is>
      </c>
      <c r="F516" s="16" t="inlineStr">
        <is>
          <t>变更执行</t>
        </is>
      </c>
      <c r="G516" s="17" t="inlineStr">
        <is>
          <t xml:space="preserve"> 提供设备档案变更执行服务</t>
        </is>
      </c>
      <c r="H516" s="18" t="inlineStr">
        <is>
          <t>EI</t>
        </is>
      </c>
      <c r="I516" s="18">
        <f>IF(H516="ILF",10,IF(H516="EIF",7,IF(H516="EI",4,IF(H516="EO",5,IF(H516="EQ",4,"")))))</f>
        <v/>
      </c>
      <c r="J516" s="18" t="inlineStr">
        <is>
          <t>低</t>
        </is>
      </c>
      <c r="K516" s="18">
        <f>IF(J516="高",0.33,IF(J516="中",0.67,IF(J516="低",1,"")))</f>
        <v/>
      </c>
      <c r="L516" s="18" t="inlineStr">
        <is>
          <t>新增</t>
        </is>
      </c>
      <c r="M516" s="18">
        <f>IF(L516="新增",1,IF(L516="修改",0.8,IF(L516="删除",0.2,"")))</f>
        <v/>
      </c>
      <c r="N516" s="18">
        <f>I516*K516*M516</f>
        <v/>
      </c>
    </row>
    <row r="517" ht="19" customHeight="1" s="1">
      <c r="B517" s="16" t="n">
        <v>512</v>
      </c>
      <c r="C517" s="16" t="inlineStr">
        <is>
          <t>设备资产全生命周期数据治理与运行健康评估服务</t>
        </is>
      </c>
      <c r="D517" s="16" t="inlineStr">
        <is>
          <t>健康管理服务</t>
        </is>
      </c>
      <c r="E517" s="16" t="inlineStr">
        <is>
          <t>设备状态监测</t>
        </is>
      </c>
      <c r="F517" s="16" t="inlineStr">
        <is>
          <t>设备KPI编制</t>
        </is>
      </c>
      <c r="G517" s="17" t="inlineStr">
        <is>
          <t xml:space="preserve"> 提供设备关键绩效指标KPI编制服务</t>
        </is>
      </c>
      <c r="H517" s="18" t="inlineStr">
        <is>
          <t>EI</t>
        </is>
      </c>
      <c r="I517" s="18">
        <f>IF(H517="ILF",10,IF(H517="EIF",7,IF(H517="EI",4,IF(H517="EO",5,IF(H517="EQ",4,"")))))</f>
        <v/>
      </c>
      <c r="J517" s="18" t="inlineStr">
        <is>
          <t>低</t>
        </is>
      </c>
      <c r="K517" s="18">
        <f>IF(J517="高",0.33,IF(J517="中",0.67,IF(J517="低",1,"")))</f>
        <v/>
      </c>
      <c r="L517" s="18" t="inlineStr">
        <is>
          <t>新增</t>
        </is>
      </c>
      <c r="M517" s="18">
        <f>IF(L517="新增",1,IF(L517="修改",0.8,IF(L517="删除",0.2,"")))</f>
        <v/>
      </c>
      <c r="N517" s="18">
        <f>I517*K517*M517</f>
        <v/>
      </c>
    </row>
    <row r="518" ht="19" customHeight="1" s="1">
      <c r="B518" s="16" t="n">
        <v>513</v>
      </c>
      <c r="C518" s="16" t="inlineStr">
        <is>
          <t>设备资产全生命周期数据治理与运行健康评估服务</t>
        </is>
      </c>
      <c r="D518" s="16" t="inlineStr">
        <is>
          <t>健康管理服务</t>
        </is>
      </c>
      <c r="E518" s="16" t="inlineStr">
        <is>
          <t>设备状态监测</t>
        </is>
      </c>
      <c r="F518" s="16" t="inlineStr">
        <is>
          <t>设备KPI监控</t>
        </is>
      </c>
      <c r="G518" s="17" t="inlineStr">
        <is>
          <t xml:space="preserve"> 提供设备KPI实时监控服务</t>
        </is>
      </c>
      <c r="H518" s="18" t="inlineStr">
        <is>
          <t>EI</t>
        </is>
      </c>
      <c r="I518" s="18">
        <f>IF(H518="ILF",10,IF(H518="EIF",7,IF(H518="EI",4,IF(H518="EO",5,IF(H518="EQ",4,"")))))</f>
        <v/>
      </c>
      <c r="J518" s="18" t="inlineStr">
        <is>
          <t>低</t>
        </is>
      </c>
      <c r="K518" s="18">
        <f>IF(J518="高",0.33,IF(J518="中",0.67,IF(J518="低",1,"")))</f>
        <v/>
      </c>
      <c r="L518" s="18" t="inlineStr">
        <is>
          <t>新增</t>
        </is>
      </c>
      <c r="M518" s="18">
        <f>IF(L518="新增",1,IF(L518="修改",0.8,IF(L518="删除",0.2,"")))</f>
        <v/>
      </c>
      <c r="N518" s="18">
        <f>I518*K518*M518</f>
        <v/>
      </c>
    </row>
    <row r="519" ht="19" customHeight="1" s="1">
      <c r="B519" s="16" t="n">
        <v>514</v>
      </c>
      <c r="C519" s="16" t="inlineStr">
        <is>
          <t>设备资产全生命周期数据治理与运行健康评估服务</t>
        </is>
      </c>
      <c r="D519" s="16" t="inlineStr">
        <is>
          <t>健康管理服务</t>
        </is>
      </c>
      <c r="E519" s="16" t="inlineStr">
        <is>
          <t>设备状态监测</t>
        </is>
      </c>
      <c r="F519" s="16" t="inlineStr">
        <is>
          <t>设备KPI报表</t>
        </is>
      </c>
      <c r="G519" s="17" t="inlineStr">
        <is>
          <t xml:space="preserve"> 提供设备KPI统计报表生成服务</t>
        </is>
      </c>
      <c r="H519" s="18" t="inlineStr">
        <is>
          <t>EI</t>
        </is>
      </c>
      <c r="I519" s="18">
        <f>IF(H519="ILF",10,IF(H519="EIF",7,IF(H519="EI",4,IF(H519="EO",5,IF(H519="EQ",4,"")))))</f>
        <v/>
      </c>
      <c r="J519" s="18" t="inlineStr">
        <is>
          <t>低</t>
        </is>
      </c>
      <c r="K519" s="18">
        <f>IF(J519="高",0.33,IF(J519="中",0.67,IF(J519="低",1,"")))</f>
        <v/>
      </c>
      <c r="L519" s="18" t="inlineStr">
        <is>
          <t>新增</t>
        </is>
      </c>
      <c r="M519" s="18">
        <f>IF(L519="新增",1,IF(L519="修改",0.8,IF(L519="删除",0.2,"")))</f>
        <v/>
      </c>
      <c r="N519" s="18">
        <f>I519*K519*M519</f>
        <v/>
      </c>
    </row>
    <row r="520" ht="19" customHeight="1" s="1">
      <c r="B520" s="16" t="n">
        <v>515</v>
      </c>
      <c r="C520" s="16" t="inlineStr">
        <is>
          <t>设备资产全生命周期数据治理与运行健康评估服务</t>
        </is>
      </c>
      <c r="D520" s="16" t="inlineStr">
        <is>
          <t>健康管理服务</t>
        </is>
      </c>
      <c r="E520" s="16" t="inlineStr">
        <is>
          <t>设备状态监测</t>
        </is>
      </c>
      <c r="F520" s="16" t="inlineStr">
        <is>
          <t>设备排放监测</t>
        </is>
      </c>
      <c r="G520" s="17" t="inlineStr">
        <is>
          <t xml:space="preserve"> 提供设备环保排放监测服务</t>
        </is>
      </c>
      <c r="H520" s="18" t="inlineStr">
        <is>
          <t>EI</t>
        </is>
      </c>
      <c r="I520" s="18">
        <f>IF(H520="ILF",10,IF(H520="EIF",7,IF(H520="EI",4,IF(H520="EO",5,IF(H520="EQ",4,"")))))</f>
        <v/>
      </c>
      <c r="J520" s="18" t="inlineStr">
        <is>
          <t>低</t>
        </is>
      </c>
      <c r="K520" s="18">
        <f>IF(J520="高",0.33,IF(J520="中",0.67,IF(J520="低",1,"")))</f>
        <v/>
      </c>
      <c r="L520" s="18" t="inlineStr">
        <is>
          <t>新增</t>
        </is>
      </c>
      <c r="M520" s="18">
        <f>IF(L520="新增",1,IF(L520="修改",0.8,IF(L520="删除",0.2,"")))</f>
        <v/>
      </c>
      <c r="N520" s="18">
        <f>I520*K520*M520</f>
        <v/>
      </c>
    </row>
    <row r="521" ht="19" customHeight="1" s="1">
      <c r="B521" s="16" t="n">
        <v>516</v>
      </c>
      <c r="C521" s="16" t="inlineStr">
        <is>
          <t>设备资产全生命周期数据治理与运行健康评估服务</t>
        </is>
      </c>
      <c r="D521" s="16" t="inlineStr">
        <is>
          <t>健康管理服务</t>
        </is>
      </c>
      <c r="E521" s="16" t="inlineStr">
        <is>
          <t>设备状态监测</t>
        </is>
      </c>
      <c r="F521" s="16" t="inlineStr">
        <is>
          <t>设备校准管理</t>
        </is>
      </c>
      <c r="G521" s="17" t="inlineStr">
        <is>
          <t xml:space="preserve"> 提供设备校准周期和记录管理服务</t>
        </is>
      </c>
      <c r="H521" s="18" t="inlineStr">
        <is>
          <t>EI</t>
        </is>
      </c>
      <c r="I521" s="18">
        <f>IF(H521="ILF",10,IF(H521="EIF",7,IF(H521="EI",4,IF(H521="EO",5,IF(H521="EQ",4,"")))))</f>
        <v/>
      </c>
      <c r="J521" s="18" t="inlineStr">
        <is>
          <t>低</t>
        </is>
      </c>
      <c r="K521" s="18">
        <f>IF(J521="高",0.33,IF(J521="中",0.67,IF(J521="低",1,"")))</f>
        <v/>
      </c>
      <c r="L521" s="18" t="inlineStr">
        <is>
          <t>新增</t>
        </is>
      </c>
      <c r="M521" s="18">
        <f>IF(L521="新增",1,IF(L521="修改",0.8,IF(L521="删除",0.2,"")))</f>
        <v/>
      </c>
      <c r="N521" s="18">
        <f>I521*K521*M521</f>
        <v/>
      </c>
    </row>
    <row r="522" ht="19" customHeight="1" s="1">
      <c r="B522" s="16" t="n">
        <v>517</v>
      </c>
      <c r="C522" s="16" t="inlineStr">
        <is>
          <t>设备资产全生命周期数据治理与运行健康评估服务</t>
        </is>
      </c>
      <c r="D522" s="16" t="inlineStr">
        <is>
          <t>健康管理服务</t>
        </is>
      </c>
      <c r="E522" s="16" t="inlineStr">
        <is>
          <t>设备状态监测</t>
        </is>
      </c>
      <c r="F522" s="16" t="inlineStr">
        <is>
          <t>设备检定管理</t>
        </is>
      </c>
      <c r="G522" s="17" t="inlineStr">
        <is>
          <t xml:space="preserve"> 提供设备计量检定管理服务</t>
        </is>
      </c>
      <c r="H522" s="18" t="inlineStr">
        <is>
          <t>EI</t>
        </is>
      </c>
      <c r="I522" s="18">
        <f>IF(H522="ILF",10,IF(H522="EIF",7,IF(H522="EI",4,IF(H522="EO",5,IF(H522="EQ",4,"")))))</f>
        <v/>
      </c>
      <c r="J522" s="18" t="inlineStr">
        <is>
          <t>低</t>
        </is>
      </c>
      <c r="K522" s="18">
        <f>IF(J522="高",0.33,IF(J522="中",0.67,IF(J522="低",1,"")))</f>
        <v/>
      </c>
      <c r="L522" s="18" t="inlineStr">
        <is>
          <t>新增</t>
        </is>
      </c>
      <c r="M522" s="18">
        <f>IF(L522="新增",1,IF(L522="修改",0.8,IF(L522="删除",0.2,"")))</f>
        <v/>
      </c>
      <c r="N522" s="18">
        <f>I522*K522*M522</f>
        <v/>
      </c>
    </row>
    <row r="523" ht="19" customHeight="1" s="1">
      <c r="B523" s="16" t="n">
        <v>518</v>
      </c>
      <c r="C523" s="16" t="inlineStr">
        <is>
          <t>设备资产全生命周期数据治理与运行健康评估服务</t>
        </is>
      </c>
      <c r="D523" s="16" t="inlineStr">
        <is>
          <t>健康管理服务</t>
        </is>
      </c>
      <c r="E523" s="16" t="inlineStr">
        <is>
          <t>设备状态监测</t>
        </is>
      </c>
      <c r="F523" s="16" t="inlineStr">
        <is>
          <t>设备巡检管理</t>
        </is>
      </c>
      <c r="G523" s="17" t="inlineStr">
        <is>
          <t xml:space="preserve"> 提供设备巡检任务和记录管理服务</t>
        </is>
      </c>
      <c r="H523" s="18" t="inlineStr">
        <is>
          <t>EI</t>
        </is>
      </c>
      <c r="I523" s="18">
        <f>IF(H523="ILF",10,IF(H523="EIF",7,IF(H523="EI",4,IF(H523="EO",5,IF(H523="EQ",4,"")))))</f>
        <v/>
      </c>
      <c r="J523" s="18" t="inlineStr">
        <is>
          <t>低</t>
        </is>
      </c>
      <c r="K523" s="18">
        <f>IF(J523="高",0.33,IF(J523="中",0.67,IF(J523="低",1,"")))</f>
        <v/>
      </c>
      <c r="L523" s="18" t="inlineStr">
        <is>
          <t>新增</t>
        </is>
      </c>
      <c r="M523" s="18">
        <f>IF(L523="新增",1,IF(L523="修改",0.8,IF(L523="删除",0.2,"")))</f>
        <v/>
      </c>
      <c r="N523" s="18">
        <f>I523*K523*M523</f>
        <v/>
      </c>
    </row>
    <row r="524" ht="19" customHeight="1" s="1">
      <c r="B524" s="16" t="n">
        <v>519</v>
      </c>
      <c r="C524" s="16" t="inlineStr">
        <is>
          <t>设备资产全生命周期数据治理与运行健康评估服务</t>
        </is>
      </c>
      <c r="D524" s="16" t="inlineStr">
        <is>
          <t>健康管理服务</t>
        </is>
      </c>
      <c r="E524" s="16" t="inlineStr">
        <is>
          <t>设备状态监测</t>
        </is>
      </c>
      <c r="F524" s="16" t="inlineStr">
        <is>
          <t>设备点检管理</t>
        </is>
      </c>
      <c r="G524" s="17" t="inlineStr">
        <is>
          <t xml:space="preserve"> 提供设备点检标准和记录管理服务</t>
        </is>
      </c>
      <c r="H524" s="18" t="inlineStr">
        <is>
          <t>EI</t>
        </is>
      </c>
      <c r="I524" s="18">
        <f>IF(H524="ILF",10,IF(H524="EIF",7,IF(H524="EI",4,IF(H524="EO",5,IF(H524="EQ",4,"")))))</f>
        <v/>
      </c>
      <c r="J524" s="18" t="inlineStr">
        <is>
          <t>低</t>
        </is>
      </c>
      <c r="K524" s="18">
        <f>IF(J524="高",0.33,IF(J524="中",0.67,IF(J524="低",1,"")))</f>
        <v/>
      </c>
      <c r="L524" s="18" t="inlineStr">
        <is>
          <t>新增</t>
        </is>
      </c>
      <c r="M524" s="18">
        <f>IF(L524="新增",1,IF(L524="修改",0.8,IF(L524="删除",0.2,"")))</f>
        <v/>
      </c>
      <c r="N524" s="18">
        <f>I524*K524*M524</f>
        <v/>
      </c>
    </row>
    <row r="525" ht="19" customHeight="1" s="1">
      <c r="B525" s="16" t="n">
        <v>520</v>
      </c>
      <c r="C525" s="16" t="inlineStr">
        <is>
          <t>设备资产全生命周期数据治理与运行健康评估服务</t>
        </is>
      </c>
      <c r="D525" s="16" t="inlineStr">
        <is>
          <t>健康管理服务</t>
        </is>
      </c>
      <c r="E525" s="16" t="inlineStr">
        <is>
          <t>设备状态监测</t>
        </is>
      </c>
      <c r="F525" s="16" t="inlineStr">
        <is>
          <t>设备保养管理</t>
        </is>
      </c>
      <c r="G525" s="17" t="inlineStr">
        <is>
          <t xml:space="preserve"> 提供设备保养计划执行管理服务</t>
        </is>
      </c>
      <c r="H525" s="18" t="inlineStr">
        <is>
          <t>EI</t>
        </is>
      </c>
      <c r="I525" s="18">
        <f>IF(H525="ILF",10,IF(H525="EIF",7,IF(H525="EI",4,IF(H525="EO",5,IF(H525="EQ",4,"")))))</f>
        <v/>
      </c>
      <c r="J525" s="18" t="inlineStr">
        <is>
          <t>低</t>
        </is>
      </c>
      <c r="K525" s="18">
        <f>IF(J525="高",0.33,IF(J525="中",0.67,IF(J525="低",1,"")))</f>
        <v/>
      </c>
      <c r="L525" s="18" t="inlineStr">
        <is>
          <t>新增</t>
        </is>
      </c>
      <c r="M525" s="18">
        <f>IF(L525="新增",1,IF(L525="修改",0.8,IF(L525="删除",0.2,"")))</f>
        <v/>
      </c>
      <c r="N525" s="18">
        <f>I525*K525*M525</f>
        <v/>
      </c>
    </row>
    <row r="526" ht="19" customHeight="1" s="1">
      <c r="B526" s="16" t="n">
        <v>521</v>
      </c>
      <c r="C526" s="16" t="inlineStr">
        <is>
          <t>设备资产全生命周期数据治理与运行健康评估服务</t>
        </is>
      </c>
      <c r="D526" s="16" t="inlineStr">
        <is>
          <t>设备档案管理</t>
        </is>
      </c>
      <c r="E526" s="16" t="inlineStr">
        <is>
          <t>设备巡检管理</t>
        </is>
      </c>
      <c r="F526" s="16" t="inlineStr">
        <is>
          <t>巡检计划配置</t>
        </is>
      </c>
      <c r="G526" s="17" t="inlineStr">
        <is>
          <t xml:space="preserve"> 提供设备巡检计划编制和配置技术服务</t>
        </is>
      </c>
      <c r="H526" s="18" t="inlineStr">
        <is>
          <t>EI</t>
        </is>
      </c>
      <c r="I526" s="18">
        <f>IF(H526="ILF",10,IF(H526="EIF",7,IF(H526="EI",4,IF(H526="EO",5,IF(H526="EQ",4,"")))))</f>
        <v/>
      </c>
      <c r="J526" s="18" t="inlineStr">
        <is>
          <t>低</t>
        </is>
      </c>
      <c r="K526" s="18">
        <f>IF(J526="高",0.33,IF(J526="中",0.67,IF(J526="低",1,"")))</f>
        <v/>
      </c>
      <c r="L526" s="18" t="inlineStr">
        <is>
          <t>新增</t>
        </is>
      </c>
      <c r="M526" s="18">
        <f>IF(L526="新增",1,IF(L526="修改",0.8,IF(L526="删除",0.2,"")))</f>
        <v/>
      </c>
      <c r="N526" s="18">
        <f>I526*K526*M526</f>
        <v/>
      </c>
    </row>
    <row r="527" ht="19" customHeight="1" s="1">
      <c r="B527" s="16" t="n">
        <v>522</v>
      </c>
      <c r="C527" s="16" t="inlineStr">
        <is>
          <t>设备资产全生命周期数据治理与运行健康评估服务</t>
        </is>
      </c>
      <c r="D527" s="16" t="inlineStr">
        <is>
          <t>设备档案管理</t>
        </is>
      </c>
      <c r="E527" s="16" t="inlineStr">
        <is>
          <t>设备巡检管理</t>
        </is>
      </c>
      <c r="F527" s="16" t="inlineStr">
        <is>
          <t>巡检路线配置</t>
        </is>
      </c>
      <c r="G527" s="17" t="inlineStr">
        <is>
          <t xml:space="preserve"> 提供设备巡检路线和点位配置技术服务</t>
        </is>
      </c>
      <c r="H527" s="18" t="inlineStr">
        <is>
          <t>EI</t>
        </is>
      </c>
      <c r="I527" s="18">
        <f>IF(H527="ILF",10,IF(H527="EIF",7,IF(H527="EI",4,IF(H527="EO",5,IF(H527="EQ",4,"")))))</f>
        <v/>
      </c>
      <c r="J527" s="18" t="inlineStr">
        <is>
          <t>低</t>
        </is>
      </c>
      <c r="K527" s="18">
        <f>IF(J527="高",0.33,IF(J527="中",0.67,IF(J527="低",1,"")))</f>
        <v/>
      </c>
      <c r="L527" s="18" t="inlineStr">
        <is>
          <t>新增</t>
        </is>
      </c>
      <c r="M527" s="18">
        <f>IF(L527="新增",1,IF(L527="修改",0.8,IF(L527="删除",0.2,"")))</f>
        <v/>
      </c>
      <c r="N527" s="18">
        <f>I527*K527*M527</f>
        <v/>
      </c>
    </row>
    <row r="528" ht="19" customHeight="1" s="1">
      <c r="B528" s="16" t="n">
        <v>523</v>
      </c>
      <c r="C528" s="16" t="inlineStr">
        <is>
          <t>设备资产全生命周期数据治理与运行健康评估服务</t>
        </is>
      </c>
      <c r="D528" s="16" t="inlineStr">
        <is>
          <t>设备档案管理</t>
        </is>
      </c>
      <c r="E528" s="16" t="inlineStr">
        <is>
          <t>设备巡检管理</t>
        </is>
      </c>
      <c r="F528" s="16" t="inlineStr">
        <is>
          <t>巡检标准配置</t>
        </is>
      </c>
      <c r="G528" s="17" t="inlineStr">
        <is>
          <t xml:space="preserve"> 提供设备巡检标准参数配置技术服务</t>
        </is>
      </c>
      <c r="H528" s="18" t="inlineStr">
        <is>
          <t>EI</t>
        </is>
      </c>
      <c r="I528" s="18">
        <f>IF(H528="ILF",10,IF(H528="EIF",7,IF(H528="EI",4,IF(H528="EO",5,IF(H528="EQ",4,"")))))</f>
        <v/>
      </c>
      <c r="J528" s="18" t="inlineStr">
        <is>
          <t>低</t>
        </is>
      </c>
      <c r="K528" s="18">
        <f>IF(J528="高",0.33,IF(J528="中",0.67,IF(J528="低",1,"")))</f>
        <v/>
      </c>
      <c r="L528" s="18" t="inlineStr">
        <is>
          <t>新增</t>
        </is>
      </c>
      <c r="M528" s="18">
        <f>IF(L528="新增",1,IF(L528="修改",0.8,IF(L528="删除",0.2,"")))</f>
        <v/>
      </c>
      <c r="N528" s="18">
        <f>I528*K528*M528</f>
        <v/>
      </c>
    </row>
    <row r="529" ht="19" customHeight="1" s="1">
      <c r="B529" s="16" t="n">
        <v>524</v>
      </c>
      <c r="C529" s="16" t="inlineStr">
        <is>
          <t>设备资产全生命周期数据治理与运行健康评估服务</t>
        </is>
      </c>
      <c r="D529" s="16" t="inlineStr">
        <is>
          <t>设备档案管理</t>
        </is>
      </c>
      <c r="E529" s="16" t="inlineStr">
        <is>
          <t>设备保养管理</t>
        </is>
      </c>
      <c r="F529" s="16" t="inlineStr">
        <is>
          <t>保养计划配置</t>
        </is>
      </c>
      <c r="G529" s="17" t="inlineStr">
        <is>
          <t xml:space="preserve"> 提供设备保养计划编制配置技术服务</t>
        </is>
      </c>
      <c r="H529" s="18" t="inlineStr">
        <is>
          <t>EI</t>
        </is>
      </c>
      <c r="I529" s="18">
        <f>IF(H529="ILF",10,IF(H529="EIF",7,IF(H529="EI",4,IF(H529="EO",5,IF(H529="EQ",4,"")))))</f>
        <v/>
      </c>
      <c r="J529" s="18" t="inlineStr">
        <is>
          <t>低</t>
        </is>
      </c>
      <c r="K529" s="18">
        <f>IF(J529="高",0.33,IF(J529="中",0.67,IF(J529="低",1,"")))</f>
        <v/>
      </c>
      <c r="L529" s="18" t="inlineStr">
        <is>
          <t>新增</t>
        </is>
      </c>
      <c r="M529" s="18">
        <f>IF(L529="新增",1,IF(L529="修改",0.8,IF(L529="删除",0.2,"")))</f>
        <v/>
      </c>
      <c r="N529" s="18">
        <f>I529*K529*M529</f>
        <v/>
      </c>
    </row>
    <row r="530" ht="19" customHeight="1" s="1">
      <c r="B530" s="16" t="n">
        <v>525</v>
      </c>
      <c r="C530" s="16" t="inlineStr">
        <is>
          <t>设备资产全生命周期数据治理与运行健康评估服务</t>
        </is>
      </c>
      <c r="D530" s="16" t="inlineStr">
        <is>
          <t>设备档案管理</t>
        </is>
      </c>
      <c r="E530" s="16" t="inlineStr">
        <is>
          <t>设备保养管理</t>
        </is>
      </c>
      <c r="F530" s="16" t="inlineStr">
        <is>
          <t>保养标准配置</t>
        </is>
      </c>
      <c r="G530" s="17" t="inlineStr">
        <is>
          <t xml:space="preserve"> 提供设备保养标准参数配置技术服务</t>
        </is>
      </c>
      <c r="H530" s="18" t="inlineStr">
        <is>
          <t>EI</t>
        </is>
      </c>
      <c r="I530" s="18">
        <f>IF(H530="ILF",10,IF(H530="EIF",7,IF(H530="EI",4,IF(H530="EO",5,IF(H530="EQ",4,"")))))</f>
        <v/>
      </c>
      <c r="J530" s="18" t="inlineStr">
        <is>
          <t>低</t>
        </is>
      </c>
      <c r="K530" s="18">
        <f>IF(J530="高",0.33,IF(J530="中",0.67,IF(J530="低",1,"")))</f>
        <v/>
      </c>
      <c r="L530" s="18" t="inlineStr">
        <is>
          <t>新增</t>
        </is>
      </c>
      <c r="M530" s="18">
        <f>IF(L530="新增",1,IF(L530="修改",0.8,IF(L530="删除",0.2,"")))</f>
        <v/>
      </c>
      <c r="N530" s="18">
        <f>I530*K530*M530</f>
        <v/>
      </c>
    </row>
    <row r="531" ht="19" customHeight="1" s="1">
      <c r="B531" s="16" t="n">
        <v>526</v>
      </c>
      <c r="C531" s="16" t="inlineStr">
        <is>
          <t>设备资产全生命周期数据治理与运行健康评估服务</t>
        </is>
      </c>
      <c r="D531" s="16" t="inlineStr">
        <is>
          <t>设备档案管理</t>
        </is>
      </c>
      <c r="E531" s="16" t="inlineStr">
        <is>
          <t>设备校准管理</t>
        </is>
      </c>
      <c r="F531" s="16" t="inlineStr">
        <is>
          <t>校准周期配置</t>
        </is>
      </c>
      <c r="G531" s="17" t="inlineStr">
        <is>
          <t xml:space="preserve"> 提供设备校准周期参数配置技术服务</t>
        </is>
      </c>
      <c r="H531" s="18" t="inlineStr">
        <is>
          <t>EI</t>
        </is>
      </c>
      <c r="I531" s="18">
        <f>IF(H531="ILF",10,IF(H531="EIF",7,IF(H531="EI",4,IF(H531="EO",5,IF(H531="EQ",4,"")))))</f>
        <v/>
      </c>
      <c r="J531" s="18" t="inlineStr">
        <is>
          <t>低</t>
        </is>
      </c>
      <c r="K531" s="18">
        <f>IF(J531="高",0.33,IF(J531="中",0.67,IF(J531="低",1,"")))</f>
        <v/>
      </c>
      <c r="L531" s="18" t="inlineStr">
        <is>
          <t>新增</t>
        </is>
      </c>
      <c r="M531" s="18">
        <f>IF(L531="新增",1,IF(L531="修改",0.8,IF(L531="删除",0.2,"")))</f>
        <v/>
      </c>
      <c r="N531" s="18">
        <f>I531*K531*M531</f>
        <v/>
      </c>
    </row>
    <row r="532" ht="19" customHeight="1" s="1">
      <c r="B532" s="16" t="n">
        <v>527</v>
      </c>
      <c r="C532" s="16" t="inlineStr">
        <is>
          <t>设备资产全生命周期数据治理与运行健康评估服务</t>
        </is>
      </c>
      <c r="D532" s="16" t="inlineStr">
        <is>
          <t>设备档案管理</t>
        </is>
      </c>
      <c r="E532" s="16" t="inlineStr">
        <is>
          <t>设备校准管理</t>
        </is>
      </c>
      <c r="F532" s="16" t="inlineStr">
        <is>
          <t>校准标准配置</t>
        </is>
      </c>
      <c r="G532" s="17" t="inlineStr">
        <is>
          <t xml:space="preserve"> 提供设备校准标准参数配置技术服务</t>
        </is>
      </c>
      <c r="H532" s="18" t="inlineStr">
        <is>
          <t>EI</t>
        </is>
      </c>
      <c r="I532" s="18">
        <f>IF(H532="ILF",10,IF(H532="EIF",7,IF(H532="EI",4,IF(H532="EO",5,IF(H532="EQ",4,"")))))</f>
        <v/>
      </c>
      <c r="J532" s="18" t="inlineStr">
        <is>
          <t>中</t>
        </is>
      </c>
      <c r="K532" s="18">
        <f>IF(J532="高",0.33,IF(J532="中",0.67,IF(J532="低",1,"")))</f>
        <v/>
      </c>
      <c r="L532" s="18" t="inlineStr">
        <is>
          <t>新增</t>
        </is>
      </c>
      <c r="M532" s="18">
        <f>IF(L532="新增",1,IF(L532="修改",0.8,IF(L532="删除",0.2,"")))</f>
        <v/>
      </c>
      <c r="N532" s="18">
        <f>I532*K532*M532</f>
        <v/>
      </c>
    </row>
    <row r="533" ht="19" customHeight="1" s="1">
      <c r="B533" s="16" t="n">
        <v>528</v>
      </c>
      <c r="C533" s="16" t="inlineStr">
        <is>
          <t>设备资产全生命周期数据治理与运行健康评估服务</t>
        </is>
      </c>
      <c r="D533" s="16" t="inlineStr">
        <is>
          <t>设备档案管理</t>
        </is>
      </c>
      <c r="E533" s="16" t="inlineStr">
        <is>
          <t>设备备件管理</t>
        </is>
      </c>
      <c r="F533" s="16" t="inlineStr">
        <is>
          <t>备件目录配置</t>
        </is>
      </c>
      <c r="G533" s="17" t="inlineStr">
        <is>
          <t xml:space="preserve"> 提供设备备件目录编制配置技术服务</t>
        </is>
      </c>
      <c r="H533" s="18" t="inlineStr">
        <is>
          <t>EI</t>
        </is>
      </c>
      <c r="I533" s="18">
        <f>IF(H533="ILF",10,IF(H533="EIF",7,IF(H533="EI",4,IF(H533="EO",5,IF(H533="EQ",4,"")))))</f>
        <v/>
      </c>
      <c r="J533" s="18" t="inlineStr">
        <is>
          <t>中</t>
        </is>
      </c>
      <c r="K533" s="18">
        <f>IF(J533="高",0.33,IF(J533="中",0.67,IF(J533="低",1,"")))</f>
        <v/>
      </c>
      <c r="L533" s="18" t="inlineStr">
        <is>
          <t>新增</t>
        </is>
      </c>
      <c r="M533" s="18">
        <f>IF(L533="新增",1,IF(L533="修改",0.8,IF(L533="删除",0.2,"")))</f>
        <v/>
      </c>
      <c r="N533" s="18">
        <f>I533*K533*M533</f>
        <v/>
      </c>
    </row>
    <row r="534" ht="19" customHeight="1" s="1">
      <c r="B534" s="16" t="n">
        <v>529</v>
      </c>
      <c r="C534" s="16" t="inlineStr">
        <is>
          <t>设备资产全生命周期数据治理与运行健康评估服务</t>
        </is>
      </c>
      <c r="D534" s="16" t="inlineStr">
        <is>
          <t>设备档案管理</t>
        </is>
      </c>
      <c r="E534" s="16" t="inlineStr">
        <is>
          <t>设备备件管理</t>
        </is>
      </c>
      <c r="F534" s="16" t="inlineStr">
        <is>
          <t>备件库存查询</t>
        </is>
      </c>
      <c r="G534" s="17" t="inlineStr">
        <is>
          <t xml:space="preserve"> 提供设备备件库存实时查询技术服务</t>
        </is>
      </c>
      <c r="H534" s="18" t="inlineStr">
        <is>
          <t>EI</t>
        </is>
      </c>
      <c r="I534" s="18">
        <f>IF(H534="ILF",10,IF(H534="EIF",7,IF(H534="EI",4,IF(H534="EO",5,IF(H534="EQ",4,"")))))</f>
        <v/>
      </c>
      <c r="J534" s="18" t="inlineStr">
        <is>
          <t>中</t>
        </is>
      </c>
      <c r="K534" s="18">
        <f>IF(J534="高",0.33,IF(J534="中",0.67,IF(J534="低",1,"")))</f>
        <v/>
      </c>
      <c r="L534" s="18" t="inlineStr">
        <is>
          <t>新增</t>
        </is>
      </c>
      <c r="M534" s="18">
        <f>IF(L534="新增",1,IF(L534="修改",0.8,IF(L534="删除",0.2,"")))</f>
        <v/>
      </c>
      <c r="N534" s="18">
        <f>I534*K534*M534</f>
        <v/>
      </c>
    </row>
    <row r="535" ht="19" customHeight="1" s="1">
      <c r="B535" s="16" t="n">
        <v>530</v>
      </c>
      <c r="C535" s="16" t="inlineStr">
        <is>
          <t>设备资产全生命周期数据治理与运行健康评估服务</t>
        </is>
      </c>
      <c r="D535" s="16" t="inlineStr">
        <is>
          <t>健康管理服务</t>
        </is>
      </c>
      <c r="E535" s="16" t="inlineStr">
        <is>
          <t>设备评估管理</t>
        </is>
      </c>
      <c r="F535" s="16" t="inlineStr">
        <is>
          <t>综合状态评估</t>
        </is>
      </c>
      <c r="G535" s="17" t="inlineStr">
        <is>
          <t xml:space="preserve"> 提供设备综合运行状态评估报告服务</t>
        </is>
      </c>
      <c r="H535" s="18" t="inlineStr">
        <is>
          <t>EI</t>
        </is>
      </c>
      <c r="I535" s="18">
        <f>IF(H535="ILF",10,IF(H535="EIF",7,IF(H535="EI",4,IF(H535="EO",5,IF(H535="EQ",4,"")))))</f>
        <v/>
      </c>
      <c r="J535" s="18" t="inlineStr">
        <is>
          <t>中</t>
        </is>
      </c>
      <c r="K535" s="18">
        <f>IF(J535="高",0.33,IF(J535="中",0.67,IF(J535="低",1,"")))</f>
        <v/>
      </c>
      <c r="L535" s="18" t="inlineStr">
        <is>
          <t>新增</t>
        </is>
      </c>
      <c r="M535" s="18">
        <f>IF(L535="新增",1,IF(L535="修改",0.8,IF(L535="删除",0.2,"")))</f>
        <v/>
      </c>
      <c r="N535" s="18">
        <f>I535*K535*M535</f>
        <v/>
      </c>
    </row>
    <row r="536" ht="19" customHeight="1" s="1">
      <c r="B536" s="16" t="n">
        <v>531</v>
      </c>
      <c r="C536" s="16" t="inlineStr">
        <is>
          <t>设备资产全生命周期数据治理与运行健康评估服务</t>
        </is>
      </c>
      <c r="D536" s="16" t="inlineStr">
        <is>
          <t>健康管理服务</t>
        </is>
      </c>
      <c r="E536" s="16" t="inlineStr">
        <is>
          <t>设备评估管理</t>
        </is>
      </c>
      <c r="F536" s="16" t="inlineStr">
        <is>
          <t>运维绩效报表</t>
        </is>
      </c>
      <c r="G536" s="17" t="inlineStr">
        <is>
          <t xml:space="preserve"> 提供设备运维绩效统计报表服务</t>
        </is>
      </c>
      <c r="H536" s="18" t="inlineStr">
        <is>
          <t>EI</t>
        </is>
      </c>
      <c r="I536" s="18">
        <f>IF(H536="ILF",10,IF(H536="EIF",7,IF(H536="EI",4,IF(H536="EO",5,IF(H536="EQ",4,"")))))</f>
        <v/>
      </c>
      <c r="J536" s="18" t="inlineStr">
        <is>
          <t>中</t>
        </is>
      </c>
      <c r="K536" s="18">
        <f>IF(J536="高",0.33,IF(J536="中",0.67,IF(J536="低",1,"")))</f>
        <v/>
      </c>
      <c r="L536" s="18" t="inlineStr">
        <is>
          <t>新增</t>
        </is>
      </c>
      <c r="M536" s="18">
        <f>IF(L536="新增",1,IF(L536="修改",0.8,IF(L536="删除",0.2,"")))</f>
        <v/>
      </c>
      <c r="N536" s="18">
        <f>I536*K536*M536</f>
        <v/>
      </c>
    </row>
    <row r="537" ht="19" customHeight="1" s="1">
      <c r="B537" s="16" t="n">
        <v>532</v>
      </c>
      <c r="C537" s="16" t="inlineStr">
        <is>
          <t>设备资产全生命周期数据治理与运行健康评估服务</t>
        </is>
      </c>
      <c r="D537" s="16" t="inlineStr">
        <is>
          <t>设备档案管理</t>
        </is>
      </c>
      <c r="E537" s="16" t="inlineStr">
        <is>
          <t>设备验收管理</t>
        </is>
      </c>
      <c r="F537" s="16" t="inlineStr">
        <is>
          <t>验收标准配置</t>
        </is>
      </c>
      <c r="G537" s="17" t="inlineStr">
        <is>
          <t xml:space="preserve"> 提供设备验收标准参数配置技术服务</t>
        </is>
      </c>
      <c r="H537" s="18" t="inlineStr">
        <is>
          <t>EI</t>
        </is>
      </c>
      <c r="I537" s="18">
        <f>IF(H537="ILF",10,IF(H537="EIF",7,IF(H537="EI",4,IF(H537="EO",5,IF(H537="EQ",4,"")))))</f>
        <v/>
      </c>
      <c r="J537" s="18" t="inlineStr">
        <is>
          <t>中</t>
        </is>
      </c>
      <c r="K537" s="18">
        <f>IF(J537="高",0.33,IF(J537="中",0.67,IF(J537="低",1,"")))</f>
        <v/>
      </c>
      <c r="L537" s="18" t="inlineStr">
        <is>
          <t>新增</t>
        </is>
      </c>
      <c r="M537" s="18">
        <f>IF(L537="新增",1,IF(L537="修改",0.8,IF(L537="删除",0.2,"")))</f>
        <v/>
      </c>
      <c r="N537" s="18">
        <f>I537*K537*M537</f>
        <v/>
      </c>
    </row>
    <row r="538" ht="19" customHeight="1" s="1">
      <c r="B538" s="16" t="n">
        <v>533</v>
      </c>
      <c r="C538" s="16" t="inlineStr">
        <is>
          <t>设备资产全生命周期数据治理与运行健康评估服务</t>
        </is>
      </c>
      <c r="D538" s="16" t="inlineStr">
        <is>
          <t>设备档案管理</t>
        </is>
      </c>
      <c r="E538" s="16" t="inlineStr">
        <is>
          <t>设备验收管理</t>
        </is>
      </c>
      <c r="F538" s="16" t="inlineStr">
        <is>
          <t>验收报告编制</t>
        </is>
      </c>
      <c r="G538" s="17" t="inlineStr">
        <is>
          <t xml:space="preserve"> 提供设备验收报告编制技术服务</t>
        </is>
      </c>
      <c r="H538" s="18" t="inlineStr">
        <is>
          <t>EI</t>
        </is>
      </c>
      <c r="I538" s="18">
        <f>IF(H538="ILF",10,IF(H538="EIF",7,IF(H538="EI",4,IF(H538="EO",5,IF(H538="EQ",4,"")))))</f>
        <v/>
      </c>
      <c r="J538" s="18" t="inlineStr">
        <is>
          <t>中</t>
        </is>
      </c>
      <c r="K538" s="18">
        <f>IF(J538="高",0.33,IF(J538="中",0.67,IF(J538="低",1,"")))</f>
        <v/>
      </c>
      <c r="L538" s="18" t="inlineStr">
        <is>
          <t>新增</t>
        </is>
      </c>
      <c r="M538" s="18">
        <f>IF(L538="新增",1,IF(L538="修改",0.8,IF(L538="删除",0.2,"")))</f>
        <v/>
      </c>
      <c r="N538" s="18">
        <f>I538*K538*M538</f>
        <v/>
      </c>
    </row>
    <row r="539" ht="19" customHeight="1" s="1">
      <c r="B539" s="16" t="n">
        <v>534</v>
      </c>
      <c r="C539" s="16" t="inlineStr">
        <is>
          <t>设备资产全生命周期数据治理与运行健康评估服务</t>
        </is>
      </c>
      <c r="D539" s="16" t="inlineStr">
        <is>
          <t>设备档案管理</t>
        </is>
      </c>
      <c r="E539" s="16" t="inlineStr">
        <is>
          <t>设备转固管理</t>
        </is>
      </c>
      <c r="F539" s="16" t="inlineStr">
        <is>
          <t>转固流程配置</t>
        </is>
      </c>
      <c r="G539" s="17" t="inlineStr">
        <is>
          <t xml:space="preserve"> 提供设备转固流程参数配置技术服务</t>
        </is>
      </c>
      <c r="H539" s="18" t="inlineStr">
        <is>
          <t>EI</t>
        </is>
      </c>
      <c r="I539" s="18">
        <f>IF(H539="ILF",10,IF(H539="EIF",7,IF(H539="EI",4,IF(H539="EO",5,IF(H539="EQ",4,"")))))</f>
        <v/>
      </c>
      <c r="J539" s="18" t="inlineStr">
        <is>
          <t>中</t>
        </is>
      </c>
      <c r="K539" s="18">
        <f>IF(J539="高",0.33,IF(J539="中",0.67,IF(J539="低",1,"")))</f>
        <v/>
      </c>
      <c r="L539" s="18" t="inlineStr">
        <is>
          <t>新增</t>
        </is>
      </c>
      <c r="M539" s="18">
        <f>IF(L539="新增",1,IF(L539="修改",0.8,IF(L539="删除",0.2,"")))</f>
        <v/>
      </c>
      <c r="N539" s="18">
        <f>I539*K539*M539</f>
        <v/>
      </c>
    </row>
    <row r="540" ht="19" customHeight="1" s="1">
      <c r="B540" s="16" t="n">
        <v>535</v>
      </c>
      <c r="C540" s="16" t="inlineStr">
        <is>
          <t>设备资产全生命周期数据治理与运行健康评估服务</t>
        </is>
      </c>
      <c r="D540" s="16" t="inlineStr">
        <is>
          <t>设备档案管理</t>
        </is>
      </c>
      <c r="E540" s="16" t="inlineStr">
        <is>
          <t>设备转固管理</t>
        </is>
      </c>
      <c r="F540" s="16" t="inlineStr">
        <is>
          <t>转固报表生成</t>
        </is>
      </c>
      <c r="G540" s="17" t="inlineStr">
        <is>
          <t xml:space="preserve"> 提供设备转固报表生成技术服务</t>
        </is>
      </c>
      <c r="H540" s="18" t="inlineStr">
        <is>
          <t>EI</t>
        </is>
      </c>
      <c r="I540" s="18">
        <f>IF(H540="ILF",10,IF(H540="EIF",7,IF(H540="EI",4,IF(H540="EO",5,IF(H540="EQ",4,"")))))</f>
        <v/>
      </c>
      <c r="J540" s="18" t="inlineStr">
        <is>
          <t>中</t>
        </is>
      </c>
      <c r="K540" s="18">
        <f>IF(J540="高",0.33,IF(J540="中",0.67,IF(J540="低",1,"")))</f>
        <v/>
      </c>
      <c r="L540" s="18" t="inlineStr">
        <is>
          <t>新增</t>
        </is>
      </c>
      <c r="M540" s="18">
        <f>IF(L540="新增",1,IF(L540="修改",0.8,IF(L540="删除",0.2,"")))</f>
        <v/>
      </c>
      <c r="N540" s="18">
        <f>I540*K540*M540</f>
        <v/>
      </c>
    </row>
    <row r="541" ht="19" customHeight="1" s="1">
      <c r="B541" s="16" t="n">
        <v>536</v>
      </c>
      <c r="C541" s="16" t="inlineStr">
        <is>
          <t>设备资产全生命周期数据治理与运行健康评估服务</t>
        </is>
      </c>
      <c r="D541" s="16" t="inlineStr">
        <is>
          <t>数据关联服务</t>
        </is>
      </c>
      <c r="E541" s="16" t="inlineStr">
        <is>
          <t>数据归档管理</t>
        </is>
      </c>
      <c r="F541" s="16" t="inlineStr">
        <is>
          <t>归档策略配置</t>
        </is>
      </c>
      <c r="G541" s="17" t="inlineStr">
        <is>
          <t xml:space="preserve"> 提供数据归档策略参数配置技术服务</t>
        </is>
      </c>
      <c r="H541" s="18" t="inlineStr">
        <is>
          <t>EI</t>
        </is>
      </c>
      <c r="I541" s="18">
        <f>IF(H541="ILF",10,IF(H541="EIF",7,IF(H541="EI",4,IF(H541="EO",5,IF(H541="EQ",4,"")))))</f>
        <v/>
      </c>
      <c r="J541" s="18" t="inlineStr">
        <is>
          <t>中</t>
        </is>
      </c>
      <c r="K541" s="18">
        <f>IF(J541="高",0.33,IF(J541="中",0.67,IF(J541="低",1,"")))</f>
        <v/>
      </c>
      <c r="L541" s="18" t="inlineStr">
        <is>
          <t>新增</t>
        </is>
      </c>
      <c r="M541" s="18">
        <f>IF(L541="新增",1,IF(L541="修改",0.8,IF(L541="删除",0.2,"")))</f>
        <v/>
      </c>
      <c r="N541" s="18">
        <f>I541*K541*M541</f>
        <v/>
      </c>
    </row>
    <row r="542" ht="19" customHeight="1" s="1">
      <c r="B542" s="16" t="n">
        <v>537</v>
      </c>
      <c r="C542" s="16" t="inlineStr">
        <is>
          <t>设备资产全生命周期数据治理与运行健康评估服务</t>
        </is>
      </c>
      <c r="D542" s="16" t="inlineStr">
        <is>
          <t>设备档案管理</t>
        </is>
      </c>
      <c r="E542" s="16" t="inlineStr">
        <is>
          <t>设备档案服务</t>
        </is>
      </c>
      <c r="F542" s="16" t="inlineStr">
        <is>
          <t>设备档案完整性校验</t>
        </is>
      </c>
      <c r="G542" s="17" t="inlineStr">
        <is>
          <t xml:space="preserve"> 提供设备档案完整性校验服务</t>
        </is>
      </c>
      <c r="H542" s="18" t="inlineStr">
        <is>
          <t>EI</t>
        </is>
      </c>
      <c r="I542" s="18">
        <f>IF(H542="ILF",10,IF(H542="EIF",7,IF(H542="EI",4,IF(H542="EO",5,IF(H542="EQ",4,"")))))</f>
        <v/>
      </c>
      <c r="J542" s="18" t="inlineStr">
        <is>
          <t>中</t>
        </is>
      </c>
      <c r="K542" s="18">
        <f>IF(J542="高",0.33,IF(J542="中",0.67,IF(J542="低",1,"")))</f>
        <v/>
      </c>
      <c r="L542" s="18" t="inlineStr">
        <is>
          <t>新增</t>
        </is>
      </c>
      <c r="M542" s="18">
        <f>IF(L542="新增",1,IF(L542="修改",0.8,IF(L542="删除",0.2,"")))</f>
        <v/>
      </c>
      <c r="N542" s="18">
        <f>I542*K542*M542</f>
        <v/>
      </c>
    </row>
    <row r="543" ht="19" customHeight="1" s="1">
      <c r="B543" s="16" t="n">
        <v>538</v>
      </c>
      <c r="C543" s="16" t="inlineStr">
        <is>
          <t>设备资产全生命周期数据治理与运行健康评估服务</t>
        </is>
      </c>
      <c r="D543" s="16" t="inlineStr">
        <is>
          <t>设备档案管理</t>
        </is>
      </c>
      <c r="E543" s="16" t="inlineStr">
        <is>
          <t>设备档案服务</t>
        </is>
      </c>
      <c r="F543" s="16" t="inlineStr">
        <is>
          <t>设备档案一致性校验</t>
        </is>
      </c>
      <c r="G543" s="17" t="inlineStr">
        <is>
          <t xml:space="preserve"> 提供设备档案一致性校验服务</t>
        </is>
      </c>
      <c r="H543" s="18" t="inlineStr">
        <is>
          <t>EI</t>
        </is>
      </c>
      <c r="I543" s="18">
        <f>IF(H543="ILF",10,IF(H543="EIF",7,IF(H543="EI",4,IF(H543="EO",5,IF(H543="EQ",4,"")))))</f>
        <v/>
      </c>
      <c r="J543" s="18" t="inlineStr">
        <is>
          <t>中</t>
        </is>
      </c>
      <c r="K543" s="18">
        <f>IF(J543="高",0.33,IF(J543="中",0.67,IF(J543="低",1,"")))</f>
        <v/>
      </c>
      <c r="L543" s="18" t="inlineStr">
        <is>
          <t>新增</t>
        </is>
      </c>
      <c r="M543" s="18">
        <f>IF(L543="新增",1,IF(L543="修改",0.8,IF(L543="删除",0.2,"")))</f>
        <v/>
      </c>
      <c r="N543" s="18">
        <f>I543*K543*M543</f>
        <v/>
      </c>
    </row>
    <row r="544" ht="19" customHeight="1" s="1">
      <c r="B544" s="16" t="n">
        <v>539</v>
      </c>
      <c r="C544" s="16" t="inlineStr">
        <is>
          <t>设备资产全生命周期数据治理与运行健康评估服务</t>
        </is>
      </c>
      <c r="D544" s="16" t="inlineStr">
        <is>
          <t>设备档案管理</t>
        </is>
      </c>
      <c r="E544" s="16" t="inlineStr">
        <is>
          <t>设备档案服务</t>
        </is>
      </c>
      <c r="F544" s="16" t="inlineStr">
        <is>
          <t>设备档案差异报告</t>
        </is>
      </c>
      <c r="G544" s="17" t="inlineStr">
        <is>
          <t xml:space="preserve"> 提供设备档案差异对比报告服务</t>
        </is>
      </c>
      <c r="H544" s="18" t="inlineStr">
        <is>
          <t>EI</t>
        </is>
      </c>
      <c r="I544" s="18">
        <f>IF(H544="ILF",10,IF(H544="EIF",7,IF(H544="EI",4,IF(H544="EO",5,IF(H544="EQ",4,"")))))</f>
        <v/>
      </c>
      <c r="J544" s="18" t="inlineStr">
        <is>
          <t>中</t>
        </is>
      </c>
      <c r="K544" s="18">
        <f>IF(J544="高",0.33,IF(J544="中",0.67,IF(J544="低",1,"")))</f>
        <v/>
      </c>
      <c r="L544" s="18" t="inlineStr">
        <is>
          <t>新增</t>
        </is>
      </c>
      <c r="M544" s="18">
        <f>IF(L544="新增",1,IF(L544="修改",0.8,IF(L544="删除",0.2,"")))</f>
        <v/>
      </c>
      <c r="N544" s="18">
        <f>I544*K544*M544</f>
        <v/>
      </c>
    </row>
    <row r="545" ht="19" customHeight="1" s="1">
      <c r="B545" s="16" t="n">
        <v>540</v>
      </c>
      <c r="C545" s="16" t="inlineStr">
        <is>
          <t>设备资产全生命周期数据治理与运行健康评估服务</t>
        </is>
      </c>
      <c r="D545" s="16" t="inlineStr">
        <is>
          <t>设备档案管理</t>
        </is>
      </c>
      <c r="E545" s="16" t="inlineStr">
        <is>
          <t>设备分析服务</t>
        </is>
      </c>
      <c r="F545" s="16" t="inlineStr">
        <is>
          <t>设备类型分布统计</t>
        </is>
      </c>
      <c r="G545" s="17" t="inlineStr">
        <is>
          <t xml:space="preserve"> 提供设备类型分布统计服务</t>
        </is>
      </c>
      <c r="H545" s="18" t="inlineStr">
        <is>
          <t>EI</t>
        </is>
      </c>
      <c r="I545" s="18">
        <f>IF(H545="ILF",10,IF(H545="EIF",7,IF(H545="EI",4,IF(H545="EO",5,IF(H545="EQ",4,"")))))</f>
        <v/>
      </c>
      <c r="J545" s="18" t="inlineStr">
        <is>
          <t>中</t>
        </is>
      </c>
      <c r="K545" s="18">
        <f>IF(J545="高",0.33,IF(J545="中",0.67,IF(J545="低",1,"")))</f>
        <v/>
      </c>
      <c r="L545" s="18" t="inlineStr">
        <is>
          <t>新增</t>
        </is>
      </c>
      <c r="M545" s="18">
        <f>IF(L545="新增",1,IF(L545="修改",0.8,IF(L545="删除",0.2,"")))</f>
        <v/>
      </c>
      <c r="N545" s="18">
        <f>I545*K545*M545</f>
        <v/>
      </c>
    </row>
    <row r="546" ht="19" customHeight="1" s="1">
      <c r="B546" s="16" t="n">
        <v>541</v>
      </c>
      <c r="C546" s="16" t="inlineStr">
        <is>
          <t>设备资产全生命周期数据治理与运行健康评估服务</t>
        </is>
      </c>
      <c r="D546" s="16" t="inlineStr">
        <is>
          <t>设备档案管理</t>
        </is>
      </c>
      <c r="E546" s="16" t="inlineStr">
        <is>
          <t>设备分析服务</t>
        </is>
      </c>
      <c r="F546" s="16" t="inlineStr">
        <is>
          <t>设备厂商分布统计</t>
        </is>
      </c>
      <c r="G546" s="17" t="inlineStr">
        <is>
          <t xml:space="preserve"> 提供设备厂商分布统计服务</t>
        </is>
      </c>
      <c r="H546" s="18" t="inlineStr">
        <is>
          <t>EI</t>
        </is>
      </c>
      <c r="I546" s="18">
        <f>IF(H546="ILF",10,IF(H546="EIF",7,IF(H546="EI",4,IF(H546="EO",5,IF(H546="EQ",4,"")))))</f>
        <v/>
      </c>
      <c r="J546" s="18" t="inlineStr">
        <is>
          <t>中</t>
        </is>
      </c>
      <c r="K546" s="18">
        <f>IF(J546="高",0.33,IF(J546="中",0.67,IF(J546="低",1,"")))</f>
        <v/>
      </c>
      <c r="L546" s="18" t="inlineStr">
        <is>
          <t>新增</t>
        </is>
      </c>
      <c r="M546" s="18">
        <f>IF(L546="新增",1,IF(L546="修改",0.8,IF(L546="删除",0.2,"")))</f>
        <v/>
      </c>
      <c r="N546" s="18">
        <f>I546*K546*M546</f>
        <v/>
      </c>
    </row>
    <row r="547" ht="19" customHeight="1" s="1">
      <c r="B547" s="16" t="n">
        <v>542</v>
      </c>
      <c r="C547" s="16" t="inlineStr">
        <is>
          <t>设备资产全生命周期数据治理与运行健康评估服务</t>
        </is>
      </c>
      <c r="D547" s="16" t="inlineStr">
        <is>
          <t>设备档案管理</t>
        </is>
      </c>
      <c r="E547" s="16" t="inlineStr">
        <is>
          <t>设备分析服务</t>
        </is>
      </c>
      <c r="F547" s="16" t="inlineStr">
        <is>
          <t>设备区域分布统计</t>
        </is>
      </c>
      <c r="G547" s="17" t="inlineStr">
        <is>
          <t xml:space="preserve"> 提供设备区域分布统计服务</t>
        </is>
      </c>
      <c r="H547" s="18" t="inlineStr">
        <is>
          <t>EI</t>
        </is>
      </c>
      <c r="I547" s="18">
        <f>IF(H547="ILF",10,IF(H547="EIF",7,IF(H547="EI",4,IF(H547="EO",5,IF(H547="EQ",4,"")))))</f>
        <v/>
      </c>
      <c r="J547" s="18" t="inlineStr">
        <is>
          <t>中</t>
        </is>
      </c>
      <c r="K547" s="18">
        <f>IF(J547="高",0.33,IF(J547="中",0.67,IF(J547="低",1,"")))</f>
        <v/>
      </c>
      <c r="L547" s="18" t="inlineStr">
        <is>
          <t>新增</t>
        </is>
      </c>
      <c r="M547" s="18">
        <f>IF(L547="新增",1,IF(L547="修改",0.8,IF(L547="删除",0.2,"")))</f>
        <v/>
      </c>
      <c r="N547" s="18">
        <f>I547*K547*M547</f>
        <v/>
      </c>
    </row>
    <row r="548" ht="19" customHeight="1" s="1">
      <c r="B548" s="16" t="n">
        <v>543</v>
      </c>
      <c r="C548" s="16" t="inlineStr">
        <is>
          <t>设备资产全生命周期数据治理与运行健康评估服务</t>
        </is>
      </c>
      <c r="D548" s="16" t="inlineStr">
        <is>
          <t>健康管理服务</t>
        </is>
      </c>
      <c r="E548" s="16" t="inlineStr">
        <is>
          <t>设备诊断服务</t>
        </is>
      </c>
      <c r="F548" s="16" t="inlineStr">
        <is>
          <t>设备异常诊断配置</t>
        </is>
      </c>
      <c r="G548" s="17" t="inlineStr">
        <is>
          <t xml:space="preserve"> 提供设备异常诊断规则配置服务</t>
        </is>
      </c>
      <c r="H548" s="18" t="inlineStr">
        <is>
          <t>EI</t>
        </is>
      </c>
      <c r="I548" s="18">
        <f>IF(H548="ILF",10,IF(H548="EIF",7,IF(H548="EI",4,IF(H548="EO",5,IF(H548="EQ",4,"")))))</f>
        <v/>
      </c>
      <c r="J548" s="18" t="inlineStr">
        <is>
          <t>中</t>
        </is>
      </c>
      <c r="K548" s="18">
        <f>IF(J548="高",0.33,IF(J548="中",0.67,IF(J548="低",1,"")))</f>
        <v/>
      </c>
      <c r="L548" s="18" t="inlineStr">
        <is>
          <t>新增</t>
        </is>
      </c>
      <c r="M548" s="18">
        <f>IF(L548="新增",1,IF(L548="修改",0.8,IF(L548="删除",0.2,"")))</f>
        <v/>
      </c>
      <c r="N548" s="18">
        <f>I548*K548*M548</f>
        <v/>
      </c>
    </row>
    <row r="549" ht="19" customHeight="1" s="1">
      <c r="B549" s="16" t="n">
        <v>544</v>
      </c>
      <c r="C549" s="16" t="inlineStr">
        <is>
          <t>设备资产全生命周期数据治理与运行健康评估服务</t>
        </is>
      </c>
      <c r="D549" s="16" t="inlineStr">
        <is>
          <t>健康管理服务</t>
        </is>
      </c>
      <c r="E549" s="16" t="inlineStr">
        <is>
          <t>设备诊断服务</t>
        </is>
      </c>
      <c r="F549" s="16" t="inlineStr">
        <is>
          <t>设备诊断报告生成</t>
        </is>
      </c>
      <c r="G549" s="17" t="inlineStr">
        <is>
          <t xml:space="preserve"> 提供设备诊断报告生成服务</t>
        </is>
      </c>
      <c r="H549" s="18" t="inlineStr">
        <is>
          <t>EI</t>
        </is>
      </c>
      <c r="I549" s="18">
        <f>IF(H549="ILF",10,IF(H549="EIF",7,IF(H549="EI",4,IF(H549="EO",5,IF(H549="EQ",4,"")))))</f>
        <v/>
      </c>
      <c r="J549" s="18" t="inlineStr">
        <is>
          <t>中</t>
        </is>
      </c>
      <c r="K549" s="18">
        <f>IF(J549="高",0.33,IF(J549="中",0.67,IF(J549="低",1,"")))</f>
        <v/>
      </c>
      <c r="L549" s="18" t="inlineStr">
        <is>
          <t>新增</t>
        </is>
      </c>
      <c r="M549" s="18">
        <f>IF(L549="新增",1,IF(L549="修改",0.8,IF(L549="删除",0.2,"")))</f>
        <v/>
      </c>
      <c r="N549" s="18">
        <f>I549*K549*M549</f>
        <v/>
      </c>
    </row>
    <row r="550" ht="19" customHeight="1" s="1">
      <c r="B550" s="16" t="n">
        <v>545</v>
      </c>
      <c r="C550" s="16" t="inlineStr">
        <is>
          <t>设备资产全生命周期数据治理与运行健康评估服务</t>
        </is>
      </c>
      <c r="D550" s="16" t="inlineStr">
        <is>
          <t>设备档案管理</t>
        </is>
      </c>
      <c r="E550" s="16" t="inlineStr">
        <is>
          <t>设备查询服务</t>
        </is>
      </c>
      <c r="F550" s="16" t="inlineStr">
        <is>
          <t>设备全量查询导出</t>
        </is>
      </c>
      <c r="G550" s="17" t="inlineStr">
        <is>
          <t xml:space="preserve"> 提供设备全量数据导出服务</t>
        </is>
      </c>
      <c r="H550" s="18" t="inlineStr">
        <is>
          <t>EI</t>
        </is>
      </c>
      <c r="I550" s="18">
        <f>IF(H550="ILF",10,IF(H550="EIF",7,IF(H550="EI",4,IF(H550="EO",5,IF(H550="EQ",4,"")))))</f>
        <v/>
      </c>
      <c r="J550" s="18" t="inlineStr">
        <is>
          <t>中</t>
        </is>
      </c>
      <c r="K550" s="18">
        <f>IF(J550="高",0.33,IF(J550="中",0.67,IF(J550="低",1,"")))</f>
        <v/>
      </c>
      <c r="L550" s="18" t="inlineStr">
        <is>
          <t>新增</t>
        </is>
      </c>
      <c r="M550" s="18">
        <f>IF(L550="新增",1,IF(L550="修改",0.8,IF(L550="删除",0.2,"")))</f>
        <v/>
      </c>
      <c r="N550" s="18">
        <f>I550*K550*M550</f>
        <v/>
      </c>
    </row>
    <row r="551" ht="19" customHeight="1" s="1">
      <c r="B551" s="16" t="n">
        <v>546</v>
      </c>
      <c r="C551" s="16" t="inlineStr">
        <is>
          <t>设备资产全生命周期数据治理与运行健康评估服务</t>
        </is>
      </c>
      <c r="D551" s="16" t="inlineStr">
        <is>
          <t>健康管理服务</t>
        </is>
      </c>
      <c r="E551" s="16" t="inlineStr">
        <is>
          <t>实时健康评分</t>
        </is>
      </c>
      <c r="F551" s="16" t="inlineStr">
        <is>
          <t>动态评分计算</t>
        </is>
      </c>
      <c r="G551" s="17" t="inlineStr">
        <is>
          <t xml:space="preserve"> 提供设备实时健康评分动态计算服务</t>
        </is>
      </c>
      <c r="H551" s="18" t="inlineStr">
        <is>
          <t>EI</t>
        </is>
      </c>
      <c r="I551" s="18">
        <f>IF(H551="ILF",10,IF(H551="EIF",7,IF(H551="EI",4,IF(H551="EO",5,IF(H551="EQ",4,"")))))</f>
        <v/>
      </c>
      <c r="J551" s="18" t="inlineStr">
        <is>
          <t>中</t>
        </is>
      </c>
      <c r="K551" s="18">
        <f>IF(J551="高",0.33,IF(J551="中",0.67,IF(J551="低",1,"")))</f>
        <v/>
      </c>
      <c r="L551" s="18" t="inlineStr">
        <is>
          <t>新增</t>
        </is>
      </c>
      <c r="M551" s="18">
        <f>IF(L551="新增",1,IF(L551="修改",0.8,IF(L551="删除",0.2,"")))</f>
        <v/>
      </c>
      <c r="N551" s="18">
        <f>I551*K551*M551</f>
        <v/>
      </c>
    </row>
    <row r="552" ht="19" customHeight="1" s="1">
      <c r="B552" s="16" t="n">
        <v>547</v>
      </c>
      <c r="C552" s="16" t="inlineStr">
        <is>
          <t>设备资产全生命周期数据治理与运行健康评估服务</t>
        </is>
      </c>
      <c r="D552" s="16" t="inlineStr">
        <is>
          <t>健康管理服务</t>
        </is>
      </c>
      <c r="E552" s="16" t="inlineStr">
        <is>
          <t>实时健康评分</t>
        </is>
      </c>
      <c r="F552" s="16" t="inlineStr">
        <is>
          <t>评分阈值联动</t>
        </is>
      </c>
      <c r="G552" s="17" t="inlineStr">
        <is>
          <t xml:space="preserve"> 提供健康评分与告警级别联动配置</t>
        </is>
      </c>
      <c r="H552" s="18" t="inlineStr">
        <is>
          <t>EI</t>
        </is>
      </c>
      <c r="I552" s="18">
        <f>IF(H552="ILF",10,IF(H552="EIF",7,IF(H552="EI",4,IF(H552="EO",5,IF(H552="EQ",4,"")))))</f>
        <v/>
      </c>
      <c r="J552" s="18" t="inlineStr">
        <is>
          <t>中</t>
        </is>
      </c>
      <c r="K552" s="18">
        <f>IF(J552="高",0.33,IF(J552="中",0.67,IF(J552="低",1,"")))</f>
        <v/>
      </c>
      <c r="L552" s="18" t="inlineStr">
        <is>
          <t>新增</t>
        </is>
      </c>
      <c r="M552" s="18">
        <f>IF(L552="新增",1,IF(L552="修改",0.8,IF(L552="删除",0.2,"")))</f>
        <v/>
      </c>
      <c r="N552" s="18">
        <f>I552*K552*M552</f>
        <v/>
      </c>
    </row>
    <row r="553" ht="19" customHeight="1" s="1">
      <c r="B553" s="16" t="n">
        <v>548</v>
      </c>
      <c r="C553" s="16" t="inlineStr">
        <is>
          <t>设备资产全生命周期数据治理与运行健康评估服务</t>
        </is>
      </c>
      <c r="D553" s="16" t="inlineStr">
        <is>
          <t>设备档案管理</t>
        </is>
      </c>
      <c r="E553" s="16" t="inlineStr">
        <is>
          <t>注册管理</t>
        </is>
      </c>
      <c r="F553" s="16" t="inlineStr">
        <is>
          <t>信息录入</t>
        </is>
      </c>
      <c r="G553" s="17" t="inlineStr">
        <is>
          <t xml:space="preserve"> 提供设备基础信息注册录入服务</t>
        </is>
      </c>
      <c r="H553" s="18" t="inlineStr">
        <is>
          <t>EI</t>
        </is>
      </c>
      <c r="I553" s="18">
        <f>IF(H553="ILF",10,IF(H553="EIF",7,IF(H553="EI",4,IF(H553="EO",5,IF(H553="EQ",4,"")))))</f>
        <v/>
      </c>
      <c r="J553" s="18" t="inlineStr">
        <is>
          <t>中</t>
        </is>
      </c>
      <c r="K553" s="18">
        <f>IF(J553="高",0.33,IF(J553="中",0.67,IF(J553="低",1,"")))</f>
        <v/>
      </c>
      <c r="L553" s="18" t="inlineStr">
        <is>
          <t>新增</t>
        </is>
      </c>
      <c r="M553" s="18">
        <f>IF(L553="新增",1,IF(L553="修改",0.8,IF(L553="删除",0.2,"")))</f>
        <v/>
      </c>
      <c r="N553" s="18">
        <f>I553*K553*M553</f>
        <v/>
      </c>
    </row>
    <row r="554" ht="19" customHeight="1" s="1">
      <c r="B554" s="16" t="n">
        <v>549</v>
      </c>
      <c r="C554" s="16" t="inlineStr">
        <is>
          <t>设备资产全生命周期数据治理与运行健康评估服务</t>
        </is>
      </c>
      <c r="D554" s="16" t="inlineStr">
        <is>
          <t>设备档案管理</t>
        </is>
      </c>
      <c r="E554" s="16" t="inlineStr">
        <is>
          <t>注册管理</t>
        </is>
      </c>
      <c r="F554" s="16" t="inlineStr">
        <is>
          <t>ID哈希</t>
        </is>
      </c>
      <c r="G554" s="17" t="inlineStr">
        <is>
          <t xml:space="preserve"> 提供基于设备特征信息的唯一设备ID哈希生成服务</t>
        </is>
      </c>
      <c r="H554" s="18" t="inlineStr">
        <is>
          <t>EI</t>
        </is>
      </c>
      <c r="I554" s="18">
        <f>IF(H554="ILF",10,IF(H554="EIF",7,IF(H554="EI",4,IF(H554="EO",5,IF(H554="EQ",4,"")))))</f>
        <v/>
      </c>
      <c r="J554" s="18" t="inlineStr">
        <is>
          <t>中</t>
        </is>
      </c>
      <c r="K554" s="18">
        <f>IF(J554="高",0.33,IF(J554="中",0.67,IF(J554="低",1,"")))</f>
        <v/>
      </c>
      <c r="L554" s="18" t="inlineStr">
        <is>
          <t>新增</t>
        </is>
      </c>
      <c r="M554" s="18">
        <f>IF(L554="新增",1,IF(L554="修改",0.8,IF(L554="删除",0.2,"")))</f>
        <v/>
      </c>
      <c r="N554" s="18">
        <f>I554*K554*M554</f>
        <v/>
      </c>
    </row>
    <row r="555" ht="19" customHeight="1" s="1">
      <c r="B555" s="16" t="n">
        <v>550</v>
      </c>
      <c r="C555" s="16" t="inlineStr">
        <is>
          <t>设备资产全生命周期数据治理与运行健康评估服务</t>
        </is>
      </c>
      <c r="D555" s="16" t="inlineStr">
        <is>
          <t>设备档案管理</t>
        </is>
      </c>
      <c r="E555" s="16" t="inlineStr">
        <is>
          <t>注册管理</t>
        </is>
      </c>
      <c r="F555" s="16" t="inlineStr">
        <is>
          <t>设备分类</t>
        </is>
      </c>
      <c r="G555" s="17" t="inlineStr">
        <is>
          <t xml:space="preserve"> 提供按设备型号规格的分类管理服务</t>
        </is>
      </c>
      <c r="H555" s="18" t="inlineStr">
        <is>
          <t>EI</t>
        </is>
      </c>
      <c r="I555" s="18">
        <f>IF(H555="ILF",10,IF(H555="EIF",7,IF(H555="EI",4,IF(H555="EO",5,IF(H555="EQ",4,"")))))</f>
        <v/>
      </c>
      <c r="J555" s="18" t="inlineStr">
        <is>
          <t>中</t>
        </is>
      </c>
      <c r="K555" s="18">
        <f>IF(J555="高",0.33,IF(J555="中",0.67,IF(J555="低",1,"")))</f>
        <v/>
      </c>
      <c r="L555" s="18" t="inlineStr">
        <is>
          <t>新增</t>
        </is>
      </c>
      <c r="M555" s="18">
        <f>IF(L555="新增",1,IF(L555="修改",0.8,IF(L555="删除",0.2,"")))</f>
        <v/>
      </c>
      <c r="N555" s="18">
        <f>I555*K555*M555</f>
        <v/>
      </c>
    </row>
    <row r="556" ht="19" customHeight="1" s="1">
      <c r="B556" s="16" t="n">
        <v>551</v>
      </c>
      <c r="C556" s="16" t="inlineStr">
        <is>
          <t>设备资产全生命周期数据治理与运行健康评估服务</t>
        </is>
      </c>
      <c r="D556" s="16" t="inlineStr">
        <is>
          <t>设备档案管理</t>
        </is>
      </c>
      <c r="E556" s="16" t="inlineStr">
        <is>
          <t>注册管理</t>
        </is>
      </c>
      <c r="F556" s="16" t="inlineStr">
        <is>
          <t>批量导入</t>
        </is>
      </c>
      <c r="G556" s="17" t="inlineStr">
        <is>
          <t xml:space="preserve"> 提供设备信息Excel批量导入服务</t>
        </is>
      </c>
      <c r="H556" s="18" t="inlineStr">
        <is>
          <t>EI</t>
        </is>
      </c>
      <c r="I556" s="18">
        <f>IF(H556="ILF",10,IF(H556="EIF",7,IF(H556="EI",4,IF(H556="EO",5,IF(H556="EQ",4,"")))))</f>
        <v/>
      </c>
      <c r="J556" s="18" t="inlineStr">
        <is>
          <t>中</t>
        </is>
      </c>
      <c r="K556" s="18">
        <f>IF(J556="高",0.33,IF(J556="中",0.67,IF(J556="低",1,"")))</f>
        <v/>
      </c>
      <c r="L556" s="18" t="inlineStr">
        <is>
          <t>新增</t>
        </is>
      </c>
      <c r="M556" s="18">
        <f>IF(L556="新增",1,IF(L556="修改",0.8,IF(L556="删除",0.2,"")))</f>
        <v/>
      </c>
      <c r="N556" s="18">
        <f>I556*K556*M556</f>
        <v/>
      </c>
    </row>
    <row r="557" ht="19" customHeight="1" s="1">
      <c r="B557" s="16" t="n">
        <v>552</v>
      </c>
      <c r="C557" s="16" t="inlineStr">
        <is>
          <t>设备资产全生命周期数据治理与运行健康评估服务</t>
        </is>
      </c>
      <c r="D557" s="16" t="inlineStr">
        <is>
          <t>设备档案管理</t>
        </is>
      </c>
      <c r="E557" s="16" t="inlineStr">
        <is>
          <t>注册管理</t>
        </is>
      </c>
      <c r="F557" s="16" t="inlineStr">
        <is>
          <t>批量导出</t>
        </is>
      </c>
      <c r="G557" s="17" t="inlineStr">
        <is>
          <t xml:space="preserve"> 提供设备信息Excel批量导出服务</t>
        </is>
      </c>
      <c r="H557" s="18" t="inlineStr">
        <is>
          <t>EI</t>
        </is>
      </c>
      <c r="I557" s="18">
        <f>IF(H557="ILF",10,IF(H557="EIF",7,IF(H557="EI",4,IF(H557="EO",5,IF(H557="EQ",4,"")))))</f>
        <v/>
      </c>
      <c r="J557" s="18" t="inlineStr">
        <is>
          <t>中</t>
        </is>
      </c>
      <c r="K557" s="18">
        <f>IF(J557="高",0.33,IF(J557="中",0.67,IF(J557="低",1,"")))</f>
        <v/>
      </c>
      <c r="L557" s="18" t="inlineStr">
        <is>
          <t>新增</t>
        </is>
      </c>
      <c r="M557" s="18">
        <f>IF(L557="新增",1,IF(L557="修改",0.8,IF(L557="删除",0.2,"")))</f>
        <v/>
      </c>
      <c r="N557" s="18">
        <f>I557*K557*M557</f>
        <v/>
      </c>
    </row>
    <row r="558" ht="19" customHeight="1" s="1">
      <c r="B558" s="16" t="n">
        <v>553</v>
      </c>
      <c r="C558" s="16" t="inlineStr">
        <is>
          <t>设备资产全生命周期数据治理与运行健康评估服务</t>
        </is>
      </c>
      <c r="D558" s="16" t="inlineStr">
        <is>
          <t>设备档案管理</t>
        </is>
      </c>
      <c r="E558" s="16" t="inlineStr">
        <is>
          <t>注册管理</t>
        </is>
      </c>
      <c r="F558" s="16" t="inlineStr">
        <is>
          <t>版本管理</t>
        </is>
      </c>
      <c r="G558" s="17" t="inlineStr">
        <is>
          <t xml:space="preserve"> 提供设备档案修改版本历史记录和追溯服务</t>
        </is>
      </c>
      <c r="H558" s="18" t="inlineStr">
        <is>
          <t>EI</t>
        </is>
      </c>
      <c r="I558" s="18">
        <f>IF(H558="ILF",10,IF(H558="EIF",7,IF(H558="EI",4,IF(H558="EO",5,IF(H558="EQ",4,"")))))</f>
        <v/>
      </c>
      <c r="J558" s="18" t="inlineStr">
        <is>
          <t>中</t>
        </is>
      </c>
      <c r="K558" s="18">
        <f>IF(J558="高",0.33,IF(J558="中",0.67,IF(J558="低",1,"")))</f>
        <v/>
      </c>
      <c r="L558" s="18" t="inlineStr">
        <is>
          <t>新增</t>
        </is>
      </c>
      <c r="M558" s="18">
        <f>IF(L558="新增",1,IF(L558="修改",0.8,IF(L558="删除",0.2,"")))</f>
        <v/>
      </c>
      <c r="N558" s="18">
        <f>I558*K558*M558</f>
        <v/>
      </c>
    </row>
    <row r="559" ht="19" customHeight="1" s="1">
      <c r="B559" s="16" t="n">
        <v>554</v>
      </c>
      <c r="C559" s="16" t="inlineStr">
        <is>
          <t>设备资产全生命周期数据治理与运行健康评估服务</t>
        </is>
      </c>
      <c r="D559" s="16" t="inlineStr">
        <is>
          <t>设备档案管理</t>
        </is>
      </c>
      <c r="E559" s="16" t="inlineStr">
        <is>
          <t>注册管理</t>
        </is>
      </c>
      <c r="F559" s="16" t="inlineStr">
        <is>
          <t>标签管理</t>
        </is>
      </c>
      <c r="G559" s="17" t="inlineStr">
        <is>
          <t xml:space="preserve"> 提供设备自定义标签创建/检索/管理服务</t>
        </is>
      </c>
      <c r="H559" s="18" t="inlineStr">
        <is>
          <t>EI</t>
        </is>
      </c>
      <c r="I559" s="18">
        <f>IF(H559="ILF",10,IF(H559="EIF",7,IF(H559="EI",4,IF(H559="EO",5,IF(H559="EQ",4,"")))))</f>
        <v/>
      </c>
      <c r="J559" s="18" t="inlineStr">
        <is>
          <t>中</t>
        </is>
      </c>
      <c r="K559" s="18">
        <f>IF(J559="高",0.33,IF(J559="中",0.67,IF(J559="低",1,"")))</f>
        <v/>
      </c>
      <c r="L559" s="18" t="inlineStr">
        <is>
          <t>新增</t>
        </is>
      </c>
      <c r="M559" s="18">
        <f>IF(L559="新增",1,IF(L559="修改",0.8,IF(L559="删除",0.2,"")))</f>
        <v/>
      </c>
      <c r="N559" s="18">
        <f>I559*K559*M559</f>
        <v/>
      </c>
    </row>
    <row r="560" ht="19" customHeight="1" s="1">
      <c r="B560" s="16" t="n">
        <v>555</v>
      </c>
      <c r="C560" s="16" t="inlineStr">
        <is>
          <t>设备资产全生命周期数据治理与运行健康评估服务</t>
        </is>
      </c>
      <c r="D560" s="16" t="inlineStr">
        <is>
          <t>设备档案管理</t>
        </is>
      </c>
      <c r="E560" s="16" t="inlineStr">
        <is>
          <t>注册管理</t>
        </is>
      </c>
      <c r="F560" s="16" t="inlineStr">
        <is>
          <t>分组管理</t>
        </is>
      </c>
      <c r="G560" s="17" t="inlineStr">
        <is>
          <t xml:space="preserve"> 提供设备按采油厂/作业区/类型分组管理服务</t>
        </is>
      </c>
      <c r="H560" s="18" t="inlineStr">
        <is>
          <t>EI</t>
        </is>
      </c>
      <c r="I560" s="18">
        <f>IF(H560="ILF",10,IF(H560="EIF",7,IF(H560="EI",4,IF(H560="EO",5,IF(H560="EQ",4,"")))))</f>
        <v/>
      </c>
      <c r="J560" s="18" t="inlineStr">
        <is>
          <t>中</t>
        </is>
      </c>
      <c r="K560" s="18">
        <f>IF(J560="高",0.33,IF(J560="中",0.67,IF(J560="低",1,"")))</f>
        <v/>
      </c>
      <c r="L560" s="18" t="inlineStr">
        <is>
          <t>新增</t>
        </is>
      </c>
      <c r="M560" s="18">
        <f>IF(L560="新增",1,IF(L560="修改",0.8,IF(L560="删除",0.2,"")))</f>
        <v/>
      </c>
      <c r="N560" s="18">
        <f>I560*K560*M560</f>
        <v/>
      </c>
    </row>
    <row r="561" ht="19" customHeight="1" s="1">
      <c r="B561" s="16" t="n">
        <v>556</v>
      </c>
      <c r="C561" s="16" t="inlineStr">
        <is>
          <t>设备资产全生命周期数据治理与运行健康评估服务</t>
        </is>
      </c>
      <c r="D561" s="16" t="inlineStr">
        <is>
          <t>设备档案管理</t>
        </is>
      </c>
      <c r="E561" s="16" t="inlineStr">
        <is>
          <t>状态监控</t>
        </is>
      </c>
      <c r="F561" s="16" t="inlineStr">
        <is>
          <t>在线监控</t>
        </is>
      </c>
      <c r="G561" s="17" t="inlineStr">
        <is>
          <t xml:space="preserve"> 提供设备在线/离线状态实时监控服务</t>
        </is>
      </c>
      <c r="H561" s="18" t="inlineStr">
        <is>
          <t>EI</t>
        </is>
      </c>
      <c r="I561" s="18">
        <f>IF(H561="ILF",10,IF(H561="EIF",7,IF(H561="EI",4,IF(H561="EO",5,IF(H561="EQ",4,"")))))</f>
        <v/>
      </c>
      <c r="J561" s="18" t="inlineStr">
        <is>
          <t>中</t>
        </is>
      </c>
      <c r="K561" s="18">
        <f>IF(J561="高",0.33,IF(J561="中",0.67,IF(J561="低",1,"")))</f>
        <v/>
      </c>
      <c r="L561" s="18" t="inlineStr">
        <is>
          <t>新增</t>
        </is>
      </c>
      <c r="M561" s="18">
        <f>IF(L561="新增",1,IF(L561="修改",0.8,IF(L561="删除",0.2,"")))</f>
        <v/>
      </c>
      <c r="N561" s="18">
        <f>I561*K561*M561</f>
        <v/>
      </c>
    </row>
    <row r="562" ht="19" customHeight="1" s="1">
      <c r="B562" s="16" t="n">
        <v>557</v>
      </c>
      <c r="C562" s="16" t="inlineStr">
        <is>
          <t>设备资产全生命周期数据治理与运行健康评估服务</t>
        </is>
      </c>
      <c r="D562" s="16" t="inlineStr">
        <is>
          <t>设备档案管理</t>
        </is>
      </c>
      <c r="E562" s="16" t="inlineStr">
        <is>
          <t>状态监控</t>
        </is>
      </c>
      <c r="F562" s="16" t="inlineStr">
        <is>
          <t>通信质量</t>
        </is>
      </c>
      <c r="G562" s="17" t="inlineStr">
        <is>
          <t xml:space="preserve"> 提供设备通信响应时延和丢包率质量监控服务</t>
        </is>
      </c>
      <c r="H562" s="18" t="inlineStr">
        <is>
          <t>EI</t>
        </is>
      </c>
      <c r="I562" s="18">
        <f>IF(H562="ILF",10,IF(H562="EIF",7,IF(H562="EI",4,IF(H562="EO",5,IF(H562="EQ",4,"")))))</f>
        <v/>
      </c>
      <c r="J562" s="18" t="inlineStr">
        <is>
          <t>中</t>
        </is>
      </c>
      <c r="K562" s="18">
        <f>IF(J562="高",0.33,IF(J562="中",0.67,IF(J562="低",1,"")))</f>
        <v/>
      </c>
      <c r="L562" s="18" t="inlineStr">
        <is>
          <t>新增</t>
        </is>
      </c>
      <c r="M562" s="18">
        <f>IF(L562="新增",1,IF(L562="修改",0.8,IF(L562="删除",0.2,"")))</f>
        <v/>
      </c>
      <c r="N562" s="18">
        <f>I562*K562*M562</f>
        <v/>
      </c>
    </row>
    <row r="563" ht="19" customHeight="1" s="1">
      <c r="B563" s="16" t="n">
        <v>558</v>
      </c>
      <c r="C563" s="16" t="inlineStr">
        <is>
          <t>设备资产全生命周期数据治理与运行健康评估服务</t>
        </is>
      </c>
      <c r="D563" s="16" t="inlineStr">
        <is>
          <t>设备档案管理</t>
        </is>
      </c>
      <c r="E563" s="16" t="inlineStr">
        <is>
          <t>状态监控</t>
        </is>
      </c>
      <c r="F563" s="16" t="inlineStr">
        <is>
          <t>运行参数</t>
        </is>
      </c>
      <c r="G563" s="17" t="inlineStr">
        <is>
          <t xml:space="preserve"> 提供设备关键运行参数实时监控服务</t>
        </is>
      </c>
      <c r="H563" s="18" t="inlineStr">
        <is>
          <t>EI</t>
        </is>
      </c>
      <c r="I563" s="18">
        <f>IF(H563="ILF",10,IF(H563="EIF",7,IF(H563="EI",4,IF(H563="EO",5,IF(H563="EQ",4,"")))))</f>
        <v/>
      </c>
      <c r="J563" s="18" t="inlineStr">
        <is>
          <t>中</t>
        </is>
      </c>
      <c r="K563" s="18">
        <f>IF(J563="高",0.33,IF(J563="中",0.67,IF(J563="低",1,"")))</f>
        <v/>
      </c>
      <c r="L563" s="18" t="inlineStr">
        <is>
          <t>新增</t>
        </is>
      </c>
      <c r="M563" s="18">
        <f>IF(L563="新增",1,IF(L563="修改",0.8,IF(L563="删除",0.2,"")))</f>
        <v/>
      </c>
      <c r="N563" s="18">
        <f>I563*K563*M563</f>
        <v/>
      </c>
    </row>
    <row r="564" ht="19" customHeight="1" s="1">
      <c r="B564" s="16" t="n">
        <v>559</v>
      </c>
      <c r="C564" s="16" t="inlineStr">
        <is>
          <t>设备资产全生命周期数据治理与运行健康评估服务</t>
        </is>
      </c>
      <c r="D564" s="16" t="inlineStr">
        <is>
          <t>设备档案管理</t>
        </is>
      </c>
      <c r="E564" s="16" t="inlineStr">
        <is>
          <t>状态监控</t>
        </is>
      </c>
      <c r="F564" s="16" t="inlineStr">
        <is>
          <t>状态推送</t>
        </is>
      </c>
      <c r="G564" s="17" t="inlineStr">
        <is>
          <t xml:space="preserve"> 提供设备状态变化MQTT实时推送服务</t>
        </is>
      </c>
      <c r="H564" s="18" t="inlineStr">
        <is>
          <t>EI</t>
        </is>
      </c>
      <c r="I564" s="18">
        <f>IF(H564="ILF",10,IF(H564="EIF",7,IF(H564="EI",4,IF(H564="EO",5,IF(H564="EQ",4,"")))))</f>
        <v/>
      </c>
      <c r="J564" s="18" t="inlineStr">
        <is>
          <t>中</t>
        </is>
      </c>
      <c r="K564" s="18">
        <f>IF(J564="高",0.33,IF(J564="中",0.67,IF(J564="低",1,"")))</f>
        <v/>
      </c>
      <c r="L564" s="18" t="inlineStr">
        <is>
          <t>新增</t>
        </is>
      </c>
      <c r="M564" s="18">
        <f>IF(L564="新增",1,IF(L564="修改",0.8,IF(L564="删除",0.2,"")))</f>
        <v/>
      </c>
      <c r="N564" s="18">
        <f>I564*K564*M564</f>
        <v/>
      </c>
    </row>
    <row r="565" ht="19" customHeight="1" s="1">
      <c r="B565" s="16" t="n">
        <v>560</v>
      </c>
      <c r="C565" s="16" t="inlineStr">
        <is>
          <t>设备资产全生命周期数据治理与运行健康评估服务</t>
        </is>
      </c>
      <c r="D565" s="16" t="inlineStr">
        <is>
          <t>设备档案管理</t>
        </is>
      </c>
      <c r="E565" s="16" t="inlineStr">
        <is>
          <t>状态监控</t>
        </is>
      </c>
      <c r="F565" s="16" t="inlineStr">
        <is>
          <t>历史查询</t>
        </is>
      </c>
      <c r="G565" s="17" t="inlineStr">
        <is>
          <t xml:space="preserve"> 提供设备状态变化历史记录查询服务</t>
        </is>
      </c>
      <c r="H565" s="18" t="inlineStr">
        <is>
          <t>EI</t>
        </is>
      </c>
      <c r="I565" s="18">
        <f>IF(H565="ILF",10,IF(H565="EIF",7,IF(H565="EI",4,IF(H565="EO",5,IF(H565="EQ",4,"")))))</f>
        <v/>
      </c>
      <c r="J565" s="18" t="inlineStr">
        <is>
          <t>中</t>
        </is>
      </c>
      <c r="K565" s="18">
        <f>IF(J565="高",0.33,IF(J565="中",0.67,IF(J565="低",1,"")))</f>
        <v/>
      </c>
      <c r="L565" s="18" t="inlineStr">
        <is>
          <t>新增</t>
        </is>
      </c>
      <c r="M565" s="18">
        <f>IF(L565="新增",1,IF(L565="修改",0.8,IF(L565="删除",0.2,"")))</f>
        <v/>
      </c>
      <c r="N565" s="18">
        <f>I565*K565*M565</f>
        <v/>
      </c>
    </row>
    <row r="566" ht="19" customHeight="1" s="1">
      <c r="B566" s="16" t="n">
        <v>561</v>
      </c>
      <c r="C566" s="16" t="inlineStr">
        <is>
          <t>设备资产全生命周期数据治理与运行健康评估服务</t>
        </is>
      </c>
      <c r="D566" s="16" t="inlineStr">
        <is>
          <t>设备档案管理</t>
        </is>
      </c>
      <c r="E566" s="16" t="inlineStr">
        <is>
          <t>状态监控</t>
        </is>
      </c>
      <c r="F566" s="16" t="inlineStr">
        <is>
          <t>统计报表</t>
        </is>
      </c>
      <c r="G566" s="17" t="inlineStr">
        <is>
          <t xml:space="preserve"> 提供设备在线率/离线时长统计服务</t>
        </is>
      </c>
      <c r="H566" s="18" t="inlineStr">
        <is>
          <t>EI</t>
        </is>
      </c>
      <c r="I566" s="18">
        <f>IF(H566="ILF",10,IF(H566="EIF",7,IF(H566="EI",4,IF(H566="EO",5,IF(H566="EQ",4,"")))))</f>
        <v/>
      </c>
      <c r="J566" s="18" t="inlineStr">
        <is>
          <t>中</t>
        </is>
      </c>
      <c r="K566" s="18">
        <f>IF(J566="高",0.33,IF(J566="中",0.67,IF(J566="低",1,"")))</f>
        <v/>
      </c>
      <c r="L566" s="18" t="inlineStr">
        <is>
          <t>新增</t>
        </is>
      </c>
      <c r="M566" s="18">
        <f>IF(L566="新增",1,IF(L566="修改",0.8,IF(L566="删除",0.2,"")))</f>
        <v/>
      </c>
      <c r="N566" s="18">
        <f>I566*K566*M566</f>
        <v/>
      </c>
    </row>
    <row r="567" ht="19" customHeight="1" s="1">
      <c r="B567" s="16" t="n">
        <v>562</v>
      </c>
      <c r="C567" s="16" t="inlineStr">
        <is>
          <t>设备资产全生命周期数据治理与运行健康评估服务</t>
        </is>
      </c>
      <c r="D567" s="16" t="inlineStr">
        <is>
          <t>设备档案管理</t>
        </is>
      </c>
      <c r="E567" s="16" t="inlineStr">
        <is>
          <t>状态监控</t>
        </is>
      </c>
      <c r="F567" s="16" t="inlineStr">
        <is>
          <t>健康评分</t>
        </is>
      </c>
      <c r="G567" s="17" t="inlineStr">
        <is>
          <t xml:space="preserve"> 提供设备综合健康评分服务</t>
        </is>
      </c>
      <c r="H567" s="18" t="inlineStr">
        <is>
          <t>EI</t>
        </is>
      </c>
      <c r="I567" s="18">
        <f>IF(H567="ILF",10,IF(H567="EIF",7,IF(H567="EI",4,IF(H567="EO",5,IF(H567="EQ",4,"")))))</f>
        <v/>
      </c>
      <c r="J567" s="18" t="inlineStr">
        <is>
          <t>中</t>
        </is>
      </c>
      <c r="K567" s="18">
        <f>IF(J567="高",0.33,IF(J567="中",0.67,IF(J567="低",1,"")))</f>
        <v/>
      </c>
      <c r="L567" s="18" t="inlineStr">
        <is>
          <t>新增</t>
        </is>
      </c>
      <c r="M567" s="18">
        <f>IF(L567="新增",1,IF(L567="修改",0.8,IF(L567="删除",0.2,"")))</f>
        <v/>
      </c>
      <c r="N567" s="18">
        <f>I567*K567*M567</f>
        <v/>
      </c>
    </row>
    <row r="568" ht="19" customHeight="1" s="1">
      <c r="B568" s="16" t="n">
        <v>563</v>
      </c>
      <c r="C568" s="16" t="inlineStr">
        <is>
          <t>设备资产全生命周期数据治理与运行健康评估服务</t>
        </is>
      </c>
      <c r="D568" s="16" t="inlineStr">
        <is>
          <t>设备档案管理</t>
        </is>
      </c>
      <c r="E568" s="16" t="inlineStr">
        <is>
          <t>退役管理</t>
        </is>
      </c>
      <c r="F568" s="16" t="inlineStr">
        <is>
          <t>数据归档</t>
        </is>
      </c>
      <c r="G568" s="17" t="inlineStr">
        <is>
          <t xml:space="preserve"> 提供退役设备运行数据归档服务</t>
        </is>
      </c>
      <c r="H568" s="18" t="inlineStr">
        <is>
          <t>EI</t>
        </is>
      </c>
      <c r="I568" s="18">
        <f>IF(H568="ILF",10,IF(H568="EIF",7,IF(H568="EI",4,IF(H568="EO",5,IF(H568="EQ",4,"")))))</f>
        <v/>
      </c>
      <c r="J568" s="18" t="inlineStr">
        <is>
          <t>中</t>
        </is>
      </c>
      <c r="K568" s="18">
        <f>IF(J568="高",0.33,IF(J568="中",0.67,IF(J568="低",1,"")))</f>
        <v/>
      </c>
      <c r="L568" s="18" t="inlineStr">
        <is>
          <t>新增</t>
        </is>
      </c>
      <c r="M568" s="18">
        <f>IF(L568="新增",1,IF(L568="修改",0.8,IF(L568="删除",0.2,"")))</f>
        <v/>
      </c>
      <c r="N568" s="18">
        <f>I568*K568*M568</f>
        <v/>
      </c>
    </row>
    <row r="569" ht="19" customHeight="1" s="1">
      <c r="B569" s="16" t="n">
        <v>564</v>
      </c>
      <c r="C569" s="16" t="inlineStr">
        <is>
          <t>设备资产全生命周期数据治理与运行健康评估服务</t>
        </is>
      </c>
      <c r="D569" s="16" t="inlineStr">
        <is>
          <t>设备档案管理</t>
        </is>
      </c>
      <c r="E569" s="16" t="inlineStr">
        <is>
          <t>退役管理</t>
        </is>
      </c>
      <c r="F569" s="16" t="inlineStr">
        <is>
          <t>台账导出</t>
        </is>
      </c>
      <c r="G569" s="17" t="inlineStr">
        <is>
          <t xml:space="preserve"> 提供设备全量台账信息Excel一键导出服务</t>
        </is>
      </c>
      <c r="H569" s="18" t="inlineStr">
        <is>
          <t>EI</t>
        </is>
      </c>
      <c r="I569" s="18">
        <f>IF(H569="ILF",10,IF(H569="EIF",7,IF(H569="EI",4,IF(H569="EO",5,IF(H569="EQ",4,"")))))</f>
        <v/>
      </c>
      <c r="J569" s="18" t="inlineStr">
        <is>
          <t>中</t>
        </is>
      </c>
      <c r="K569" s="18">
        <f>IF(J569="高",0.33,IF(J569="中",0.67,IF(J569="低",1,"")))</f>
        <v/>
      </c>
      <c r="L569" s="18" t="inlineStr">
        <is>
          <t>新增</t>
        </is>
      </c>
      <c r="M569" s="18">
        <f>IF(L569="新增",1,IF(L569="修改",0.8,IF(L569="删除",0.2,"")))</f>
        <v/>
      </c>
      <c r="N569" s="18">
        <f>I569*K569*M569</f>
        <v/>
      </c>
    </row>
    <row r="570" ht="19" customHeight="1" s="1">
      <c r="B570" s="16" t="n">
        <v>565</v>
      </c>
      <c r="C570" s="16" t="inlineStr">
        <is>
          <t>设备资产全生命周期数据治理与运行健康评估服务</t>
        </is>
      </c>
      <c r="D570" s="16" t="inlineStr">
        <is>
          <t>设备档案管理</t>
        </is>
      </c>
      <c r="E570" s="16" t="inlineStr">
        <is>
          <t>退役管理</t>
        </is>
      </c>
      <c r="F570" s="16" t="inlineStr">
        <is>
          <t>变更追溯</t>
        </is>
      </c>
      <c r="G570" s="17" t="inlineStr">
        <is>
          <t xml:space="preserve"> 提供设备信息变更历史记录和追溯服务</t>
        </is>
      </c>
      <c r="H570" s="18" t="inlineStr">
        <is>
          <t>EI</t>
        </is>
      </c>
      <c r="I570" s="18">
        <f>IF(H570="ILF",10,IF(H570="EIF",7,IF(H570="EI",4,IF(H570="EO",5,IF(H570="EQ",4,"")))))</f>
        <v/>
      </c>
      <c r="J570" s="18" t="inlineStr">
        <is>
          <t>中</t>
        </is>
      </c>
      <c r="K570" s="18">
        <f>IF(J570="高",0.33,IF(J570="中",0.67,IF(J570="低",1,"")))</f>
        <v/>
      </c>
      <c r="L570" s="18" t="inlineStr">
        <is>
          <t>新增</t>
        </is>
      </c>
      <c r="M570" s="18">
        <f>IF(L570="新增",1,IF(L570="修改",0.8,IF(L570="删除",0.2,"")))</f>
        <v/>
      </c>
      <c r="N570" s="18">
        <f>I570*K570*M570</f>
        <v/>
      </c>
    </row>
    <row r="571" ht="19" customHeight="1" s="1">
      <c r="B571" s="16" t="n">
        <v>566</v>
      </c>
      <c r="C571" s="16" t="inlineStr">
        <is>
          <t>设备资产全生命周期数据治理与运行健康评估服务</t>
        </is>
      </c>
      <c r="D571" s="16" t="inlineStr">
        <is>
          <t>设备档案管理</t>
        </is>
      </c>
      <c r="E571" s="16" t="inlineStr">
        <is>
          <t>退役管理</t>
        </is>
      </c>
      <c r="F571" s="16" t="inlineStr">
        <is>
          <t>回收管理</t>
        </is>
      </c>
      <c r="G571" s="17" t="inlineStr">
        <is>
          <t xml:space="preserve"> 提供退役设备物理回收处理流程管理服务</t>
        </is>
      </c>
      <c r="H571" s="18" t="inlineStr">
        <is>
          <t>EI</t>
        </is>
      </c>
      <c r="I571" s="18">
        <f>IF(H571="ILF",10,IF(H571="EIF",7,IF(H571="EI",4,IF(H571="EO",5,IF(H571="EQ",4,"")))))</f>
        <v/>
      </c>
      <c r="J571" s="18" t="inlineStr">
        <is>
          <t>中</t>
        </is>
      </c>
      <c r="K571" s="18">
        <f>IF(J571="高",0.33,IF(J571="中",0.67,IF(J571="低",1,"")))</f>
        <v/>
      </c>
      <c r="L571" s="18" t="inlineStr">
        <is>
          <t>新增</t>
        </is>
      </c>
      <c r="M571" s="18">
        <f>IF(L571="新增",1,IF(L571="修改",0.8,IF(L571="删除",0.2,"")))</f>
        <v/>
      </c>
      <c r="N571" s="18">
        <f>I571*K571*M571</f>
        <v/>
      </c>
    </row>
    <row r="572" ht="19" customHeight="1" s="1">
      <c r="B572" s="16" t="n">
        <v>567</v>
      </c>
      <c r="C572" s="16" t="inlineStr">
        <is>
          <t>设备资产全生命周期数据治理与运行健康评估服务</t>
        </is>
      </c>
      <c r="D572" s="16" t="inlineStr">
        <is>
          <t>设备档案管理</t>
        </is>
      </c>
      <c r="E572" s="16" t="inlineStr">
        <is>
          <t>退役管理</t>
        </is>
      </c>
      <c r="F572" s="16" t="inlineStr">
        <is>
          <t>退役查询</t>
        </is>
      </c>
      <c r="G572" s="17" t="inlineStr">
        <is>
          <t xml:space="preserve"> 提供设备退役记录查询服务</t>
        </is>
      </c>
      <c r="H572" s="18" t="inlineStr">
        <is>
          <t>EO</t>
        </is>
      </c>
      <c r="I572" s="18">
        <f>IF(H572="ILF",10,IF(H572="EIF",7,IF(H572="EI",4,IF(H572="EO",5,IF(H572="EQ",4,"")))))</f>
        <v/>
      </c>
      <c r="J572" s="18" t="inlineStr">
        <is>
          <t>低</t>
        </is>
      </c>
      <c r="K572" s="18">
        <f>IF(J572="高",0.33,IF(J572="中",0.67,IF(J572="低",1,"")))</f>
        <v/>
      </c>
      <c r="L572" s="18" t="inlineStr">
        <is>
          <t>新增</t>
        </is>
      </c>
      <c r="M572" s="18">
        <f>IF(L572="新增",1,IF(L572="修改",0.8,IF(L572="删除",0.2,"")))</f>
        <v/>
      </c>
      <c r="N572" s="18">
        <f>I572*K572*M572</f>
        <v/>
      </c>
    </row>
    <row r="573" ht="19" customHeight="1" s="1">
      <c r="B573" s="16" t="n">
        <v>568</v>
      </c>
      <c r="C573" s="16" t="inlineStr">
        <is>
          <t>设备资产全生命周期数据治理与运行健康评估服务</t>
        </is>
      </c>
      <c r="D573" s="16" t="inlineStr">
        <is>
          <t>数据关联服务</t>
        </is>
      </c>
      <c r="E573" s="16" t="inlineStr">
        <is>
          <t>时序绑定</t>
        </is>
      </c>
      <c r="F573" s="16" t="inlineStr">
        <is>
          <t>设备-时序</t>
        </is>
      </c>
      <c r="G573" s="17" t="inlineStr">
        <is>
          <t xml:space="preserve"> 提供设备档案与实时数据的关联绑定服务</t>
        </is>
      </c>
      <c r="H573" s="18" t="inlineStr">
        <is>
          <t>EO</t>
        </is>
      </c>
      <c r="I573" s="18">
        <f>IF(H573="ILF",10,IF(H573="EIF",7,IF(H573="EI",4,IF(H573="EO",5,IF(H573="EQ",4,"")))))</f>
        <v/>
      </c>
      <c r="J573" s="18" t="inlineStr">
        <is>
          <t>低</t>
        </is>
      </c>
      <c r="K573" s="18">
        <f>IF(J573="高",0.33,IF(J573="中",0.67,IF(J573="低",1,"")))</f>
        <v/>
      </c>
      <c r="L573" s="18" t="inlineStr">
        <is>
          <t>新增</t>
        </is>
      </c>
      <c r="M573" s="18">
        <f>IF(L573="新增",1,IF(L573="修改",0.8,IF(L573="删除",0.2,"")))</f>
        <v/>
      </c>
      <c r="N573" s="18">
        <f>I573*K573*M573</f>
        <v/>
      </c>
    </row>
    <row r="574" ht="19" customHeight="1" s="1">
      <c r="B574" s="16" t="n">
        <v>569</v>
      </c>
      <c r="C574" s="16" t="inlineStr">
        <is>
          <t>设备资产全生命周期数据治理与运行健康评估服务</t>
        </is>
      </c>
      <c r="D574" s="16" t="inlineStr">
        <is>
          <t>数据关联服务</t>
        </is>
      </c>
      <c r="E574" s="16" t="inlineStr">
        <is>
          <t>时序绑定</t>
        </is>
      </c>
      <c r="F574" s="16" t="inlineStr">
        <is>
          <t>历史查询</t>
        </is>
      </c>
      <c r="G574" s="17" t="inlineStr">
        <is>
          <t xml:space="preserve"> 提供设备与历史数据的关联查询服务</t>
        </is>
      </c>
      <c r="H574" s="18" t="inlineStr">
        <is>
          <t>EO</t>
        </is>
      </c>
      <c r="I574" s="18">
        <f>IF(H574="ILF",10,IF(H574="EIF",7,IF(H574="EI",4,IF(H574="EO",5,IF(H574="EQ",4,"")))))</f>
        <v/>
      </c>
      <c r="J574" s="18" t="inlineStr">
        <is>
          <t>中</t>
        </is>
      </c>
      <c r="K574" s="18">
        <f>IF(J574="高",0.33,IF(J574="中",0.67,IF(J574="低",1,"")))</f>
        <v/>
      </c>
      <c r="L574" s="18" t="inlineStr">
        <is>
          <t>新增</t>
        </is>
      </c>
      <c r="M574" s="18">
        <f>IF(L574="新增",1,IF(L574="修改",0.8,IF(L574="删除",0.2,"")))</f>
        <v/>
      </c>
      <c r="N574" s="18">
        <f>I574*K574*M574</f>
        <v/>
      </c>
    </row>
    <row r="575" ht="19" customHeight="1" s="1">
      <c r="B575" s="16" t="n">
        <v>570</v>
      </c>
      <c r="C575" s="16" t="inlineStr">
        <is>
          <t>设备资产全生命周期数据治理与运行健康评估服务</t>
        </is>
      </c>
      <c r="D575" s="16" t="inlineStr">
        <is>
          <t>数据关联服务</t>
        </is>
      </c>
      <c r="E575" s="16" t="inlineStr">
        <is>
          <t>时序绑定</t>
        </is>
      </c>
      <c r="F575" s="16" t="inlineStr">
        <is>
          <t>增量同步</t>
        </is>
      </c>
      <c r="G575" s="17" t="inlineStr">
        <is>
          <t xml:space="preserve"> 提供设备档案变更后关联数据增量同步服务</t>
        </is>
      </c>
      <c r="H575" s="18" t="inlineStr">
        <is>
          <t>EO</t>
        </is>
      </c>
      <c r="I575" s="18">
        <f>IF(H575="ILF",10,IF(H575="EIF",7,IF(H575="EI",4,IF(H575="EO",5,IF(H575="EQ",4,"")))))</f>
        <v/>
      </c>
      <c r="J575" s="18" t="inlineStr">
        <is>
          <t>中</t>
        </is>
      </c>
      <c r="K575" s="18">
        <f>IF(J575="高",0.33,IF(J575="中",0.67,IF(J575="低",1,"")))</f>
        <v/>
      </c>
      <c r="L575" s="18" t="inlineStr">
        <is>
          <t>新增</t>
        </is>
      </c>
      <c r="M575" s="18">
        <f>IF(L575="新增",1,IF(L575="修改",0.8,IF(L575="删除",0.2,"")))</f>
        <v/>
      </c>
      <c r="N575" s="18">
        <f>I575*K575*M575</f>
        <v/>
      </c>
    </row>
    <row r="576" ht="19" customHeight="1" s="1">
      <c r="B576" s="16" t="n">
        <v>571</v>
      </c>
      <c r="C576" s="16" t="inlineStr">
        <is>
          <t>设备资产全生命周期数据治理与运行健康评估服务</t>
        </is>
      </c>
      <c r="D576" s="16" t="inlineStr">
        <is>
          <t>数据关联服务</t>
        </is>
      </c>
      <c r="E576" s="16" t="inlineStr">
        <is>
          <t>时序绑定</t>
        </is>
      </c>
      <c r="F576" s="16" t="inlineStr">
        <is>
          <t>一致性</t>
        </is>
      </c>
      <c r="G576" s="17" t="inlineStr">
        <is>
          <t xml:space="preserve"> 提供设备-时序数据关联一致性校验服务</t>
        </is>
      </c>
      <c r="H576" s="18" t="inlineStr">
        <is>
          <t>EO</t>
        </is>
      </c>
      <c r="I576" s="18">
        <f>IF(H576="ILF",10,IF(H576="EIF",7,IF(H576="EI",4,IF(H576="EO",5,IF(H576="EQ",4,"")))))</f>
        <v/>
      </c>
      <c r="J576" s="18" t="inlineStr">
        <is>
          <t>中</t>
        </is>
      </c>
      <c r="K576" s="18">
        <f>IF(J576="高",0.33,IF(J576="中",0.67,IF(J576="低",1,"")))</f>
        <v/>
      </c>
      <c r="L576" s="18" t="inlineStr">
        <is>
          <t>新增</t>
        </is>
      </c>
      <c r="M576" s="18">
        <f>IF(L576="新增",1,IF(L576="修改",0.8,IF(L576="删除",0.2,"")))</f>
        <v/>
      </c>
      <c r="N576" s="18">
        <f>I576*K576*M576</f>
        <v/>
      </c>
    </row>
    <row r="577" ht="19" customHeight="1" s="1">
      <c r="B577" s="16" t="n">
        <v>572</v>
      </c>
      <c r="C577" s="16" t="inlineStr">
        <is>
          <t>设备资产全生命周期数据治理与运行健康评估服务</t>
        </is>
      </c>
      <c r="D577" s="16" t="inlineStr">
        <is>
          <t>数据关联服务</t>
        </is>
      </c>
      <c r="E577" s="16" t="inlineStr">
        <is>
          <t>维修管理</t>
        </is>
      </c>
      <c r="F577" s="16" t="inlineStr">
        <is>
          <t>工单创建</t>
        </is>
      </c>
      <c r="G577" s="17" t="inlineStr">
        <is>
          <t xml:space="preserve"> 提供设备维修工单创建服务</t>
        </is>
      </c>
      <c r="H577" s="18" t="inlineStr">
        <is>
          <t>EO</t>
        </is>
      </c>
      <c r="I577" s="18">
        <f>IF(H577="ILF",10,IF(H577="EIF",7,IF(H577="EI",4,IF(H577="EO",5,IF(H577="EQ",4,"")))))</f>
        <v/>
      </c>
      <c r="J577" s="18" t="inlineStr">
        <is>
          <t>中</t>
        </is>
      </c>
      <c r="K577" s="18">
        <f>IF(J577="高",0.33,IF(J577="中",0.67,IF(J577="低",1,"")))</f>
        <v/>
      </c>
      <c r="L577" s="18" t="inlineStr">
        <is>
          <t>新增</t>
        </is>
      </c>
      <c r="M577" s="18">
        <f>IF(L577="新增",1,IF(L577="修改",0.8,IF(L577="删除",0.2,"")))</f>
        <v/>
      </c>
      <c r="N577" s="18">
        <f>I577*K577*M577</f>
        <v/>
      </c>
    </row>
    <row r="578" ht="19" customHeight="1" s="1">
      <c r="B578" s="16" t="n">
        <v>573</v>
      </c>
      <c r="C578" s="16" t="inlineStr">
        <is>
          <t>设备资产全生命周期数据治理与运行健康评估服务</t>
        </is>
      </c>
      <c r="D578" s="16" t="inlineStr">
        <is>
          <t>数据关联服务</t>
        </is>
      </c>
      <c r="E578" s="16" t="inlineStr">
        <is>
          <t>维修管理</t>
        </is>
      </c>
      <c r="F578" s="16" t="inlineStr">
        <is>
          <t>历史记录</t>
        </is>
      </c>
      <c r="G578" s="17" t="inlineStr">
        <is>
          <t xml:space="preserve"> 提供设备维修历史记录管理服务</t>
        </is>
      </c>
      <c r="H578" s="18" t="inlineStr">
        <is>
          <t>EO</t>
        </is>
      </c>
      <c r="I578" s="18">
        <f>IF(H578="ILF",10,IF(H578="EIF",7,IF(H578="EI",4,IF(H578="EO",5,IF(H578="EQ",4,"")))))</f>
        <v/>
      </c>
      <c r="J578" s="18" t="inlineStr">
        <is>
          <t>中</t>
        </is>
      </c>
      <c r="K578" s="18">
        <f>IF(J578="高",0.33,IF(J578="中",0.67,IF(J578="低",1,"")))</f>
        <v/>
      </c>
      <c r="L578" s="18" t="inlineStr">
        <is>
          <t>新增</t>
        </is>
      </c>
      <c r="M578" s="18">
        <f>IF(L578="新增",1,IF(L578="修改",0.8,IF(L578="删除",0.2,"")))</f>
        <v/>
      </c>
      <c r="N578" s="18">
        <f>I578*K578*M578</f>
        <v/>
      </c>
    </row>
    <row r="579" ht="19" customHeight="1" s="1">
      <c r="B579" s="16" t="n">
        <v>574</v>
      </c>
      <c r="C579" s="16" t="inlineStr">
        <is>
          <t>设备资产全生命周期数据治理与运行健康评估服务</t>
        </is>
      </c>
      <c r="D579" s="16" t="inlineStr">
        <is>
          <t>数据关联服务</t>
        </is>
      </c>
      <c r="E579" s="16" t="inlineStr">
        <is>
          <t>维修管理</t>
        </is>
      </c>
      <c r="F579" s="16" t="inlineStr">
        <is>
          <t>备件更换</t>
        </is>
      </c>
      <c r="G579" s="17" t="inlineStr">
        <is>
          <t xml:space="preserve"> 提供设备备件更换的记录和跟踪服务</t>
        </is>
      </c>
      <c r="H579" s="18" t="inlineStr">
        <is>
          <t>EO</t>
        </is>
      </c>
      <c r="I579" s="18">
        <f>IF(H579="ILF",10,IF(H579="EIF",7,IF(H579="EI",4,IF(H579="EO",5,IF(H579="EQ",4,"")))))</f>
        <v/>
      </c>
      <c r="J579" s="18" t="inlineStr">
        <is>
          <t>中</t>
        </is>
      </c>
      <c r="K579" s="18">
        <f>IF(J579="高",0.33,IF(J579="中",0.67,IF(J579="低",1,"")))</f>
        <v/>
      </c>
      <c r="L579" s="18" t="inlineStr">
        <is>
          <t>新增</t>
        </is>
      </c>
      <c r="M579" s="18">
        <f>IF(L579="新增",1,IF(L579="修改",0.8,IF(L579="删除",0.2,"")))</f>
        <v/>
      </c>
      <c r="N579" s="18">
        <f>I579*K579*M579</f>
        <v/>
      </c>
    </row>
    <row r="580" ht="19" customHeight="1" s="1">
      <c r="B580" s="16" t="n">
        <v>575</v>
      </c>
      <c r="C580" s="16" t="inlineStr">
        <is>
          <t>设备资产全生命周期数据治理与运行健康评估服务</t>
        </is>
      </c>
      <c r="D580" s="16" t="inlineStr">
        <is>
          <t>数据关联服务</t>
        </is>
      </c>
      <c r="E580" s="16" t="inlineStr">
        <is>
          <t>维修管理</t>
        </is>
      </c>
      <c r="F580" s="16" t="inlineStr">
        <is>
          <t>成本统计</t>
        </is>
      </c>
      <c r="G580" s="17" t="inlineStr">
        <is>
          <t xml:space="preserve"> 提供分设备/分类别维修成本统计服务</t>
        </is>
      </c>
      <c r="H580" s="18" t="inlineStr">
        <is>
          <t>EO</t>
        </is>
      </c>
      <c r="I580" s="18">
        <f>IF(H580="ILF",10,IF(H580="EIF",7,IF(H580="EI",4,IF(H580="EO",5,IF(H580="EQ",4,"")))))</f>
        <v/>
      </c>
      <c r="J580" s="18" t="inlineStr">
        <is>
          <t>中</t>
        </is>
      </c>
      <c r="K580" s="18">
        <f>IF(J580="高",0.33,IF(J580="中",0.67,IF(J580="低",1,"")))</f>
        <v/>
      </c>
      <c r="L580" s="18" t="inlineStr">
        <is>
          <t>新增</t>
        </is>
      </c>
      <c r="M580" s="18">
        <f>IF(L580="新增",1,IF(L580="修改",0.8,IF(L580="删除",0.2,"")))</f>
        <v/>
      </c>
      <c r="N580" s="18">
        <f>I580*K580*M580</f>
        <v/>
      </c>
    </row>
    <row r="581" ht="19" customHeight="1" s="1">
      <c r="B581" s="16" t="n">
        <v>576</v>
      </c>
      <c r="C581" s="16" t="inlineStr">
        <is>
          <t>设备资产全生命周期数据治理与运行健康评估服务</t>
        </is>
      </c>
      <c r="D581" s="16" t="inlineStr">
        <is>
          <t>数据关联服务</t>
        </is>
      </c>
      <c r="E581" s="16" t="inlineStr">
        <is>
          <t>维修管理</t>
        </is>
      </c>
      <c r="F581" s="16" t="inlineStr">
        <is>
          <t>报表生成</t>
        </is>
      </c>
      <c r="G581" s="17" t="inlineStr">
        <is>
          <t xml:space="preserve"> 提供维修记录统计报表自动生成服务</t>
        </is>
      </c>
      <c r="H581" s="18" t="inlineStr">
        <is>
          <t>EQ</t>
        </is>
      </c>
      <c r="I581" s="18">
        <f>IF(H581="ILF",10,IF(H581="EIF",7,IF(H581="EI",4,IF(H581="EO",5,IF(H581="EQ",4,"")))))</f>
        <v/>
      </c>
      <c r="J581" s="18" t="inlineStr">
        <is>
          <t>低</t>
        </is>
      </c>
      <c r="K581" s="18">
        <f>IF(J581="高",0.33,IF(J581="中",0.67,IF(J581="低",1,"")))</f>
        <v/>
      </c>
      <c r="L581" s="18" t="inlineStr">
        <is>
          <t>新增</t>
        </is>
      </c>
      <c r="M581" s="18">
        <f>IF(L581="新增",1,IF(L581="修改",0.8,IF(L581="删除",0.2,"")))</f>
        <v/>
      </c>
      <c r="N581" s="18">
        <f>I581*K581*M581</f>
        <v/>
      </c>
    </row>
    <row r="582" ht="19" customHeight="1" s="1">
      <c r="B582" s="16" t="n">
        <v>577</v>
      </c>
      <c r="C582" s="16" t="inlineStr">
        <is>
          <t>设备资产全生命周期数据治理与运行健康评估服务</t>
        </is>
      </c>
      <c r="D582" s="16" t="inlineStr">
        <is>
          <t>数据关联服务</t>
        </is>
      </c>
      <c r="E582" s="16" t="inlineStr">
        <is>
          <t>告警关联</t>
        </is>
      </c>
      <c r="F582" s="16" t="inlineStr">
        <is>
          <t>告警-设备</t>
        </is>
      </c>
      <c r="G582" s="17" t="inlineStr">
        <is>
          <t xml:space="preserve"> 提供告警事件与设备的关联绑定服务</t>
        </is>
      </c>
      <c r="H582" s="18" t="inlineStr">
        <is>
          <t>EQ</t>
        </is>
      </c>
      <c r="I582" s="18">
        <f>IF(H582="ILF",10,IF(H582="EIF",7,IF(H582="EI",4,IF(H582="EO",5,IF(H582="EQ",4,"")))))</f>
        <v/>
      </c>
      <c r="J582" s="18" t="inlineStr">
        <is>
          <t>低</t>
        </is>
      </c>
      <c r="K582" s="18">
        <f>IF(J582="高",0.33,IF(J582="中",0.67,IF(J582="低",1,"")))</f>
        <v/>
      </c>
      <c r="L582" s="18" t="inlineStr">
        <is>
          <t>新增</t>
        </is>
      </c>
      <c r="M582" s="18">
        <f>IF(L582="新增",1,IF(L582="修改",0.8,IF(L582="删除",0.2,"")))</f>
        <v/>
      </c>
      <c r="N582" s="18">
        <f>I582*K582*M582</f>
        <v/>
      </c>
    </row>
    <row r="583" ht="19" customHeight="1" s="1">
      <c r="B583" s="16" t="n">
        <v>578</v>
      </c>
      <c r="C583" s="16" t="inlineStr">
        <is>
          <t>设备资产全生命周期数据治理与运行健康评估服务</t>
        </is>
      </c>
      <c r="D583" s="16" t="inlineStr">
        <is>
          <t>数据关联服务</t>
        </is>
      </c>
      <c r="E583" s="16" t="inlineStr">
        <is>
          <t>告警关联</t>
        </is>
      </c>
      <c r="F583" s="16" t="inlineStr">
        <is>
          <t>频率趋势</t>
        </is>
      </c>
      <c r="G583" s="17" t="inlineStr">
        <is>
          <t xml:space="preserve"> 提供设备告警频率趋势统计分析服务</t>
        </is>
      </c>
      <c r="H583" s="18" t="inlineStr">
        <is>
          <t>EQ</t>
        </is>
      </c>
      <c r="I583" s="18">
        <f>IF(H583="ILF",10,IF(H583="EIF",7,IF(H583="EI",4,IF(H583="EO",5,IF(H583="EQ",4,"")))))</f>
        <v/>
      </c>
      <c r="J583" s="18" t="inlineStr">
        <is>
          <t>低</t>
        </is>
      </c>
      <c r="K583" s="18">
        <f>IF(J583="高",0.33,IF(J583="中",0.67,IF(J583="低",1,"")))</f>
        <v/>
      </c>
      <c r="L583" s="18" t="inlineStr">
        <is>
          <t>新增</t>
        </is>
      </c>
      <c r="M583" s="18">
        <f>IF(L583="新增",1,IF(L583="修改",0.8,IF(L583="删除",0.2,"")))</f>
        <v/>
      </c>
      <c r="N583" s="18">
        <f>I583*K583*M583</f>
        <v/>
      </c>
    </row>
    <row r="584" ht="19" customHeight="1" s="1">
      <c r="B584" s="16" t="n">
        <v>579</v>
      </c>
      <c r="C584" s="16" t="inlineStr">
        <is>
          <t>设备资产全生命周期数据治理与运行健康评估服务</t>
        </is>
      </c>
      <c r="D584" s="16" t="inlineStr">
        <is>
          <t>数据关联服务</t>
        </is>
      </c>
      <c r="E584" s="16" t="inlineStr">
        <is>
          <t>告警关联</t>
        </is>
      </c>
      <c r="F584" s="16" t="inlineStr">
        <is>
          <t>根因追溯</t>
        </is>
      </c>
      <c r="G584" s="17" t="inlineStr">
        <is>
          <t xml:space="preserve"> 提供设备异常根因追溯和影响范围分析服务</t>
        </is>
      </c>
      <c r="H584" s="18" t="inlineStr">
        <is>
          <t>EQ</t>
        </is>
      </c>
      <c r="I584" s="18">
        <f>IF(H584="ILF",10,IF(H584="EIF",7,IF(H584="EI",4,IF(H584="EO",5,IF(H584="EQ",4,"")))))</f>
        <v/>
      </c>
      <c r="J584" s="18" t="inlineStr">
        <is>
          <t>低</t>
        </is>
      </c>
      <c r="K584" s="18">
        <f>IF(J584="高",0.33,IF(J584="中",0.67,IF(J584="低",1,"")))</f>
        <v/>
      </c>
      <c r="L584" s="18" t="inlineStr">
        <is>
          <t>新增</t>
        </is>
      </c>
      <c r="M584" s="18">
        <f>IF(L584="新增",1,IF(L584="修改",0.8,IF(L584="删除",0.2,"")))</f>
        <v/>
      </c>
      <c r="N584" s="18">
        <f>I584*K584*M584</f>
        <v/>
      </c>
    </row>
    <row r="585" ht="19" customHeight="1" s="1">
      <c r="B585" s="16" t="n">
        <v>580</v>
      </c>
      <c r="C585" s="16" t="inlineStr">
        <is>
          <t>设备资产全生命周期数据治理与运行健康评估服务</t>
        </is>
      </c>
      <c r="D585" s="16" t="inlineStr">
        <is>
          <t>数据关联服务</t>
        </is>
      </c>
      <c r="E585" s="16" t="inlineStr">
        <is>
          <t>告警关联</t>
        </is>
      </c>
      <c r="F585" s="16" t="inlineStr">
        <is>
          <t>跨设备</t>
        </is>
      </c>
      <c r="G585" s="17" t="inlineStr">
        <is>
          <t xml:space="preserve"> 提供关联设备间的告警关联分析服务</t>
        </is>
      </c>
      <c r="H585" s="18" t="inlineStr">
        <is>
          <t>EQ</t>
        </is>
      </c>
      <c r="I585" s="18">
        <f>IF(H585="ILF",10,IF(H585="EIF",7,IF(H585="EI",4,IF(H585="EO",5,IF(H585="EQ",4,"")))))</f>
        <v/>
      </c>
      <c r="J585" s="18" t="inlineStr">
        <is>
          <t>低</t>
        </is>
      </c>
      <c r="K585" s="18">
        <f>IF(J585="高",0.33,IF(J585="中",0.67,IF(J585="低",1,"")))</f>
        <v/>
      </c>
      <c r="L585" s="18" t="inlineStr">
        <is>
          <t>新增</t>
        </is>
      </c>
      <c r="M585" s="18">
        <f>IF(L585="新增",1,IF(L585="修改",0.8,IF(L585="删除",0.2,"")))</f>
        <v/>
      </c>
      <c r="N585" s="18">
        <f>I585*K585*M585</f>
        <v/>
      </c>
    </row>
    <row r="586" ht="19" customHeight="1" s="1">
      <c r="B586" s="16" t="n">
        <v>581</v>
      </c>
      <c r="C586" s="16" t="inlineStr">
        <is>
          <t>设备资产全生命周期数据治理与运行健康评估服务</t>
        </is>
      </c>
      <c r="D586" s="16" t="inlineStr">
        <is>
          <t>数据关联服务</t>
        </is>
      </c>
      <c r="E586" s="16" t="inlineStr">
        <is>
          <t>告警关联</t>
        </is>
      </c>
      <c r="F586" s="16" t="inlineStr">
        <is>
          <t>告警回溯</t>
        </is>
      </c>
      <c r="G586" s="17" t="inlineStr">
        <is>
          <t xml:space="preserve"> 提供设备历史告警回溯查询服务</t>
        </is>
      </c>
      <c r="H586" s="18" t="inlineStr">
        <is>
          <t>EQ</t>
        </is>
      </c>
      <c r="I586" s="18">
        <f>IF(H586="ILF",10,IF(H586="EIF",7,IF(H586="EI",4,IF(H586="EO",5,IF(H586="EQ",4,"")))))</f>
        <v/>
      </c>
      <c r="J586" s="18" t="inlineStr">
        <is>
          <t>低</t>
        </is>
      </c>
      <c r="K586" s="18">
        <f>IF(J586="高",0.33,IF(J586="中",0.67,IF(J586="低",1,"")))</f>
        <v/>
      </c>
      <c r="L586" s="18" t="inlineStr">
        <is>
          <t>新增</t>
        </is>
      </c>
      <c r="M586" s="18">
        <f>IF(L586="新增",1,IF(L586="修改",0.8,IF(L586="删除",0.2,"")))</f>
        <v/>
      </c>
      <c r="N586" s="18">
        <f>I586*K586*M586</f>
        <v/>
      </c>
    </row>
    <row r="587" ht="19" customHeight="1" s="1">
      <c r="B587" s="16" t="n">
        <v>582</v>
      </c>
      <c r="C587" s="16" t="inlineStr">
        <is>
          <t>设备资产全生命周期数据治理与运行健康评估服务</t>
        </is>
      </c>
      <c r="D587" s="16" t="inlineStr">
        <is>
          <t>健康管理服务</t>
        </is>
      </c>
      <c r="E587" s="16" t="inlineStr">
        <is>
          <t>评分与预警</t>
        </is>
      </c>
      <c r="F587" s="16" t="inlineStr">
        <is>
          <t>综合评分</t>
        </is>
      </c>
      <c r="G587" s="17" t="inlineStr">
        <is>
          <t xml:space="preserve"> 提供基于告警频率/数据质量/在线率三维度健康评分</t>
        </is>
      </c>
      <c r="H587" s="18" t="inlineStr">
        <is>
          <t>EQ</t>
        </is>
      </c>
      <c r="I587" s="18">
        <f>IF(H587="ILF",10,IF(H587="EIF",7,IF(H587="EI",4,IF(H587="EO",5,IF(H587="EQ",4,"")))))</f>
        <v/>
      </c>
      <c r="J587" s="18" t="inlineStr">
        <is>
          <t>低</t>
        </is>
      </c>
      <c r="K587" s="18">
        <f>IF(J587="高",0.33,IF(J587="中",0.67,IF(J587="低",1,"")))</f>
        <v/>
      </c>
      <c r="L587" s="18" t="inlineStr">
        <is>
          <t>新增</t>
        </is>
      </c>
      <c r="M587" s="18">
        <f>IF(L587="新增",1,IF(L587="修改",0.8,IF(L587="删除",0.2,"")))</f>
        <v/>
      </c>
      <c r="N587" s="18">
        <f>I587*K587*M587</f>
        <v/>
      </c>
    </row>
    <row r="588" ht="19" customHeight="1" s="1">
      <c r="B588" s="16" t="n">
        <v>583</v>
      </c>
      <c r="C588" s="16" t="inlineStr">
        <is>
          <t>设备资产全生命周期数据治理与运行健康评估服务</t>
        </is>
      </c>
      <c r="D588" s="16" t="inlineStr">
        <is>
          <t>健康管理服务</t>
        </is>
      </c>
      <c r="E588" s="16" t="inlineStr">
        <is>
          <t>评分与预警</t>
        </is>
      </c>
      <c r="F588" s="16" t="inlineStr">
        <is>
          <t>故障预测</t>
        </is>
      </c>
      <c r="G588" s="17" t="inlineStr">
        <is>
          <t xml:space="preserve"> 提供基于历史数据设备故障趋势预测服务</t>
        </is>
      </c>
      <c r="H588" s="18" t="inlineStr">
        <is>
          <t>EQ</t>
        </is>
      </c>
      <c r="I588" s="18">
        <f>IF(H588="ILF",10,IF(H588="EIF",7,IF(H588="EI",4,IF(H588="EO",5,IF(H588="EQ",4,"")))))</f>
        <v/>
      </c>
      <c r="J588" s="18" t="inlineStr">
        <is>
          <t>低</t>
        </is>
      </c>
      <c r="K588" s="18">
        <f>IF(J588="高",0.33,IF(J588="中",0.67,IF(J588="低",1,"")))</f>
        <v/>
      </c>
      <c r="L588" s="18" t="inlineStr">
        <is>
          <t>新增</t>
        </is>
      </c>
      <c r="M588" s="18">
        <f>IF(L588="新增",1,IF(L588="修改",0.8,IF(L588="删除",0.2,"")))</f>
        <v/>
      </c>
      <c r="N588" s="18">
        <f>I588*K588*M588</f>
        <v/>
      </c>
    </row>
    <row r="589" ht="19" customHeight="1" s="1">
      <c r="B589" s="16" t="n">
        <v>584</v>
      </c>
      <c r="C589" s="16" t="inlineStr">
        <is>
          <t>设备资产全生命周期数据治理与运行健康评估服务</t>
        </is>
      </c>
      <c r="D589" s="16" t="inlineStr">
        <is>
          <t>健康管理服务</t>
        </is>
      </c>
      <c r="E589" s="16" t="inlineStr">
        <is>
          <t>评分与预警</t>
        </is>
      </c>
      <c r="F589" s="16" t="inlineStr">
        <is>
          <t>预警阈值</t>
        </is>
      </c>
      <c r="G589" s="17" t="inlineStr">
        <is>
          <t xml:space="preserve"> 提供设备健康预警触发阈值配置服务</t>
        </is>
      </c>
      <c r="H589" s="18" t="inlineStr">
        <is>
          <t>EQ</t>
        </is>
      </c>
      <c r="I589" s="18">
        <f>IF(H589="ILF",10,IF(H589="EIF",7,IF(H589="EI",4,IF(H589="EO",5,IF(H589="EQ",4,"")))))</f>
        <v/>
      </c>
      <c r="J589" s="18" t="inlineStr">
        <is>
          <t>低</t>
        </is>
      </c>
      <c r="K589" s="18">
        <f>IF(J589="高",0.33,IF(J589="中",0.67,IF(J589="低",1,"")))</f>
        <v/>
      </c>
      <c r="L589" s="18" t="inlineStr">
        <is>
          <t>新增</t>
        </is>
      </c>
      <c r="M589" s="18">
        <f>IF(L589="新增",1,IF(L589="修改",0.8,IF(L589="删除",0.2,"")))</f>
        <v/>
      </c>
      <c r="N589" s="18">
        <f>I589*K589*M589</f>
        <v/>
      </c>
    </row>
    <row r="590" ht="19" customHeight="1" s="1">
      <c r="B590" s="16" t="n">
        <v>585</v>
      </c>
      <c r="C590" s="16" t="inlineStr">
        <is>
          <t>设备资产全生命周期数据治理与运行健康评估服务</t>
        </is>
      </c>
      <c r="D590" s="16" t="inlineStr">
        <is>
          <t>健康管理服务</t>
        </is>
      </c>
      <c r="E590" s="16" t="inlineStr">
        <is>
          <t>评分与预警</t>
        </is>
      </c>
      <c r="F590" s="16" t="inlineStr">
        <is>
          <t>预警通知</t>
        </is>
      </c>
      <c r="G590" s="17" t="inlineStr">
        <is>
          <t xml:space="preserve"> 提供设备健康评分低于阈值通知推送服务</t>
        </is>
      </c>
      <c r="H590" s="18" t="inlineStr">
        <is>
          <t>EQ</t>
        </is>
      </c>
      <c r="I590" s="18">
        <f>IF(H590="ILF",10,IF(H590="EIF",7,IF(H590="EI",4,IF(H590="EO",5,IF(H590="EQ",4,"")))))</f>
        <v/>
      </c>
      <c r="J590" s="18" t="inlineStr">
        <is>
          <t>低</t>
        </is>
      </c>
      <c r="K590" s="18">
        <f>IF(J590="高",0.33,IF(J590="中",0.67,IF(J590="低",1,"")))</f>
        <v/>
      </c>
      <c r="L590" s="18" t="inlineStr">
        <is>
          <t>新增</t>
        </is>
      </c>
      <c r="M590" s="18">
        <f>IF(L590="新增",1,IF(L590="修改",0.8,IF(L590="删除",0.2,"")))</f>
        <v/>
      </c>
      <c r="N590" s="18">
        <f>I590*K590*M590</f>
        <v/>
      </c>
    </row>
    <row r="591" ht="19" customHeight="1" s="1">
      <c r="B591" s="16" t="n">
        <v>586</v>
      </c>
      <c r="C591" s="16" t="inlineStr">
        <is>
          <t>设备资产全生命周期数据治理与运行健康评估服务</t>
        </is>
      </c>
      <c r="D591" s="16" t="inlineStr">
        <is>
          <t>健康管理服务</t>
        </is>
      </c>
      <c r="E591" s="16" t="inlineStr">
        <is>
          <t>评分与预警</t>
        </is>
      </c>
      <c r="F591" s="16" t="inlineStr">
        <is>
          <t>模型配置</t>
        </is>
      </c>
      <c r="G591" s="17" t="inlineStr">
        <is>
          <t xml:space="preserve"> 提供健康评分模型权重参数配置服务</t>
        </is>
      </c>
      <c r="H591" s="18" t="inlineStr">
        <is>
          <t>EQ</t>
        </is>
      </c>
      <c r="I591" s="18">
        <f>IF(H591="ILF",10,IF(H591="EIF",7,IF(H591="EI",4,IF(H591="EO",5,IF(H591="EQ",4,"")))))</f>
        <v/>
      </c>
      <c r="J591" s="18" t="inlineStr">
        <is>
          <t>低</t>
        </is>
      </c>
      <c r="K591" s="18">
        <f>IF(J591="高",0.33,IF(J591="中",0.67,IF(J591="低",1,"")))</f>
        <v/>
      </c>
      <c r="L591" s="18" t="inlineStr">
        <is>
          <t>新增</t>
        </is>
      </c>
      <c r="M591" s="18">
        <f>IF(L591="新增",1,IF(L591="修改",0.8,IF(L591="删除",0.2,"")))</f>
        <v/>
      </c>
      <c r="N591" s="18">
        <f>I591*K591*M591</f>
        <v/>
      </c>
    </row>
    <row r="592" ht="19" customHeight="1" s="1">
      <c r="B592" s="16" t="n">
        <v>587</v>
      </c>
      <c r="C592" s="16" t="inlineStr">
        <is>
          <t>设备资产全生命周期数据治理与运行健康评估服务</t>
        </is>
      </c>
      <c r="D592" s="16" t="inlineStr">
        <is>
          <t>健康管理服务</t>
        </is>
      </c>
      <c r="E592" s="16" t="inlineStr">
        <is>
          <t>评分与预警</t>
        </is>
      </c>
      <c r="F592" s="16" t="inlineStr">
        <is>
          <t>健康报告</t>
        </is>
      </c>
      <c r="G592" s="17" t="inlineStr">
        <is>
          <t xml:space="preserve"> 提供设备健康状态报告自动生成服务</t>
        </is>
      </c>
      <c r="H592" s="18" t="inlineStr">
        <is>
          <t>EQ</t>
        </is>
      </c>
      <c r="I592" s="18">
        <f>IF(H592="ILF",10,IF(H592="EIF",7,IF(H592="EI",4,IF(H592="EO",5,IF(H592="EQ",4,"")))))</f>
        <v/>
      </c>
      <c r="J592" s="18" t="inlineStr">
        <is>
          <t>低</t>
        </is>
      </c>
      <c r="K592" s="18">
        <f>IF(J592="高",0.33,IF(J592="中",0.67,IF(J592="低",1,"")))</f>
        <v/>
      </c>
      <c r="L592" s="18" t="inlineStr">
        <is>
          <t>新增</t>
        </is>
      </c>
      <c r="M592" s="18">
        <f>IF(L592="新增",1,IF(L592="修改",0.8,IF(L592="删除",0.2,"")))</f>
        <v/>
      </c>
      <c r="N592" s="18">
        <f>I592*K592*M592</f>
        <v/>
      </c>
    </row>
    <row r="593" ht="19" customHeight="1" s="1">
      <c r="B593" s="16" t="n">
        <v>588</v>
      </c>
      <c r="C593" s="16" t="inlineStr">
        <is>
          <t>设备资产全生命周期数据治理与运行健康评估服务</t>
        </is>
      </c>
      <c r="D593" s="16" t="inlineStr">
        <is>
          <t>健康管理服务</t>
        </is>
      </c>
      <c r="E593" s="16" t="inlineStr">
        <is>
          <t>评分与预警</t>
        </is>
      </c>
      <c r="F593" s="16" t="inlineStr">
        <is>
          <t>健康画像</t>
        </is>
      </c>
      <c r="G593" s="17" t="inlineStr">
        <is>
          <t xml:space="preserve"> 提供设备多维健康画像展示服务</t>
        </is>
      </c>
      <c r="H593" s="18" t="inlineStr">
        <is>
          <t>EQ</t>
        </is>
      </c>
      <c r="I593" s="18">
        <f>IF(H593="ILF",10,IF(H593="EIF",7,IF(H593="EI",4,IF(H593="EO",5,IF(H593="EQ",4,"")))))</f>
        <v/>
      </c>
      <c r="J593" s="18" t="inlineStr">
        <is>
          <t>低</t>
        </is>
      </c>
      <c r="K593" s="18">
        <f>IF(J593="高",0.33,IF(J593="中",0.67,IF(J593="低",1,"")))</f>
        <v/>
      </c>
      <c r="L593" s="18" t="inlineStr">
        <is>
          <t>新增</t>
        </is>
      </c>
      <c r="M593" s="18">
        <f>IF(L593="新增",1,IF(L593="修改",0.8,IF(L593="删除",0.2,"")))</f>
        <v/>
      </c>
      <c r="N593" s="18">
        <f>I593*K593*M593</f>
        <v/>
      </c>
    </row>
    <row r="594" ht="19" customHeight="1" s="1">
      <c r="B594" s="16" t="n">
        <v>589</v>
      </c>
      <c r="C594" s="16" t="inlineStr">
        <is>
          <t>设备资产全生命周期数据治理与运行健康评估服务</t>
        </is>
      </c>
      <c r="D594" s="16" t="inlineStr">
        <is>
          <t>健康管理服务</t>
        </is>
      </c>
      <c r="E594" s="16" t="inlineStr">
        <is>
          <t>评分与预警</t>
        </is>
      </c>
      <c r="F594" s="16" t="inlineStr">
        <is>
          <t>效果评估</t>
        </is>
      </c>
      <c r="G594" s="17" t="inlineStr">
        <is>
          <t xml:space="preserve"> 提供设备故障预警准确性和及时性评估服务</t>
        </is>
      </c>
      <c r="H594" s="18" t="inlineStr">
        <is>
          <t>EQ</t>
        </is>
      </c>
      <c r="I594" s="18">
        <f>IF(H594="ILF",10,IF(H594="EIF",7,IF(H594="EI",4,IF(H594="EO",5,IF(H594="EQ",4,"")))))</f>
        <v/>
      </c>
      <c r="J594" s="18" t="inlineStr">
        <is>
          <t>中</t>
        </is>
      </c>
      <c r="K594" s="18">
        <f>IF(J594="高",0.33,IF(J594="中",0.67,IF(J594="低",1,"")))</f>
        <v/>
      </c>
      <c r="L594" s="18" t="inlineStr">
        <is>
          <t>新增</t>
        </is>
      </c>
      <c r="M594" s="18">
        <f>IF(L594="新增",1,IF(L594="修改",0.8,IF(L594="删除",0.2,"")))</f>
        <v/>
      </c>
      <c r="N594" s="18">
        <f>I594*K594*M594</f>
        <v/>
      </c>
    </row>
    <row r="595" ht="19" customHeight="1" s="1">
      <c r="B595" s="16" t="n">
        <v>590</v>
      </c>
      <c r="C595" s="16" t="inlineStr">
        <is>
          <t>设备资产全生命周期数据治理与运行健康评估服务</t>
        </is>
      </c>
      <c r="D595" s="16" t="inlineStr">
        <is>
          <t>设备档案管理</t>
        </is>
      </c>
      <c r="E595" s="16" t="inlineStr">
        <is>
          <t>设备台账</t>
        </is>
      </c>
      <c r="F595" s="16" t="inlineStr">
        <is>
          <t>台账编制</t>
        </is>
      </c>
      <c r="G595" s="17" t="inlineStr">
        <is>
          <t xml:space="preserve"> 提供设备台账初始编制服务</t>
        </is>
      </c>
      <c r="H595" s="18" t="inlineStr">
        <is>
          <t>EQ</t>
        </is>
      </c>
      <c r="I595" s="18">
        <f>IF(H595="ILF",10,IF(H595="EIF",7,IF(H595="EI",4,IF(H595="EO",5,IF(H595="EQ",4,"")))))</f>
        <v/>
      </c>
      <c r="J595" s="18" t="inlineStr">
        <is>
          <t>中</t>
        </is>
      </c>
      <c r="K595" s="18">
        <f>IF(J595="高",0.33,IF(J595="中",0.67,IF(J595="低",1,"")))</f>
        <v/>
      </c>
      <c r="L595" s="18" t="inlineStr">
        <is>
          <t>新增</t>
        </is>
      </c>
      <c r="M595" s="18">
        <f>IF(L595="新增",1,IF(L595="修改",0.8,IF(L595="删除",0.2,"")))</f>
        <v/>
      </c>
      <c r="N595" s="18">
        <f>I595*K595*M595</f>
        <v/>
      </c>
    </row>
    <row r="596" ht="19" customHeight="1" s="1">
      <c r="B596" s="16" t="n">
        <v>591</v>
      </c>
      <c r="C596" s="16" t="inlineStr">
        <is>
          <t>设备资产全生命周期数据治理与运行健康评估服务</t>
        </is>
      </c>
      <c r="D596" s="16" t="inlineStr">
        <is>
          <t>设备档案管理</t>
        </is>
      </c>
      <c r="E596" s="16" t="inlineStr">
        <is>
          <t>设备台账</t>
        </is>
      </c>
      <c r="F596" s="16" t="inlineStr">
        <is>
          <t>台账录入</t>
        </is>
      </c>
      <c r="G596" s="17" t="inlineStr">
        <is>
          <t xml:space="preserve"> 提供设备台账数据录入服务</t>
        </is>
      </c>
      <c r="H596" s="18" t="inlineStr">
        <is>
          <t>EQ</t>
        </is>
      </c>
      <c r="I596" s="18">
        <f>IF(H596="ILF",10,IF(H596="EIF",7,IF(H596="EI",4,IF(H596="EO",5,IF(H596="EQ",4,"")))))</f>
        <v/>
      </c>
      <c r="J596" s="18" t="inlineStr">
        <is>
          <t>中</t>
        </is>
      </c>
      <c r="K596" s="18">
        <f>IF(J596="高",0.33,IF(J596="中",0.67,IF(J596="低",1,"")))</f>
        <v/>
      </c>
      <c r="L596" s="18" t="inlineStr">
        <is>
          <t>新增</t>
        </is>
      </c>
      <c r="M596" s="18">
        <f>IF(L596="新增",1,IF(L596="修改",0.8,IF(L596="删除",0.2,"")))</f>
        <v/>
      </c>
      <c r="N596" s="18">
        <f>I596*K596*M596</f>
        <v/>
      </c>
    </row>
    <row r="597" ht="19" customHeight="1" s="1">
      <c r="B597" s="16" t="n">
        <v>592</v>
      </c>
      <c r="C597" s="16" t="inlineStr">
        <is>
          <t>设备资产全生命周期数据治理与运行健康评估服务</t>
        </is>
      </c>
      <c r="D597" s="16" t="inlineStr">
        <is>
          <t>设备档案管理</t>
        </is>
      </c>
      <c r="E597" s="16" t="inlineStr">
        <is>
          <t>设备台账</t>
        </is>
      </c>
      <c r="F597" s="16" t="inlineStr">
        <is>
          <t>台账维护</t>
        </is>
      </c>
      <c r="G597" s="17" t="inlineStr">
        <is>
          <t xml:space="preserve"> 提供设备台账定期维护更新服务</t>
        </is>
      </c>
      <c r="H597" s="18" t="inlineStr">
        <is>
          <t>EQ</t>
        </is>
      </c>
      <c r="I597" s="18">
        <f>IF(H597="ILF",10,IF(H597="EIF",7,IF(H597="EI",4,IF(H597="EO",5,IF(H597="EQ",4,"")))))</f>
        <v/>
      </c>
      <c r="J597" s="18" t="inlineStr">
        <is>
          <t>中</t>
        </is>
      </c>
      <c r="K597" s="18">
        <f>IF(J597="高",0.33,IF(J597="中",0.67,IF(J597="低",1,"")))</f>
        <v/>
      </c>
      <c r="L597" s="18" t="inlineStr">
        <is>
          <t>新增</t>
        </is>
      </c>
      <c r="M597" s="18">
        <f>IF(L597="新增",1,IF(L597="修改",0.8,IF(L597="删除",0.2,"")))</f>
        <v/>
      </c>
      <c r="N597" s="18">
        <f>I597*K597*M597</f>
        <v/>
      </c>
    </row>
    <row r="598" ht="19" customHeight="1" s="1">
      <c r="B598" s="16" t="n">
        <v>593</v>
      </c>
      <c r="C598" s="16" t="inlineStr">
        <is>
          <t>设备资产全生命周期数据治理与运行健康评估服务</t>
        </is>
      </c>
      <c r="D598" s="16" t="inlineStr">
        <is>
          <t>设备档案管理</t>
        </is>
      </c>
      <c r="E598" s="16" t="inlineStr">
        <is>
          <t>设备台账</t>
        </is>
      </c>
      <c r="F598" s="16" t="inlineStr">
        <is>
          <t>台账审核</t>
        </is>
      </c>
      <c r="G598" s="17" t="inlineStr">
        <is>
          <t xml:space="preserve"> 提供设备台账数据审核确认服务</t>
        </is>
      </c>
      <c r="H598" s="18" t="inlineStr">
        <is>
          <t>EQ</t>
        </is>
      </c>
      <c r="I598" s="18">
        <f>IF(H598="ILF",10,IF(H598="EIF",7,IF(H598="EI",4,IF(H598="EO",5,IF(H598="EQ",4,"")))))</f>
        <v/>
      </c>
      <c r="J598" s="18" t="inlineStr">
        <is>
          <t>中</t>
        </is>
      </c>
      <c r="K598" s="18">
        <f>IF(J598="高",0.33,IF(J598="中",0.67,IF(J598="低",1,"")))</f>
        <v/>
      </c>
      <c r="L598" s="18" t="inlineStr">
        <is>
          <t>新增</t>
        </is>
      </c>
      <c r="M598" s="18">
        <f>IF(L598="新增",1,IF(L598="修改",0.8,IF(L598="删除",0.2,"")))</f>
        <v/>
      </c>
      <c r="N598" s="18">
        <f>I598*K598*M598</f>
        <v/>
      </c>
    </row>
    <row r="599" ht="19" customHeight="1" s="1">
      <c r="B599" s="16" t="n">
        <v>594</v>
      </c>
      <c r="C599" s="16" t="inlineStr">
        <is>
          <t>设备资产全生命周期数据治理与运行健康评估服务</t>
        </is>
      </c>
      <c r="D599" s="16" t="inlineStr">
        <is>
          <t>设备档案管理</t>
        </is>
      </c>
      <c r="E599" s="16" t="inlineStr">
        <is>
          <t>设备台账</t>
        </is>
      </c>
      <c r="F599" s="16" t="inlineStr">
        <is>
          <t>台账查询</t>
        </is>
      </c>
      <c r="G599" s="17" t="inlineStr">
        <is>
          <t xml:space="preserve"> 提供设备台账多维度查询服务</t>
        </is>
      </c>
      <c r="H599" s="18" t="inlineStr">
        <is>
          <t>EQ</t>
        </is>
      </c>
      <c r="I599" s="18">
        <f>IF(H599="ILF",10,IF(H599="EIF",7,IF(H599="EI",4,IF(H599="EO",5,IF(H599="EQ",4,"")))))</f>
        <v/>
      </c>
      <c r="J599" s="18" t="inlineStr">
        <is>
          <t>中</t>
        </is>
      </c>
      <c r="K599" s="18">
        <f>IF(J599="高",0.33,IF(J599="中",0.67,IF(J599="低",1,"")))</f>
        <v/>
      </c>
      <c r="L599" s="18" t="inlineStr">
        <is>
          <t>新增</t>
        </is>
      </c>
      <c r="M599" s="18">
        <f>IF(L599="新增",1,IF(L599="修改",0.8,IF(L599="删除",0.2,"")))</f>
        <v/>
      </c>
      <c r="N599" s="18">
        <f>I599*K599*M599</f>
        <v/>
      </c>
    </row>
    <row r="600" ht="19" customHeight="1" s="1">
      <c r="B600" s="16" t="n">
        <v>595</v>
      </c>
      <c r="C600" s="16" t="inlineStr">
        <is>
          <t>设备资产全生命周期数据治理与运行健康评估服务</t>
        </is>
      </c>
      <c r="D600" s="16" t="inlineStr">
        <is>
          <t>设备档案管理</t>
        </is>
      </c>
      <c r="E600" s="16" t="inlineStr">
        <is>
          <t>设备台账</t>
        </is>
      </c>
      <c r="F600" s="16" t="inlineStr">
        <is>
          <t>台账统计</t>
        </is>
      </c>
      <c r="G600" s="17" t="inlineStr">
        <is>
          <t xml:space="preserve"> 提供设备台账分类汇总统计服务</t>
        </is>
      </c>
      <c r="H600" s="18" t="inlineStr">
        <is>
          <t>EQ</t>
        </is>
      </c>
      <c r="I600" s="18">
        <f>IF(H600="ILF",10,IF(H600="EIF",7,IF(H600="EI",4,IF(H600="EO",5,IF(H600="EQ",4,"")))))</f>
        <v/>
      </c>
      <c r="J600" s="18" t="inlineStr">
        <is>
          <t>中</t>
        </is>
      </c>
      <c r="K600" s="18">
        <f>IF(J600="高",0.33,IF(J600="中",0.67,IF(J600="低",1,"")))</f>
        <v/>
      </c>
      <c r="L600" s="18" t="inlineStr">
        <is>
          <t>新增</t>
        </is>
      </c>
      <c r="M600" s="18">
        <f>IF(L600="新增",1,IF(L600="修改",0.8,IF(L600="删除",0.2,"")))</f>
        <v/>
      </c>
      <c r="N600" s="18">
        <f>I600*K600*M600</f>
        <v/>
      </c>
    </row>
    <row r="601" ht="19" customHeight="1" s="1">
      <c r="B601" s="16" t="n">
        <v>596</v>
      </c>
      <c r="C601" s="16" t="inlineStr">
        <is>
          <t>设备资产全生命周期数据治理与运行健康评估服务</t>
        </is>
      </c>
      <c r="D601" s="16" t="inlineStr">
        <is>
          <t>设备档案管理</t>
        </is>
      </c>
      <c r="E601" s="16" t="inlineStr">
        <is>
          <t>设备台账</t>
        </is>
      </c>
      <c r="F601" s="16" t="inlineStr">
        <is>
          <t>导出工具</t>
        </is>
      </c>
      <c r="G601" s="17" t="inlineStr">
        <is>
          <t xml:space="preserve"> 提供设备台账导出工具配置服务</t>
        </is>
      </c>
      <c r="H601" s="18" t="inlineStr">
        <is>
          <t>EQ</t>
        </is>
      </c>
      <c r="I601" s="18">
        <f>IF(H601="ILF",10,IF(H601="EIF",7,IF(H601="EI",4,IF(H601="EO",5,IF(H601="EQ",4,"")))))</f>
        <v/>
      </c>
      <c r="J601" s="18" t="inlineStr">
        <is>
          <t>中</t>
        </is>
      </c>
      <c r="K601" s="18">
        <f>IF(J601="高",0.33,IF(J601="中",0.67,IF(J601="低",1,"")))</f>
        <v/>
      </c>
      <c r="L601" s="18" t="inlineStr">
        <is>
          <t>新增</t>
        </is>
      </c>
      <c r="M601" s="18">
        <f>IF(L601="新增",1,IF(L601="修改",0.8,IF(L601="删除",0.2,"")))</f>
        <v/>
      </c>
      <c r="N601" s="18">
        <f>I601*K601*M601</f>
        <v/>
      </c>
    </row>
    <row r="602" ht="19" customHeight="1" s="1">
      <c r="B602" s="16" t="n">
        <v>597</v>
      </c>
      <c r="C602" s="16" t="inlineStr">
        <is>
          <t>设备资产全生命周期数据治理与运行健康评估服务</t>
        </is>
      </c>
      <c r="D602" s="16" t="inlineStr">
        <is>
          <t>数据关联服务</t>
        </is>
      </c>
      <c r="E602" s="16" t="inlineStr">
        <is>
          <t>服务记录</t>
        </is>
      </c>
      <c r="F602" s="16" t="inlineStr">
        <is>
          <t>服务工单</t>
        </is>
      </c>
      <c r="G602" s="17" t="inlineStr">
        <is>
          <t xml:space="preserve"> 提供设备服务工单创建服务</t>
        </is>
      </c>
      <c r="H602" s="18" t="inlineStr">
        <is>
          <t>EQ</t>
        </is>
      </c>
      <c r="I602" s="18">
        <f>IF(H602="ILF",10,IF(H602="EIF",7,IF(H602="EI",4,IF(H602="EO",5,IF(H602="EQ",4,"")))))</f>
        <v/>
      </c>
      <c r="J602" s="18" t="inlineStr">
        <is>
          <t>中</t>
        </is>
      </c>
      <c r="K602" s="18">
        <f>IF(J602="高",0.33,IF(J602="中",0.67,IF(J602="低",1,"")))</f>
        <v/>
      </c>
      <c r="L602" s="18" t="inlineStr">
        <is>
          <t>新增</t>
        </is>
      </c>
      <c r="M602" s="18">
        <f>IF(L602="新增",1,IF(L602="修改",0.8,IF(L602="删除",0.2,"")))</f>
        <v/>
      </c>
      <c r="N602" s="18">
        <f>I602*K602*M602</f>
        <v/>
      </c>
    </row>
    <row r="603" ht="19" customHeight="1" s="1">
      <c r="B603" s="16" t="n">
        <v>598</v>
      </c>
      <c r="C603" s="16" t="inlineStr">
        <is>
          <t>设备资产全生命周期数据治理与运行健康评估服务</t>
        </is>
      </c>
      <c r="D603" s="16" t="inlineStr">
        <is>
          <t>数据关联服务</t>
        </is>
      </c>
      <c r="E603" s="16" t="inlineStr">
        <is>
          <t>服务记录</t>
        </is>
      </c>
      <c r="F603" s="16" t="inlineStr">
        <is>
          <t>服务记录</t>
        </is>
      </c>
      <c r="G603" s="17" t="inlineStr">
        <is>
          <t xml:space="preserve"> 提供设备服务历史记录管理服务</t>
        </is>
      </c>
      <c r="H603" s="18" t="inlineStr">
        <is>
          <t>EQ</t>
        </is>
      </c>
      <c r="I603" s="18">
        <f>IF(H603="ILF",10,IF(H603="EIF",7,IF(H603="EI",4,IF(H603="EO",5,IF(H603="EQ",4,"")))))</f>
        <v/>
      </c>
      <c r="J603" s="18" t="inlineStr">
        <is>
          <t>中</t>
        </is>
      </c>
      <c r="K603" s="18">
        <f>IF(J603="高",0.33,IF(J603="中",0.67,IF(J603="低",1,"")))</f>
        <v/>
      </c>
      <c r="L603" s="18" t="inlineStr">
        <is>
          <t>新增</t>
        </is>
      </c>
      <c r="M603" s="18">
        <f>IF(L603="新增",1,IF(L603="修改",0.8,IF(L603="删除",0.2,"")))</f>
        <v/>
      </c>
      <c r="N603" s="18">
        <f>I603*K603*M603</f>
        <v/>
      </c>
    </row>
    <row r="604" ht="19" customHeight="1" s="1">
      <c r="B604" s="16" t="n">
        <v>599</v>
      </c>
      <c r="C604" s="16" t="inlineStr">
        <is>
          <t>设备资产全生命周期数据治理与运行健康评估服务</t>
        </is>
      </c>
      <c r="D604" s="16" t="inlineStr">
        <is>
          <t>设备档案管理</t>
        </is>
      </c>
      <c r="E604" s="16" t="inlineStr">
        <is>
          <t>设备变更</t>
        </is>
      </c>
      <c r="F604" s="16" t="inlineStr">
        <is>
          <t>变更执行</t>
        </is>
      </c>
      <c r="G604" s="17" t="inlineStr">
        <is>
          <t xml:space="preserve"> 提供设备档案变更执行服务</t>
        </is>
      </c>
      <c r="H604" s="18" t="inlineStr">
        <is>
          <t>EQ</t>
        </is>
      </c>
      <c r="I604" s="18">
        <f>IF(H604="ILF",10,IF(H604="EIF",7,IF(H604="EI",4,IF(H604="EO",5,IF(H604="EQ",4,"")))))</f>
        <v/>
      </c>
      <c r="J604" s="18" t="inlineStr">
        <is>
          <t>高</t>
        </is>
      </c>
      <c r="K604" s="18">
        <f>IF(J604="高",0.33,IF(J604="中",0.67,IF(J604="低",1,"")))</f>
        <v/>
      </c>
      <c r="L604" s="18" t="inlineStr">
        <is>
          <t>新增</t>
        </is>
      </c>
      <c r="M604" s="18">
        <f>IF(L604="新增",1,IF(L604="修改",0.8,IF(L604="删除",0.2,"")))</f>
        <v/>
      </c>
      <c r="N604" s="18">
        <f>I604*K604*M604</f>
        <v/>
      </c>
    </row>
    <row r="605" ht="19" customHeight="1" s="1">
      <c r="B605" s="16" t="n">
        <v>600</v>
      </c>
      <c r="C605" s="16" t="inlineStr">
        <is>
          <t>高频时序数据分级存储与全链路安全管控服务</t>
        </is>
      </c>
      <c r="D605" s="16" t="inlineStr">
        <is>
          <t>数据存储服务</t>
        </is>
      </c>
      <c r="E605" s="16" t="inlineStr">
        <is>
          <t>存储运维服务</t>
        </is>
      </c>
      <c r="F605" s="16" t="inlineStr">
        <is>
          <t>存储数据修复</t>
        </is>
      </c>
      <c r="G605" s="17" t="inlineStr">
        <is>
          <t xml:space="preserve"> 提供存储数据修复服务</t>
        </is>
      </c>
      <c r="H605" s="18" t="inlineStr">
        <is>
          <t>ILF</t>
        </is>
      </c>
      <c r="I605" s="18">
        <f>IF(H605="ILF",10,IF(H605="EIF",7,IF(H605="EI",4,IF(H605="EO",5,IF(H605="EQ",4,"")))))</f>
        <v/>
      </c>
      <c r="J605" s="18" t="inlineStr">
        <is>
          <t>低</t>
        </is>
      </c>
      <c r="K605" s="18">
        <f>IF(J605="高",0.33,IF(J605="中",0.67,IF(J605="低",1,"")))</f>
        <v/>
      </c>
      <c r="L605" s="18" t="inlineStr">
        <is>
          <t>新增</t>
        </is>
      </c>
      <c r="M605" s="18">
        <f>IF(L605="新增",1,IF(L605="修改",0.8,IF(L605="删除",0.2,"")))</f>
        <v/>
      </c>
      <c r="N605" s="18">
        <f>I605*K605*M605</f>
        <v/>
      </c>
    </row>
    <row r="606" ht="19" customHeight="1" s="1">
      <c r="B606" s="16" t="n">
        <v>601</v>
      </c>
      <c r="C606" s="16" t="inlineStr">
        <is>
          <t>高频时序数据分级存储与全链路安全管控服务</t>
        </is>
      </c>
      <c r="D606" s="16" t="inlineStr">
        <is>
          <t>数据开放服务</t>
        </is>
      </c>
      <c r="E606" s="16" t="inlineStr">
        <is>
          <t>数据分发服务</t>
        </is>
      </c>
      <c r="F606" s="16" t="inlineStr">
        <is>
          <t>数据分发任务配置</t>
        </is>
      </c>
      <c r="G606" s="17" t="inlineStr">
        <is>
          <t xml:space="preserve"> 提供数据分发任务参数配置服务</t>
        </is>
      </c>
      <c r="H606" s="18" t="inlineStr">
        <is>
          <t>ILF</t>
        </is>
      </c>
      <c r="I606" s="18">
        <f>IF(H606="ILF",10,IF(H606="EIF",7,IF(H606="EI",4,IF(H606="EO",5,IF(H606="EQ",4,"")))))</f>
        <v/>
      </c>
      <c r="J606" s="18" t="inlineStr">
        <is>
          <t>低</t>
        </is>
      </c>
      <c r="K606" s="18">
        <f>IF(J606="高",0.33,IF(J606="中",0.67,IF(J606="低",1,"")))</f>
        <v/>
      </c>
      <c r="L606" s="18" t="inlineStr">
        <is>
          <t>新增</t>
        </is>
      </c>
      <c r="M606" s="18">
        <f>IF(L606="新增",1,IF(L606="修改",0.8,IF(L606="删除",0.2,"")))</f>
        <v/>
      </c>
      <c r="N606" s="18">
        <f>I606*K606*M606</f>
        <v/>
      </c>
    </row>
    <row r="607" ht="19" customHeight="1" s="1">
      <c r="B607" s="16" t="n">
        <v>602</v>
      </c>
      <c r="C607" s="16" t="inlineStr">
        <is>
          <t>高频时序数据分级存储与全链路安全管控服务</t>
        </is>
      </c>
      <c r="D607" s="16" t="inlineStr">
        <is>
          <t>数据开放服务</t>
        </is>
      </c>
      <c r="E607" s="16" t="inlineStr">
        <is>
          <t>数据分发服务</t>
        </is>
      </c>
      <c r="F607" s="16" t="inlineStr">
        <is>
          <t>数据分发监控</t>
        </is>
      </c>
      <c r="G607" s="17" t="inlineStr">
        <is>
          <t xml:space="preserve"> 提供数据分发状态监控服务</t>
        </is>
      </c>
      <c r="H607" s="18" t="inlineStr">
        <is>
          <t>ILF</t>
        </is>
      </c>
      <c r="I607" s="18">
        <f>IF(H607="ILF",10,IF(H607="EIF",7,IF(H607="EI",4,IF(H607="EO",5,IF(H607="EQ",4,"")))))</f>
        <v/>
      </c>
      <c r="J607" s="18" t="inlineStr">
        <is>
          <t>低</t>
        </is>
      </c>
      <c r="K607" s="18">
        <f>IF(J607="高",0.33,IF(J607="中",0.67,IF(J607="低",1,"")))</f>
        <v/>
      </c>
      <c r="L607" s="18" t="inlineStr">
        <is>
          <t>新增</t>
        </is>
      </c>
      <c r="M607" s="18">
        <f>IF(L607="新增",1,IF(L607="修改",0.8,IF(L607="删除",0.2,"")))</f>
        <v/>
      </c>
      <c r="N607" s="18">
        <f>I607*K607*M607</f>
        <v/>
      </c>
    </row>
    <row r="608" ht="19" customHeight="1" s="1">
      <c r="B608" s="16" t="n">
        <v>603</v>
      </c>
      <c r="C608" s="16" t="inlineStr">
        <is>
          <t>高频时序数据分级存储与全链路安全管控服务</t>
        </is>
      </c>
      <c r="D608" s="16" t="inlineStr">
        <is>
          <t>数据开放服务</t>
        </is>
      </c>
      <c r="E608" s="16" t="inlineStr">
        <is>
          <t>数据分发服务</t>
        </is>
      </c>
      <c r="F608" s="16" t="inlineStr">
        <is>
          <t>数据分发统计报表</t>
        </is>
      </c>
      <c r="G608" s="17" t="inlineStr">
        <is>
          <t xml:space="preserve"> 提供数据分发统计报表服务</t>
        </is>
      </c>
      <c r="H608" s="18" t="inlineStr">
        <is>
          <t>ILF</t>
        </is>
      </c>
      <c r="I608" s="18">
        <f>IF(H608="ILF",10,IF(H608="EIF",7,IF(H608="EI",4,IF(H608="EO",5,IF(H608="EQ",4,"")))))</f>
        <v/>
      </c>
      <c r="J608" s="18" t="inlineStr">
        <is>
          <t>低</t>
        </is>
      </c>
      <c r="K608" s="18">
        <f>IF(J608="高",0.33,IF(J608="中",0.67,IF(J608="低",1,"")))</f>
        <v/>
      </c>
      <c r="L608" s="18" t="inlineStr">
        <is>
          <t>新增</t>
        </is>
      </c>
      <c r="M608" s="18">
        <f>IF(L608="新增",1,IF(L608="修改",0.8,IF(L608="删除",0.2,"")))</f>
        <v/>
      </c>
      <c r="N608" s="18">
        <f>I608*K608*M608</f>
        <v/>
      </c>
    </row>
    <row r="609" ht="19" customHeight="1" s="1">
      <c r="B609" s="16" t="n">
        <v>604</v>
      </c>
      <c r="C609" s="16" t="inlineStr">
        <is>
          <t>高频时序数据分级存储与全链路安全管控服务</t>
        </is>
      </c>
      <c r="D609" s="16" t="inlineStr">
        <is>
          <t>安全防护服务</t>
        </is>
      </c>
      <c r="E609" s="16" t="inlineStr">
        <is>
          <t>安全运维服务</t>
        </is>
      </c>
      <c r="F609" s="16" t="inlineStr">
        <is>
          <t>安全事件回溯</t>
        </is>
      </c>
      <c r="G609" s="17" t="inlineStr">
        <is>
          <t xml:space="preserve"> 提供安全事件回溯分析服务</t>
        </is>
      </c>
      <c r="H609" s="18" t="inlineStr">
        <is>
          <t>ILF</t>
        </is>
      </c>
      <c r="I609" s="18">
        <f>IF(H609="ILF",10,IF(H609="EIF",7,IF(H609="EI",4,IF(H609="EO",5,IF(H609="EQ",4,"")))))</f>
        <v/>
      </c>
      <c r="J609" s="18" t="inlineStr">
        <is>
          <t>低</t>
        </is>
      </c>
      <c r="K609" s="18">
        <f>IF(J609="高",0.33,IF(J609="中",0.67,IF(J609="低",1,"")))</f>
        <v/>
      </c>
      <c r="L609" s="18" t="inlineStr">
        <is>
          <t>新增</t>
        </is>
      </c>
      <c r="M609" s="18">
        <f>IF(L609="新增",1,IF(L609="修改",0.8,IF(L609="删除",0.2,"")))</f>
        <v/>
      </c>
      <c r="N609" s="18">
        <f>I609*K609*M609</f>
        <v/>
      </c>
    </row>
    <row r="610" ht="19" customHeight="1" s="1">
      <c r="B610" s="16" t="n">
        <v>605</v>
      </c>
      <c r="C610" s="16" t="inlineStr">
        <is>
          <t>高频时序数据分级存储与全链路安全管控服务</t>
        </is>
      </c>
      <c r="D610" s="16" t="inlineStr">
        <is>
          <t>安全防护服务</t>
        </is>
      </c>
      <c r="E610" s="16" t="inlineStr">
        <is>
          <t>安全运维服务</t>
        </is>
      </c>
      <c r="F610" s="16" t="inlineStr">
        <is>
          <t>安全合规报告</t>
        </is>
      </c>
      <c r="G610" s="17" t="inlineStr">
        <is>
          <t xml:space="preserve"> 提供安全合规评估报告服务</t>
        </is>
      </c>
      <c r="H610" s="18" t="inlineStr">
        <is>
          <t>ILF</t>
        </is>
      </c>
      <c r="I610" s="18">
        <f>IF(H610="ILF",10,IF(H610="EIF",7,IF(H610="EI",4,IF(H610="EO",5,IF(H610="EQ",4,"")))))</f>
        <v/>
      </c>
      <c r="J610" s="18" t="inlineStr">
        <is>
          <t>低</t>
        </is>
      </c>
      <c r="K610" s="18">
        <f>IF(J610="高",0.33,IF(J610="中",0.67,IF(J610="低",1,"")))</f>
        <v/>
      </c>
      <c r="L610" s="18" t="inlineStr">
        <is>
          <t>新增</t>
        </is>
      </c>
      <c r="M610" s="18">
        <f>IF(L610="新增",1,IF(L610="修改",0.8,IF(L610="删除",0.2,"")))</f>
        <v/>
      </c>
      <c r="N610" s="18">
        <f>I610*K610*M610</f>
        <v/>
      </c>
    </row>
    <row r="611" ht="19" customHeight="1" s="1">
      <c r="B611" s="16" t="n">
        <v>606</v>
      </c>
      <c r="C611" s="16" t="inlineStr">
        <is>
          <t>高频时序数据分级存储与全链路安全管控服务</t>
        </is>
      </c>
      <c r="D611" s="16" t="inlineStr">
        <is>
          <t>安全防护服务</t>
        </is>
      </c>
      <c r="E611" s="16" t="inlineStr">
        <is>
          <t>安全运维服务</t>
        </is>
      </c>
      <c r="F611" s="16" t="inlineStr">
        <is>
          <t>安全策略定期审计</t>
        </is>
      </c>
      <c r="G611" s="17" t="inlineStr">
        <is>
          <t xml:space="preserve"> 提供安全策略定期审计服务</t>
        </is>
      </c>
      <c r="H611" s="18" t="inlineStr">
        <is>
          <t>ILF</t>
        </is>
      </c>
      <c r="I611" s="18">
        <f>IF(H611="ILF",10,IF(H611="EIF",7,IF(H611="EI",4,IF(H611="EO",5,IF(H611="EQ",4,"")))))</f>
        <v/>
      </c>
      <c r="J611" s="18" t="inlineStr">
        <is>
          <t>低</t>
        </is>
      </c>
      <c r="K611" s="18">
        <f>IF(J611="高",0.33,IF(J611="中",0.67,IF(J611="低",1,"")))</f>
        <v/>
      </c>
      <c r="L611" s="18" t="inlineStr">
        <is>
          <t>新增</t>
        </is>
      </c>
      <c r="M611" s="18">
        <f>IF(L611="新增",1,IF(L611="修改",0.8,IF(L611="删除",0.2,"")))</f>
        <v/>
      </c>
      <c r="N611" s="18">
        <f>I611*K611*M611</f>
        <v/>
      </c>
    </row>
    <row r="612" ht="19" customHeight="1" s="1">
      <c r="B612" s="16" t="n">
        <v>607</v>
      </c>
      <c r="C612" s="16" t="inlineStr">
        <is>
          <t>高频时序数据分级存储与全链路安全管控服务</t>
        </is>
      </c>
      <c r="D612" s="16" t="inlineStr">
        <is>
          <t>数据开放服务</t>
        </is>
      </c>
      <c r="E612" s="16" t="inlineStr">
        <is>
          <t>数据分发服务</t>
        </is>
      </c>
      <c r="F612" s="16" t="inlineStr">
        <is>
          <t>数据分发统计报表</t>
        </is>
      </c>
      <c r="G612" s="17" t="inlineStr">
        <is>
          <t xml:space="preserve"> （保留原编号804，内容同771）</t>
        </is>
      </c>
      <c r="H612" s="18" t="inlineStr">
        <is>
          <t>ILF</t>
        </is>
      </c>
      <c r="I612" s="18">
        <f>IF(H612="ILF",10,IF(H612="EIF",7,IF(H612="EI",4,IF(H612="EO",5,IF(H612="EQ",4,"")))))</f>
        <v/>
      </c>
      <c r="J612" s="18" t="inlineStr">
        <is>
          <t>低</t>
        </is>
      </c>
      <c r="K612" s="18">
        <f>IF(J612="高",0.33,IF(J612="中",0.67,IF(J612="低",1,"")))</f>
        <v/>
      </c>
      <c r="L612" s="18" t="inlineStr">
        <is>
          <t>新增</t>
        </is>
      </c>
      <c r="M612" s="18">
        <f>IF(L612="新增",1,IF(L612="修改",0.8,IF(L612="删除",0.2,"")))</f>
        <v/>
      </c>
      <c r="N612" s="18">
        <f>I612*K612*M612</f>
        <v/>
      </c>
    </row>
    <row r="613" ht="19" customHeight="1" s="1">
      <c r="B613" s="16" t="n">
        <v>608</v>
      </c>
      <c r="C613" s="16" t="inlineStr">
        <is>
          <t>高频时序数据分级存储与全链路安全管控服务</t>
        </is>
      </c>
      <c r="D613" s="16" t="inlineStr">
        <is>
          <t>数据开放服务</t>
        </is>
      </c>
      <c r="E613" s="16" t="inlineStr">
        <is>
          <t>数据分发服务</t>
        </is>
      </c>
      <c r="F613" s="16" t="inlineStr">
        <is>
          <t>数据分发统计报表</t>
        </is>
      </c>
      <c r="G613" s="17" t="inlineStr">
        <is>
          <t xml:space="preserve"> （保留原编号805）</t>
        </is>
      </c>
      <c r="H613" s="18" t="inlineStr">
        <is>
          <t>ILF</t>
        </is>
      </c>
      <c r="I613" s="18">
        <f>IF(H613="ILF",10,IF(H613="EIF",7,IF(H613="EI",4,IF(H613="EO",5,IF(H613="EQ",4,"")))))</f>
        <v/>
      </c>
      <c r="J613" s="18" t="inlineStr">
        <is>
          <t>中</t>
        </is>
      </c>
      <c r="K613" s="18">
        <f>IF(J613="高",0.33,IF(J613="中",0.67,IF(J613="低",1,"")))</f>
        <v/>
      </c>
      <c r="L613" s="18" t="inlineStr">
        <is>
          <t>新增</t>
        </is>
      </c>
      <c r="M613" s="18">
        <f>IF(L613="新增",1,IF(L613="修改",0.8,IF(L613="删除",0.2,"")))</f>
        <v/>
      </c>
      <c r="N613" s="18">
        <f>I613*K613*M613</f>
        <v/>
      </c>
    </row>
    <row r="614" ht="19" customHeight="1" s="1">
      <c r="B614" s="16" t="n">
        <v>609</v>
      </c>
      <c r="C614" s="16" t="inlineStr">
        <is>
          <t>高频时序数据分级存储与全链路安全管控服务</t>
        </is>
      </c>
      <c r="D614" s="16" t="inlineStr">
        <is>
          <t>数据开放服务</t>
        </is>
      </c>
      <c r="E614" s="16" t="inlineStr">
        <is>
          <t>数据分发服务</t>
        </is>
      </c>
      <c r="F614" s="16" t="inlineStr">
        <is>
          <t>数据分发统计报表</t>
        </is>
      </c>
      <c r="G614" s="17" t="inlineStr">
        <is>
          <t xml:space="preserve"> （保留原编号806）</t>
        </is>
      </c>
      <c r="H614" s="18" t="inlineStr">
        <is>
          <t>ILF</t>
        </is>
      </c>
      <c r="I614" s="18">
        <f>IF(H614="ILF",10,IF(H614="EIF",7,IF(H614="EI",4,IF(H614="EO",5,IF(H614="EQ",4,"")))))</f>
        <v/>
      </c>
      <c r="J614" s="18" t="inlineStr">
        <is>
          <t>中</t>
        </is>
      </c>
      <c r="K614" s="18">
        <f>IF(J614="高",0.33,IF(J614="中",0.67,IF(J614="低",1,"")))</f>
        <v/>
      </c>
      <c r="L614" s="18" t="inlineStr">
        <is>
          <t>新增</t>
        </is>
      </c>
      <c r="M614" s="18">
        <f>IF(L614="新增",1,IF(L614="修改",0.8,IF(L614="删除",0.2,"")))</f>
        <v/>
      </c>
      <c r="N614" s="18">
        <f>I614*K614*M614</f>
        <v/>
      </c>
    </row>
    <row r="615" ht="19" customHeight="1" s="1">
      <c r="B615" s="16" t="n">
        <v>610</v>
      </c>
      <c r="C615" s="16" t="inlineStr">
        <is>
          <t>高频时序数据分级存储与全链路安全管控服务</t>
        </is>
      </c>
      <c r="D615" s="16" t="inlineStr">
        <is>
          <t>安全防护服务</t>
        </is>
      </c>
      <c r="E615" s="16" t="inlineStr">
        <is>
          <t>安全事件自动响应</t>
        </is>
      </c>
      <c r="F615" s="16" t="inlineStr">
        <is>
          <t>事件响应规则</t>
        </is>
      </c>
      <c r="G615" s="17" t="inlineStr">
        <is>
          <t xml:space="preserve"> 提供安全事件自动响应规则配置服务</t>
        </is>
      </c>
      <c r="H615" s="18" t="inlineStr">
        <is>
          <t>ILF</t>
        </is>
      </c>
      <c r="I615" s="18">
        <f>IF(H615="ILF",10,IF(H615="EIF",7,IF(H615="EI",4,IF(H615="EO",5,IF(H615="EQ",4,"")))))</f>
        <v/>
      </c>
      <c r="J615" s="18" t="inlineStr">
        <is>
          <t>中</t>
        </is>
      </c>
      <c r="K615" s="18">
        <f>IF(J615="高",0.33,IF(J615="中",0.67,IF(J615="低",1,"")))</f>
        <v/>
      </c>
      <c r="L615" s="18" t="inlineStr">
        <is>
          <t>新增</t>
        </is>
      </c>
      <c r="M615" s="18">
        <f>IF(L615="新增",1,IF(L615="修改",0.8,IF(L615="删除",0.2,"")))</f>
        <v/>
      </c>
      <c r="N615" s="18">
        <f>I615*K615*M615</f>
        <v/>
      </c>
    </row>
    <row r="616" ht="19" customHeight="1" s="1">
      <c r="B616" s="16" t="n">
        <v>611</v>
      </c>
      <c r="C616" s="16" t="inlineStr">
        <is>
          <t>高频时序数据分级存储与全链路安全管控服务</t>
        </is>
      </c>
      <c r="D616" s="16" t="inlineStr">
        <is>
          <t>数据存储服务</t>
        </is>
      </c>
      <c r="E616" s="16" t="inlineStr">
        <is>
          <t>TDengine</t>
        </is>
      </c>
      <c r="F616" s="16" t="inlineStr">
        <is>
          <t>超表创建</t>
        </is>
      </c>
      <c r="G616" s="17" t="inlineStr">
        <is>
          <t xml:space="preserve"> 提供按ChannelID分库按ProductID创建超表存储服务</t>
        </is>
      </c>
      <c r="H616" s="18" t="inlineStr">
        <is>
          <t>ILF</t>
        </is>
      </c>
      <c r="I616" s="18">
        <f>IF(H616="ILF",10,IF(H616="EIF",7,IF(H616="EI",4,IF(H616="EO",5,IF(H616="EQ",4,"")))))</f>
        <v/>
      </c>
      <c r="J616" s="18" t="inlineStr">
        <is>
          <t>中</t>
        </is>
      </c>
      <c r="K616" s="18">
        <f>IF(J616="高",0.33,IF(J616="中",0.67,IF(J616="低",1,"")))</f>
        <v/>
      </c>
      <c r="L616" s="18" t="inlineStr">
        <is>
          <t>新增</t>
        </is>
      </c>
      <c r="M616" s="18">
        <f>IF(L616="新增",1,IF(L616="修改",0.8,IF(L616="删除",0.2,"")))</f>
        <v/>
      </c>
      <c r="N616" s="18">
        <f>I616*K616*M616</f>
        <v/>
      </c>
    </row>
    <row r="617" ht="19" customHeight="1" s="1">
      <c r="B617" s="16" t="n">
        <v>612</v>
      </c>
      <c r="C617" s="16" t="inlineStr">
        <is>
          <t>高频时序数据分级存储与全链路安全管控服务</t>
        </is>
      </c>
      <c r="D617" s="16" t="inlineStr">
        <is>
          <t>数据存储服务</t>
        </is>
      </c>
      <c r="E617" s="16" t="inlineStr">
        <is>
          <t>TDengine</t>
        </is>
      </c>
      <c r="F617" s="16" t="inlineStr">
        <is>
          <t>子表管理</t>
        </is>
      </c>
      <c r="G617" s="17" t="inlineStr">
        <is>
          <t xml:space="preserve"> 提供按DeviceID自动创建子表服务</t>
        </is>
      </c>
      <c r="H617" s="18" t="inlineStr">
        <is>
          <t>ILF</t>
        </is>
      </c>
      <c r="I617" s="18">
        <f>IF(H617="ILF",10,IF(H617="EIF",7,IF(H617="EI",4,IF(H617="EO",5,IF(H617="EQ",4,"")))))</f>
        <v/>
      </c>
      <c r="J617" s="18" t="inlineStr">
        <is>
          <t>中</t>
        </is>
      </c>
      <c r="K617" s="18">
        <f>IF(J617="高",0.33,IF(J617="中",0.67,IF(J617="低",1,"")))</f>
        <v/>
      </c>
      <c r="L617" s="18" t="inlineStr">
        <is>
          <t>新增</t>
        </is>
      </c>
      <c r="M617" s="18">
        <f>IF(L617="新增",1,IF(L617="修改",0.8,IF(L617="删除",0.2,"")))</f>
        <v/>
      </c>
      <c r="N617" s="18">
        <f>I617*K617*M617</f>
        <v/>
      </c>
    </row>
    <row r="618" ht="19" customHeight="1" s="1">
      <c r="B618" s="16" t="n">
        <v>613</v>
      </c>
      <c r="C618" s="16" t="inlineStr">
        <is>
          <t>高频时序数据分级存储与全链路安全管控服务</t>
        </is>
      </c>
      <c r="D618" s="16" t="inlineStr">
        <is>
          <t>数据存储服务</t>
        </is>
      </c>
      <c r="E618" s="16" t="inlineStr">
        <is>
          <t>TDengine</t>
        </is>
      </c>
      <c r="F618" s="16" t="inlineStr">
        <is>
          <t>纳秒写入</t>
        </is>
      </c>
      <c r="G618" s="17" t="inlineStr">
        <is>
          <t xml:space="preserve"> 提供纳秒精度时间戳时序数据写入服务</t>
        </is>
      </c>
      <c r="H618" s="18" t="inlineStr">
        <is>
          <t>ILF</t>
        </is>
      </c>
      <c r="I618" s="18">
        <f>IF(H618="ILF",10,IF(H618="EIF",7,IF(H618="EI",4,IF(H618="EO",5,IF(H618="EQ",4,"")))))</f>
        <v/>
      </c>
      <c r="J618" s="18" t="inlineStr">
        <is>
          <t>高</t>
        </is>
      </c>
      <c r="K618" s="18">
        <f>IF(J618="高",0.33,IF(J618="中",0.67,IF(J618="低",1,"")))</f>
        <v/>
      </c>
      <c r="L618" s="18" t="inlineStr">
        <is>
          <t>新增</t>
        </is>
      </c>
      <c r="M618" s="18">
        <f>IF(L618="新增",1,IF(L618="修改",0.8,IF(L618="删除",0.2,"")))</f>
        <v/>
      </c>
      <c r="N618" s="18">
        <f>I618*K618*M618</f>
        <v/>
      </c>
    </row>
    <row r="619" ht="19" customHeight="1" s="1">
      <c r="B619" s="16" t="n">
        <v>614</v>
      </c>
      <c r="C619" s="16" t="inlineStr">
        <is>
          <t>高频时序数据分级存储与全链路安全管控服务</t>
        </is>
      </c>
      <c r="D619" s="16" t="inlineStr">
        <is>
          <t>数据存储服务</t>
        </is>
      </c>
      <c r="E619" s="16" t="inlineStr">
        <is>
          <t>TDengine</t>
        </is>
      </c>
      <c r="F619" s="16" t="inlineStr">
        <is>
          <t>列式压缩</t>
        </is>
      </c>
      <c r="G619" s="17" t="inlineStr">
        <is>
          <t xml:space="preserve"> 提供TDengine列式压缩≥10:1存储服务</t>
        </is>
      </c>
      <c r="H619" s="18" t="inlineStr">
        <is>
          <t>ILF</t>
        </is>
      </c>
      <c r="I619" s="18">
        <f>IF(H619="ILF",10,IF(H619="EIF",7,IF(H619="EI",4,IF(H619="EO",5,IF(H619="EQ",4,"")))))</f>
        <v/>
      </c>
      <c r="J619" s="18" t="inlineStr">
        <is>
          <t>高</t>
        </is>
      </c>
      <c r="K619" s="18">
        <f>IF(J619="高",0.33,IF(J619="中",0.67,IF(J619="低",1,"")))</f>
        <v/>
      </c>
      <c r="L619" s="18" t="inlineStr">
        <is>
          <t>新增</t>
        </is>
      </c>
      <c r="M619" s="18">
        <f>IF(L619="新增",1,IF(L619="修改",0.8,IF(L619="删除",0.2,"")))</f>
        <v/>
      </c>
      <c r="N619" s="18">
        <f>I619*K619*M619</f>
        <v/>
      </c>
    </row>
    <row r="620" ht="19" customHeight="1" s="1">
      <c r="B620" s="16" t="n">
        <v>615</v>
      </c>
      <c r="C620" s="16" t="inlineStr">
        <is>
          <t>高频时序数据分级存储与全链路安全管控服务</t>
        </is>
      </c>
      <c r="D620" s="16" t="inlineStr">
        <is>
          <t>数据存储服务</t>
        </is>
      </c>
      <c r="E620" s="16" t="inlineStr">
        <is>
          <t>TDengine</t>
        </is>
      </c>
      <c r="F620" s="16" t="inlineStr">
        <is>
          <t>滑动平均</t>
        </is>
      </c>
      <c r="G620" s="17" t="inlineStr">
        <is>
          <t xml:space="preserve"> 提供内置滑动平均窗口函数服务</t>
        </is>
      </c>
      <c r="H620" s="18" t="inlineStr">
        <is>
          <t>ILF</t>
        </is>
      </c>
      <c r="I620" s="18">
        <f>IF(H620="ILF",10,IF(H620="EIF",7,IF(H620="EI",4,IF(H620="EO",5,IF(H620="EQ",4,"")))))</f>
        <v/>
      </c>
      <c r="J620" s="18" t="inlineStr">
        <is>
          <t>高</t>
        </is>
      </c>
      <c r="K620" s="18">
        <f>IF(J620="高",0.33,IF(J620="中",0.67,IF(J620="低",1,"")))</f>
        <v/>
      </c>
      <c r="L620" s="18" t="inlineStr">
        <is>
          <t>新增</t>
        </is>
      </c>
      <c r="M620" s="18">
        <f>IF(L620="新增",1,IF(L620="修改",0.8,IF(L620="删除",0.2,"")))</f>
        <v/>
      </c>
      <c r="N620" s="18">
        <f>I620*K620*M620</f>
        <v/>
      </c>
    </row>
    <row r="621" ht="19" customHeight="1" s="1">
      <c r="B621" s="16" t="n">
        <v>616</v>
      </c>
      <c r="C621" s="16" t="inlineStr">
        <is>
          <t>高频时序数据分级存储与全链路安全管控服务</t>
        </is>
      </c>
      <c r="D621" s="16" t="inlineStr">
        <is>
          <t>数据存储服务</t>
        </is>
      </c>
      <c r="E621" s="16" t="inlineStr">
        <is>
          <t>TDengine</t>
        </is>
      </c>
      <c r="F621" s="16" t="inlineStr">
        <is>
          <t>累计求和</t>
        </is>
      </c>
      <c r="G621" s="17" t="inlineStr">
        <is>
          <t xml:space="preserve"> 提供内置累计求和窗口函数服务</t>
        </is>
      </c>
      <c r="H621" s="18" t="inlineStr">
        <is>
          <t>EIF</t>
        </is>
      </c>
      <c r="I621" s="18">
        <f>IF(H621="ILF",10,IF(H621="EIF",7,IF(H621="EI",4,IF(H621="EO",5,IF(H621="EQ",4,"")))))</f>
        <v/>
      </c>
      <c r="J621" s="18" t="inlineStr">
        <is>
          <t>中</t>
        </is>
      </c>
      <c r="K621" s="18">
        <f>IF(J621="高",0.33,IF(J621="中",0.67,IF(J621="低",1,"")))</f>
        <v/>
      </c>
      <c r="L621" s="18" t="inlineStr">
        <is>
          <t>新增</t>
        </is>
      </c>
      <c r="M621" s="18">
        <f>IF(L621="新增",1,IF(L621="修改",0.8,IF(L621="删除",0.2,"")))</f>
        <v/>
      </c>
      <c r="N621" s="18">
        <f>I621*K621*M621</f>
        <v/>
      </c>
    </row>
    <row r="622" ht="19" customHeight="1" s="1">
      <c r="B622" s="16" t="n">
        <v>617</v>
      </c>
      <c r="C622" s="16" t="inlineStr">
        <is>
          <t>高频时序数据分级存储与全链路安全管控服务</t>
        </is>
      </c>
      <c r="D622" s="16" t="inlineStr">
        <is>
          <t>数据存储服务</t>
        </is>
      </c>
      <c r="E622" s="16" t="inlineStr">
        <is>
          <t>TDengine</t>
        </is>
      </c>
      <c r="F622" s="16" t="inlineStr">
        <is>
          <t>降采样</t>
        </is>
      </c>
      <c r="G622" s="17" t="inlineStr">
        <is>
          <t xml:space="preserve"> 提供内置降采样聚合查询函数服务</t>
        </is>
      </c>
      <c r="H622" s="18" t="inlineStr">
        <is>
          <t>EI</t>
        </is>
      </c>
      <c r="I622" s="18">
        <f>IF(H622="ILF",10,IF(H622="EIF",7,IF(H622="EI",4,IF(H622="EO",5,IF(H622="EQ",4,"")))))</f>
        <v/>
      </c>
      <c r="J622" s="18" t="inlineStr">
        <is>
          <t>低</t>
        </is>
      </c>
      <c r="K622" s="18">
        <f>IF(J622="高",0.33,IF(J622="中",0.67,IF(J622="低",1,"")))</f>
        <v/>
      </c>
      <c r="L622" s="18" t="inlineStr">
        <is>
          <t>新增</t>
        </is>
      </c>
      <c r="M622" s="18">
        <f>IF(L622="新增",1,IF(L622="修改",0.8,IF(L622="删除",0.2,"")))</f>
        <v/>
      </c>
      <c r="N622" s="18">
        <f>I622*K622*M622</f>
        <v/>
      </c>
    </row>
    <row r="623" ht="19" customHeight="1" s="1">
      <c r="B623" s="16" t="n">
        <v>618</v>
      </c>
      <c r="C623" s="16" t="inlineStr">
        <is>
          <t>高频时序数据分级存储与全链路安全管控服务</t>
        </is>
      </c>
      <c r="D623" s="16" t="inlineStr">
        <is>
          <t>数据存储服务</t>
        </is>
      </c>
      <c r="E623" s="16" t="inlineStr">
        <is>
          <t>TDengine</t>
        </is>
      </c>
      <c r="F623" s="16" t="inlineStr">
        <is>
          <t>数据分区</t>
        </is>
      </c>
      <c r="G623" s="17" t="inlineStr">
        <is>
          <t xml:space="preserve"> 提供时序数据按时间/设备分区策略配置服务</t>
        </is>
      </c>
      <c r="H623" s="18" t="inlineStr">
        <is>
          <t>EI</t>
        </is>
      </c>
      <c r="I623" s="18">
        <f>IF(H623="ILF",10,IF(H623="EIF",7,IF(H623="EI",4,IF(H623="EO",5,IF(H623="EQ",4,"")))))</f>
        <v/>
      </c>
      <c r="J623" s="18" t="inlineStr">
        <is>
          <t>低</t>
        </is>
      </c>
      <c r="K623" s="18">
        <f>IF(J623="高",0.33,IF(J623="中",0.67,IF(J623="低",1,"")))</f>
        <v/>
      </c>
      <c r="L623" s="18" t="inlineStr">
        <is>
          <t>新增</t>
        </is>
      </c>
      <c r="M623" s="18">
        <f>IF(L623="新增",1,IF(L623="修改",0.8,IF(L623="删除",0.2,"")))</f>
        <v/>
      </c>
      <c r="N623" s="18">
        <f>I623*K623*M623</f>
        <v/>
      </c>
    </row>
    <row r="624" ht="19" customHeight="1" s="1">
      <c r="B624" s="16" t="n">
        <v>619</v>
      </c>
      <c r="C624" s="16" t="inlineStr">
        <is>
          <t>高频时序数据分级存储与全链路安全管控服务</t>
        </is>
      </c>
      <c r="D624" s="16" t="inlineStr">
        <is>
          <t>数据存储服务</t>
        </is>
      </c>
      <c r="E624" s="16" t="inlineStr">
        <is>
          <t>TDengine</t>
        </is>
      </c>
      <c r="F624" s="16" t="inlineStr">
        <is>
          <t>数据过期</t>
        </is>
      </c>
      <c r="G624" s="17" t="inlineStr">
        <is>
          <t xml:space="preserve"> 提供时序数据自动过期清理策略配置服务</t>
        </is>
      </c>
      <c r="H624" s="18" t="inlineStr">
        <is>
          <t>EI</t>
        </is>
      </c>
      <c r="I624" s="18">
        <f>IF(H624="ILF",10,IF(H624="EIF",7,IF(H624="EI",4,IF(H624="EO",5,IF(H624="EQ",4,"")))))</f>
        <v/>
      </c>
      <c r="J624" s="18" t="inlineStr">
        <is>
          <t>低</t>
        </is>
      </c>
      <c r="K624" s="18">
        <f>IF(J624="高",0.33,IF(J624="中",0.67,IF(J624="低",1,"")))</f>
        <v/>
      </c>
      <c r="L624" s="18" t="inlineStr">
        <is>
          <t>新增</t>
        </is>
      </c>
      <c r="M624" s="18">
        <f>IF(L624="新增",1,IF(L624="修改",0.8,IF(L624="删除",0.2,"")))</f>
        <v/>
      </c>
      <c r="N624" s="18">
        <f>I624*K624*M624</f>
        <v/>
      </c>
    </row>
    <row r="625" ht="19" customHeight="1" s="1">
      <c r="B625" s="16" t="n">
        <v>620</v>
      </c>
      <c r="C625" s="16" t="inlineStr">
        <is>
          <t>高频时序数据分级存储与全链路安全管控服务</t>
        </is>
      </c>
      <c r="D625" s="16" t="inlineStr">
        <is>
          <t>数据存储服务</t>
        </is>
      </c>
      <c r="E625" s="16" t="inlineStr">
        <is>
          <t>TDengine</t>
        </is>
      </c>
      <c r="F625" s="16" t="inlineStr">
        <is>
          <t>写入调优</t>
        </is>
      </c>
      <c r="G625" s="17" t="inlineStr">
        <is>
          <t xml:space="preserve"> 提供TDengine写入参数性能调优服务</t>
        </is>
      </c>
      <c r="H625" s="18" t="inlineStr">
        <is>
          <t>EI</t>
        </is>
      </c>
      <c r="I625" s="18">
        <f>IF(H625="ILF",10,IF(H625="EIF",7,IF(H625="EI",4,IF(H625="EO",5,IF(H625="EQ",4,"")))))</f>
        <v/>
      </c>
      <c r="J625" s="18" t="inlineStr">
        <is>
          <t>低</t>
        </is>
      </c>
      <c r="K625" s="18">
        <f>IF(J625="高",0.33,IF(J625="中",0.67,IF(J625="低",1,"")))</f>
        <v/>
      </c>
      <c r="L625" s="18" t="inlineStr">
        <is>
          <t>新增</t>
        </is>
      </c>
      <c r="M625" s="18">
        <f>IF(L625="新增",1,IF(L625="修改",0.8,IF(L625="删除",0.2,"")))</f>
        <v/>
      </c>
      <c r="N625" s="18">
        <f>I625*K625*M625</f>
        <v/>
      </c>
    </row>
    <row r="626" ht="19" customHeight="1" s="1">
      <c r="B626" s="16" t="n">
        <v>621</v>
      </c>
      <c r="C626" s="16" t="inlineStr">
        <is>
          <t>高频时序数据分级存储与全链路安全管控服务</t>
        </is>
      </c>
      <c r="D626" s="16" t="inlineStr">
        <is>
          <t>数据存储服务</t>
        </is>
      </c>
      <c r="E626" s="16" t="inlineStr">
        <is>
          <t>TDengine</t>
        </is>
      </c>
      <c r="F626" s="16" t="inlineStr">
        <is>
          <t>查询调优</t>
        </is>
      </c>
      <c r="G626" s="17" t="inlineStr">
        <is>
          <t xml:space="preserve"> 提供TDengine查询参数性能调优服务</t>
        </is>
      </c>
      <c r="H626" s="18" t="inlineStr">
        <is>
          <t>EI</t>
        </is>
      </c>
      <c r="I626" s="18">
        <f>IF(H626="ILF",10,IF(H626="EIF",7,IF(H626="EI",4,IF(H626="EO",5,IF(H626="EQ",4,"")))))</f>
        <v/>
      </c>
      <c r="J626" s="18" t="inlineStr">
        <is>
          <t>低</t>
        </is>
      </c>
      <c r="K626" s="18">
        <f>IF(J626="高",0.33,IF(J626="中",0.67,IF(J626="低",1,"")))</f>
        <v/>
      </c>
      <c r="L626" s="18" t="inlineStr">
        <is>
          <t>新增</t>
        </is>
      </c>
      <c r="M626" s="18">
        <f>IF(L626="新增",1,IF(L626="修改",0.8,IF(L626="删除",0.2,"")))</f>
        <v/>
      </c>
      <c r="N626" s="18">
        <f>I626*K626*M626</f>
        <v/>
      </c>
    </row>
    <row r="627" ht="19" customHeight="1" s="1">
      <c r="B627" s="16" t="n">
        <v>622</v>
      </c>
      <c r="C627" s="16" t="inlineStr">
        <is>
          <t>高频时序数据分级存储与全链路安全管控服务</t>
        </is>
      </c>
      <c r="D627" s="16" t="inlineStr">
        <is>
          <t>数据存储服务</t>
        </is>
      </c>
      <c r="E627" s="16" t="inlineStr">
        <is>
          <t>TDengine</t>
        </is>
      </c>
      <c r="F627" s="16" t="inlineStr">
        <is>
          <t>数据备份</t>
        </is>
      </c>
      <c r="G627" s="17" t="inlineStr">
        <is>
          <t xml:space="preserve"> 提供TDengine数据全量备份服务</t>
        </is>
      </c>
      <c r="H627" s="18" t="inlineStr">
        <is>
          <t>EI</t>
        </is>
      </c>
      <c r="I627" s="18">
        <f>IF(H627="ILF",10,IF(H627="EIF",7,IF(H627="EI",4,IF(H627="EO",5,IF(H627="EQ",4,"")))))</f>
        <v/>
      </c>
      <c r="J627" s="18" t="inlineStr">
        <is>
          <t>低</t>
        </is>
      </c>
      <c r="K627" s="18">
        <f>IF(J627="高",0.33,IF(J627="中",0.67,IF(J627="低",1,"")))</f>
        <v/>
      </c>
      <c r="L627" s="18" t="inlineStr">
        <is>
          <t>新增</t>
        </is>
      </c>
      <c r="M627" s="18">
        <f>IF(L627="新增",1,IF(L627="修改",0.8,IF(L627="删除",0.2,"")))</f>
        <v/>
      </c>
      <c r="N627" s="18">
        <f>I627*K627*M627</f>
        <v/>
      </c>
    </row>
    <row r="628" ht="19" customHeight="1" s="1">
      <c r="B628" s="16" t="n">
        <v>623</v>
      </c>
      <c r="C628" s="16" t="inlineStr">
        <is>
          <t>高频时序数据分级存储与全链路安全管控服务</t>
        </is>
      </c>
      <c r="D628" s="16" t="inlineStr">
        <is>
          <t>数据存储服务</t>
        </is>
      </c>
      <c r="E628" s="16" t="inlineStr">
        <is>
          <t>TDengine</t>
        </is>
      </c>
      <c r="F628" s="16" t="inlineStr">
        <is>
          <t>数据恢复</t>
        </is>
      </c>
      <c r="G628" s="17" t="inlineStr">
        <is>
          <t xml:space="preserve"> 提供TDengine数据灾难恢复服务</t>
        </is>
      </c>
      <c r="H628" s="18" t="inlineStr">
        <is>
          <t>EI</t>
        </is>
      </c>
      <c r="I628" s="18">
        <f>IF(H628="ILF",10,IF(H628="EIF",7,IF(H628="EI",4,IF(H628="EO",5,IF(H628="EQ",4,"")))))</f>
        <v/>
      </c>
      <c r="J628" s="18" t="inlineStr">
        <is>
          <t>低</t>
        </is>
      </c>
      <c r="K628" s="18">
        <f>IF(J628="高",0.33,IF(J628="中",0.67,IF(J628="低",1,"")))</f>
        <v/>
      </c>
      <c r="L628" s="18" t="inlineStr">
        <is>
          <t>新增</t>
        </is>
      </c>
      <c r="M628" s="18">
        <f>IF(L628="新增",1,IF(L628="修改",0.8,IF(L628="删除",0.2,"")))</f>
        <v/>
      </c>
      <c r="N628" s="18">
        <f>I628*K628*M628</f>
        <v/>
      </c>
    </row>
    <row r="629" ht="19" customHeight="1" s="1">
      <c r="B629" s="16" t="n">
        <v>624</v>
      </c>
      <c r="C629" s="16" t="inlineStr">
        <is>
          <t>高频时序数据分级存储与全链路安全管控服务</t>
        </is>
      </c>
      <c r="D629" s="16" t="inlineStr">
        <is>
          <t>数据存储服务</t>
        </is>
      </c>
      <c r="E629" s="16" t="inlineStr">
        <is>
          <t>TDengine</t>
        </is>
      </c>
      <c r="F629" s="16" t="inlineStr">
        <is>
          <t>节点监控</t>
        </is>
      </c>
      <c r="G629" s="17" t="inlineStr">
        <is>
          <t xml:space="preserve"> 提供TDengine节点运行状态监控服务</t>
        </is>
      </c>
      <c r="H629" s="18" t="inlineStr">
        <is>
          <t>EI</t>
        </is>
      </c>
      <c r="I629" s="18">
        <f>IF(H629="ILF",10,IF(H629="EIF",7,IF(H629="EI",4,IF(H629="EO",5,IF(H629="EQ",4,"")))))</f>
        <v/>
      </c>
      <c r="J629" s="18" t="inlineStr">
        <is>
          <t>低</t>
        </is>
      </c>
      <c r="K629" s="18">
        <f>IF(J629="高",0.33,IF(J629="中",0.67,IF(J629="低",1,"")))</f>
        <v/>
      </c>
      <c r="L629" s="18" t="inlineStr">
        <is>
          <t>新增</t>
        </is>
      </c>
      <c r="M629" s="18">
        <f>IF(L629="新增",1,IF(L629="修改",0.8,IF(L629="删除",0.2,"")))</f>
        <v/>
      </c>
      <c r="N629" s="18">
        <f>I629*K629*M629</f>
        <v/>
      </c>
    </row>
    <row r="630" ht="19" customHeight="1" s="1">
      <c r="B630" s="16" t="n">
        <v>625</v>
      </c>
      <c r="C630" s="16" t="inlineStr">
        <is>
          <t>高频时序数据分级存储与全链路安全管控服务</t>
        </is>
      </c>
      <c r="D630" s="16" t="inlineStr">
        <is>
          <t>数据存储服务</t>
        </is>
      </c>
      <c r="E630" s="16" t="inlineStr">
        <is>
          <t>信创数据库</t>
        </is>
      </c>
      <c r="F630" s="16" t="inlineStr">
        <is>
          <t>元数据存储</t>
        </is>
      </c>
      <c r="G630" s="17" t="inlineStr">
        <is>
          <t xml:space="preserve"> 提供物模型定义信创数据库关系数据库存储服务</t>
        </is>
      </c>
      <c r="H630" s="18" t="inlineStr">
        <is>
          <t>EI</t>
        </is>
      </c>
      <c r="I630" s="18">
        <f>IF(H630="ILF",10,IF(H630="EIF",7,IF(H630="EI",4,IF(H630="EO",5,IF(H630="EQ",4,"")))))</f>
        <v/>
      </c>
      <c r="J630" s="18" t="inlineStr">
        <is>
          <t>低</t>
        </is>
      </c>
      <c r="K630" s="18">
        <f>IF(J630="高",0.33,IF(J630="中",0.67,IF(J630="低",1,"")))</f>
        <v/>
      </c>
      <c r="L630" s="18" t="inlineStr">
        <is>
          <t>新增</t>
        </is>
      </c>
      <c r="M630" s="18">
        <f>IF(L630="新增",1,IF(L630="修改",0.8,IF(L630="删除",0.2,"")))</f>
        <v/>
      </c>
      <c r="N630" s="18">
        <f>I630*K630*M630</f>
        <v/>
      </c>
    </row>
    <row r="631" ht="19" customHeight="1" s="1">
      <c r="B631" s="16" t="n">
        <v>626</v>
      </c>
      <c r="C631" s="16" t="inlineStr">
        <is>
          <t>高频时序数据分级存储与全链路安全管控服务</t>
        </is>
      </c>
      <c r="D631" s="16" t="inlineStr">
        <is>
          <t>数据存储服务</t>
        </is>
      </c>
      <c r="E631" s="16" t="inlineStr">
        <is>
          <t>信创数据库</t>
        </is>
      </c>
      <c r="F631" s="16" t="inlineStr">
        <is>
          <t>档案存储</t>
        </is>
      </c>
      <c r="G631" s="17" t="inlineStr">
        <is>
          <t xml:space="preserve"> 提供设备档案和人员架构信创数据库存储服务</t>
        </is>
      </c>
      <c r="H631" s="18" t="inlineStr">
        <is>
          <t>EI</t>
        </is>
      </c>
      <c r="I631" s="18">
        <f>IF(H631="ILF",10,IF(H631="EIF",7,IF(H631="EI",4,IF(H631="EO",5,IF(H631="EQ",4,"")))))</f>
        <v/>
      </c>
      <c r="J631" s="18" t="inlineStr">
        <is>
          <t>低</t>
        </is>
      </c>
      <c r="K631" s="18">
        <f>IF(J631="高",0.33,IF(J631="中",0.67,IF(J631="低",1,"")))</f>
        <v/>
      </c>
      <c r="L631" s="18" t="inlineStr">
        <is>
          <t>新增</t>
        </is>
      </c>
      <c r="M631" s="18">
        <f>IF(L631="新增",1,IF(L631="修改",0.8,IF(L631="删除",0.2,"")))</f>
        <v/>
      </c>
      <c r="N631" s="18">
        <f>I631*K631*M631</f>
        <v/>
      </c>
    </row>
    <row r="632" ht="19" customHeight="1" s="1">
      <c r="B632" s="16" t="n">
        <v>627</v>
      </c>
      <c r="C632" s="16" t="inlineStr">
        <is>
          <t>高频时序数据分级存储与全链路安全管控服务</t>
        </is>
      </c>
      <c r="D632" s="16" t="inlineStr">
        <is>
          <t>数据存储服务</t>
        </is>
      </c>
      <c r="E632" s="16" t="inlineStr">
        <is>
          <t>信创数据库</t>
        </is>
      </c>
      <c r="F632" s="16" t="inlineStr">
        <is>
          <t>规则存储</t>
        </is>
      </c>
      <c r="G632" s="17" t="inlineStr">
        <is>
          <t xml:space="preserve"> 提供告警规则和采集规则信创数据库存储服务</t>
        </is>
      </c>
      <c r="H632" s="18" t="inlineStr">
        <is>
          <t>EI</t>
        </is>
      </c>
      <c r="I632" s="18">
        <f>IF(H632="ILF",10,IF(H632="EIF",7,IF(H632="EI",4,IF(H632="EO",5,IF(H632="EQ",4,"")))))</f>
        <v/>
      </c>
      <c r="J632" s="18" t="inlineStr">
        <is>
          <t>低</t>
        </is>
      </c>
      <c r="K632" s="18">
        <f>IF(J632="高",0.33,IF(J632="中",0.67,IF(J632="低",1,"")))</f>
        <v/>
      </c>
      <c r="L632" s="18" t="inlineStr">
        <is>
          <t>新增</t>
        </is>
      </c>
      <c r="M632" s="18">
        <f>IF(L632="新增",1,IF(L632="修改",0.8,IF(L632="删除",0.2,"")))</f>
        <v/>
      </c>
      <c r="N632" s="18">
        <f>I632*K632*M632</f>
        <v/>
      </c>
    </row>
    <row r="633" ht="19" customHeight="1" s="1">
      <c r="B633" s="16" t="n">
        <v>628</v>
      </c>
      <c r="C633" s="16" t="inlineStr">
        <is>
          <t>高频时序数据分级存储与全链路安全管控服务</t>
        </is>
      </c>
      <c r="D633" s="16" t="inlineStr">
        <is>
          <t>数据存储服务</t>
        </is>
      </c>
      <c r="E633" s="16" t="inlineStr">
        <is>
          <t>信创数据库</t>
        </is>
      </c>
      <c r="F633" s="16" t="inlineStr">
        <is>
          <t>架构存储</t>
        </is>
      </c>
      <c r="G633" s="17" t="inlineStr">
        <is>
          <t xml:space="preserve"> 提供组织架构信创数据库存储服务</t>
        </is>
      </c>
      <c r="H633" s="18" t="inlineStr">
        <is>
          <t>EI</t>
        </is>
      </c>
      <c r="I633" s="18">
        <f>IF(H633="ILF",10,IF(H633="EIF",7,IF(H633="EI",4,IF(H633="EO",5,IF(H633="EQ",4,"")))))</f>
        <v/>
      </c>
      <c r="J633" s="18" t="inlineStr">
        <is>
          <t>低</t>
        </is>
      </c>
      <c r="K633" s="18">
        <f>IF(J633="高",0.33,IF(J633="中",0.67,IF(J633="低",1,"")))</f>
        <v/>
      </c>
      <c r="L633" s="18" t="inlineStr">
        <is>
          <t>新增</t>
        </is>
      </c>
      <c r="M633" s="18">
        <f>IF(L633="新增",1,IF(L633="修改",0.8,IF(L633="删除",0.2,"")))</f>
        <v/>
      </c>
      <c r="N633" s="18">
        <f>I633*K633*M633</f>
        <v/>
      </c>
    </row>
    <row r="634" ht="19" customHeight="1" s="1">
      <c r="B634" s="16" t="n">
        <v>629</v>
      </c>
      <c r="C634" s="16" t="inlineStr">
        <is>
          <t>高频时序数据分级存储与全链路安全管控服务</t>
        </is>
      </c>
      <c r="D634" s="16" t="inlineStr">
        <is>
          <t>数据存储服务</t>
        </is>
      </c>
      <c r="E634" s="16" t="inlineStr">
        <is>
          <t>信创数据库</t>
        </is>
      </c>
      <c r="F634" s="16" t="inlineStr">
        <is>
          <t>变更存储</t>
        </is>
      </c>
      <c r="G634" s="17" t="inlineStr">
        <is>
          <t xml:space="preserve"> 提供配置变更历史记录信创数据库存储服务</t>
        </is>
      </c>
      <c r="H634" s="18" t="inlineStr">
        <is>
          <t>EI</t>
        </is>
      </c>
      <c r="I634" s="18">
        <f>IF(H634="ILF",10,IF(H634="EIF",7,IF(H634="EI",4,IF(H634="EO",5,IF(H634="EQ",4,"")))))</f>
        <v/>
      </c>
      <c r="J634" s="18" t="inlineStr">
        <is>
          <t>低</t>
        </is>
      </c>
      <c r="K634" s="18">
        <f>IF(J634="高",0.33,IF(J634="中",0.67,IF(J634="低",1,"")))</f>
        <v/>
      </c>
      <c r="L634" s="18" t="inlineStr">
        <is>
          <t>新增</t>
        </is>
      </c>
      <c r="M634" s="18">
        <f>IF(L634="新增",1,IF(L634="修改",0.8,IF(L634="删除",0.2,"")))</f>
        <v/>
      </c>
      <c r="N634" s="18">
        <f>I634*K634*M634</f>
        <v/>
      </c>
    </row>
    <row r="635" ht="19" customHeight="1" s="1">
      <c r="B635" s="16" t="n">
        <v>630</v>
      </c>
      <c r="C635" s="16" t="inlineStr">
        <is>
          <t>高频时序数据分级存储与全链路安全管控服务</t>
        </is>
      </c>
      <c r="D635" s="16" t="inlineStr">
        <is>
          <t>数据存储服务</t>
        </is>
      </c>
      <c r="E635" s="16" t="inlineStr">
        <is>
          <t>TDengine</t>
        </is>
      </c>
      <c r="F635" s="16" t="inlineStr">
        <is>
          <t>数据恢复</t>
        </is>
      </c>
      <c r="G635" s="17" t="inlineStr">
        <is>
          <t xml:space="preserve"> 提供TDengine数据灾难恢复服务</t>
        </is>
      </c>
      <c r="H635" s="18" t="inlineStr">
        <is>
          <t>EI</t>
        </is>
      </c>
      <c r="I635" s="18">
        <f>IF(H635="ILF",10,IF(H635="EIF",7,IF(H635="EI",4,IF(H635="EO",5,IF(H635="EQ",4,"")))))</f>
        <v/>
      </c>
      <c r="J635" s="18" t="inlineStr">
        <is>
          <t>低</t>
        </is>
      </c>
      <c r="K635" s="18">
        <f>IF(J635="高",0.33,IF(J635="中",0.67,IF(J635="低",1,"")))</f>
        <v/>
      </c>
      <c r="L635" s="18" t="inlineStr">
        <is>
          <t>新增</t>
        </is>
      </c>
      <c r="M635" s="18">
        <f>IF(L635="新增",1,IF(L635="修改",0.8,IF(L635="删除",0.2,"")))</f>
        <v/>
      </c>
      <c r="N635" s="18">
        <f>I635*K635*M635</f>
        <v/>
      </c>
    </row>
    <row r="636" ht="19" customHeight="1" s="1">
      <c r="B636" s="16" t="n">
        <v>631</v>
      </c>
      <c r="C636" s="16" t="inlineStr">
        <is>
          <t>高频时序数据分级存储与全链路安全管控服务</t>
        </is>
      </c>
      <c r="D636" s="16" t="inlineStr">
        <is>
          <t>数据存储服务</t>
        </is>
      </c>
      <c r="E636" s="16" t="inlineStr">
        <is>
          <t>TDengine</t>
        </is>
      </c>
      <c r="F636" s="16" t="inlineStr">
        <is>
          <t>节点监控</t>
        </is>
      </c>
      <c r="G636" s="17" t="inlineStr">
        <is>
          <t xml:space="preserve"> 提供TDengine节点运行状态监控服务</t>
        </is>
      </c>
      <c r="H636" s="18" t="inlineStr">
        <is>
          <t>EI</t>
        </is>
      </c>
      <c r="I636" s="18">
        <f>IF(H636="ILF",10,IF(H636="EIF",7,IF(H636="EI",4,IF(H636="EO",5,IF(H636="EQ",4,"")))))</f>
        <v/>
      </c>
      <c r="J636" s="18" t="inlineStr">
        <is>
          <t>低</t>
        </is>
      </c>
      <c r="K636" s="18">
        <f>IF(J636="高",0.33,IF(J636="中",0.67,IF(J636="低",1,"")))</f>
        <v/>
      </c>
      <c r="L636" s="18" t="inlineStr">
        <is>
          <t>新增</t>
        </is>
      </c>
      <c r="M636" s="18">
        <f>IF(L636="新增",1,IF(L636="修改",0.8,IF(L636="删除",0.2,"")))</f>
        <v/>
      </c>
      <c r="N636" s="18">
        <f>I636*K636*M636</f>
        <v/>
      </c>
    </row>
    <row r="637" ht="19" customHeight="1" s="1">
      <c r="B637" s="16" t="n">
        <v>632</v>
      </c>
      <c r="C637" s="16" t="inlineStr">
        <is>
          <t>高频时序数据分级存储与全链路安全管控服务</t>
        </is>
      </c>
      <c r="D637" s="16" t="inlineStr">
        <is>
          <t>数据存储服务</t>
        </is>
      </c>
      <c r="E637" s="16" t="inlineStr">
        <is>
          <t>信创数据库</t>
        </is>
      </c>
      <c r="F637" s="16" t="inlineStr">
        <is>
          <t>元数据存储</t>
        </is>
      </c>
      <c r="G637" s="17" t="inlineStr">
        <is>
          <t xml:space="preserve"> 提供物模型定义信创数据库关系数据库存储服务</t>
        </is>
      </c>
      <c r="H637" s="18" t="inlineStr">
        <is>
          <t>EI</t>
        </is>
      </c>
      <c r="I637" s="18">
        <f>IF(H637="ILF",10,IF(H637="EIF",7,IF(H637="EI",4,IF(H637="EO",5,IF(H637="EQ",4,"")))))</f>
        <v/>
      </c>
      <c r="J637" s="18" t="inlineStr">
        <is>
          <t>低</t>
        </is>
      </c>
      <c r="K637" s="18">
        <f>IF(J637="高",0.33,IF(J637="中",0.67,IF(J637="低",1,"")))</f>
        <v/>
      </c>
      <c r="L637" s="18" t="inlineStr">
        <is>
          <t>新增</t>
        </is>
      </c>
      <c r="M637" s="18">
        <f>IF(L637="新增",1,IF(L637="修改",0.8,IF(L637="删除",0.2,"")))</f>
        <v/>
      </c>
      <c r="N637" s="18">
        <f>I637*K637*M637</f>
        <v/>
      </c>
    </row>
    <row r="638" ht="19" customHeight="1" s="1">
      <c r="B638" s="16" t="n">
        <v>633</v>
      </c>
      <c r="C638" s="16" t="inlineStr">
        <is>
          <t>高频时序数据分级存储与全链路安全管控服务</t>
        </is>
      </c>
      <c r="D638" s="16" t="inlineStr">
        <is>
          <t>数据存储服务</t>
        </is>
      </c>
      <c r="E638" s="16" t="inlineStr">
        <is>
          <t>信创数据库</t>
        </is>
      </c>
      <c r="F638" s="16" t="inlineStr">
        <is>
          <t>档案存储</t>
        </is>
      </c>
      <c r="G638" s="17" t="inlineStr">
        <is>
          <t xml:space="preserve"> 提供设备档案和人员架构信创数据库存储服务</t>
        </is>
      </c>
      <c r="H638" s="18" t="inlineStr">
        <is>
          <t>EI</t>
        </is>
      </c>
      <c r="I638" s="18">
        <f>IF(H638="ILF",10,IF(H638="EIF",7,IF(H638="EI",4,IF(H638="EO",5,IF(H638="EQ",4,"")))))</f>
        <v/>
      </c>
      <c r="J638" s="18" t="inlineStr">
        <is>
          <t>低</t>
        </is>
      </c>
      <c r="K638" s="18">
        <f>IF(J638="高",0.33,IF(J638="中",0.67,IF(J638="低",1,"")))</f>
        <v/>
      </c>
      <c r="L638" s="18" t="inlineStr">
        <is>
          <t>新增</t>
        </is>
      </c>
      <c r="M638" s="18">
        <f>IF(L638="新增",1,IF(L638="修改",0.8,IF(L638="删除",0.2,"")))</f>
        <v/>
      </c>
      <c r="N638" s="18">
        <f>I638*K638*M638</f>
        <v/>
      </c>
    </row>
    <row r="639" ht="19" customHeight="1" s="1">
      <c r="B639" s="16" t="n">
        <v>634</v>
      </c>
      <c r="C639" s="16" t="inlineStr">
        <is>
          <t>高频时序数据分级存储与全链路安全管控服务</t>
        </is>
      </c>
      <c r="D639" s="16" t="inlineStr">
        <is>
          <t>数据存储服务</t>
        </is>
      </c>
      <c r="E639" s="16" t="inlineStr">
        <is>
          <t>信创数据库</t>
        </is>
      </c>
      <c r="F639" s="16" t="inlineStr">
        <is>
          <t>规则存储</t>
        </is>
      </c>
      <c r="G639" s="17" t="inlineStr">
        <is>
          <t xml:space="preserve"> 提供告警规则和采集规则信创数据库存储服务</t>
        </is>
      </c>
      <c r="H639" s="18" t="inlineStr">
        <is>
          <t>EI</t>
        </is>
      </c>
      <c r="I639" s="18">
        <f>IF(H639="ILF",10,IF(H639="EIF",7,IF(H639="EI",4,IF(H639="EO",5,IF(H639="EQ",4,"")))))</f>
        <v/>
      </c>
      <c r="J639" s="18" t="inlineStr">
        <is>
          <t>低</t>
        </is>
      </c>
      <c r="K639" s="18">
        <f>IF(J639="高",0.33,IF(J639="中",0.67,IF(J639="低",1,"")))</f>
        <v/>
      </c>
      <c r="L639" s="18" t="inlineStr">
        <is>
          <t>新增</t>
        </is>
      </c>
      <c r="M639" s="18">
        <f>IF(L639="新增",1,IF(L639="修改",0.8,IF(L639="删除",0.2,"")))</f>
        <v/>
      </c>
      <c r="N639" s="18">
        <f>I639*K639*M639</f>
        <v/>
      </c>
    </row>
    <row r="640" ht="19" customHeight="1" s="1">
      <c r="B640" s="16" t="n">
        <v>635</v>
      </c>
      <c r="C640" s="16" t="inlineStr">
        <is>
          <t>高频时序数据分级存储与全链路安全管控服务</t>
        </is>
      </c>
      <c r="D640" s="16" t="inlineStr">
        <is>
          <t>数据存储服务</t>
        </is>
      </c>
      <c r="E640" s="16" t="inlineStr">
        <is>
          <t>信创数据库</t>
        </is>
      </c>
      <c r="F640" s="16" t="inlineStr">
        <is>
          <t>架构存储</t>
        </is>
      </c>
      <c r="G640" s="17" t="inlineStr">
        <is>
          <t xml:space="preserve"> 提供组织架构信创数据库存储服务</t>
        </is>
      </c>
      <c r="H640" s="18" t="inlineStr">
        <is>
          <t>EI</t>
        </is>
      </c>
      <c r="I640" s="18">
        <f>IF(H640="ILF",10,IF(H640="EIF",7,IF(H640="EI",4,IF(H640="EO",5,IF(H640="EQ",4,"")))))</f>
        <v/>
      </c>
      <c r="J640" s="18" t="inlineStr">
        <is>
          <t>低</t>
        </is>
      </c>
      <c r="K640" s="18">
        <f>IF(J640="高",0.33,IF(J640="中",0.67,IF(J640="低",1,"")))</f>
        <v/>
      </c>
      <c r="L640" s="18" t="inlineStr">
        <is>
          <t>新增</t>
        </is>
      </c>
      <c r="M640" s="18">
        <f>IF(L640="新增",1,IF(L640="修改",0.8,IF(L640="删除",0.2,"")))</f>
        <v/>
      </c>
      <c r="N640" s="18">
        <f>I640*K640*M640</f>
        <v/>
      </c>
    </row>
    <row r="641" ht="19" customHeight="1" s="1">
      <c r="B641" s="16" t="n">
        <v>636</v>
      </c>
      <c r="C641" s="16" t="inlineStr">
        <is>
          <t>高频时序数据分级存储与全链路安全管控服务</t>
        </is>
      </c>
      <c r="D641" s="16" t="inlineStr">
        <is>
          <t>数据存储服务</t>
        </is>
      </c>
      <c r="E641" s="16" t="inlineStr">
        <is>
          <t>信创数据库</t>
        </is>
      </c>
      <c r="F641" s="16" t="inlineStr">
        <is>
          <t>变更存储</t>
        </is>
      </c>
      <c r="G641" s="17" t="inlineStr">
        <is>
          <t xml:space="preserve"> 提供配置变更历史记录信创数据库存储服务</t>
        </is>
      </c>
      <c r="H641" s="18" t="inlineStr">
        <is>
          <t>EI</t>
        </is>
      </c>
      <c r="I641" s="18">
        <f>IF(H641="ILF",10,IF(H641="EIF",7,IF(H641="EI",4,IF(H641="EO",5,IF(H641="EQ",4,"")))))</f>
        <v/>
      </c>
      <c r="J641" s="18" t="inlineStr">
        <is>
          <t>低</t>
        </is>
      </c>
      <c r="K641" s="18">
        <f>IF(J641="高",0.33,IF(J641="中",0.67,IF(J641="低",1,"")))</f>
        <v/>
      </c>
      <c r="L641" s="18" t="inlineStr">
        <is>
          <t>新增</t>
        </is>
      </c>
      <c r="M641" s="18">
        <f>IF(L641="新增",1,IF(L641="修改",0.8,IF(L641="删除",0.2,"")))</f>
        <v/>
      </c>
      <c r="N641" s="18">
        <f>I641*K641*M641</f>
        <v/>
      </c>
    </row>
    <row r="642" ht="19" customHeight="1" s="1">
      <c r="B642" s="16" t="n">
        <v>637</v>
      </c>
      <c r="C642" s="16" t="inlineStr">
        <is>
          <t>高频时序数据分级存储与全链路安全管控服务</t>
        </is>
      </c>
      <c r="D642" s="16" t="inlineStr">
        <is>
          <t>数据存储服务</t>
        </is>
      </c>
      <c r="E642" s="16" t="inlineStr">
        <is>
          <t>信创数据库</t>
        </is>
      </c>
      <c r="F642" s="16" t="inlineStr">
        <is>
          <t>日志存储</t>
        </is>
      </c>
      <c r="G642" s="17" t="inlineStr">
        <is>
          <t xml:space="preserve"> 提供操作审计日志信创数据库存储服务</t>
        </is>
      </c>
      <c r="H642" s="18" t="inlineStr">
        <is>
          <t>EI</t>
        </is>
      </c>
      <c r="I642" s="18">
        <f>IF(H642="ILF",10,IF(H642="EIF",7,IF(H642="EI",4,IF(H642="EO",5,IF(H642="EQ",4,"")))))</f>
        <v/>
      </c>
      <c r="J642" s="18" t="inlineStr">
        <is>
          <t>低</t>
        </is>
      </c>
      <c r="K642" s="18">
        <f>IF(J642="高",0.33,IF(J642="中",0.67,IF(J642="低",1,"")))</f>
        <v/>
      </c>
      <c r="L642" s="18" t="inlineStr">
        <is>
          <t>新增</t>
        </is>
      </c>
      <c r="M642" s="18">
        <f>IF(L642="新增",1,IF(L642="修改",0.8,IF(L642="删除",0.2,"")))</f>
        <v/>
      </c>
      <c r="N642" s="18">
        <f>I642*K642*M642</f>
        <v/>
      </c>
    </row>
    <row r="643" ht="19" customHeight="1" s="1">
      <c r="B643" s="16" t="n">
        <v>638</v>
      </c>
      <c r="C643" s="16" t="inlineStr">
        <is>
          <t>高频时序数据分级存储与全链路安全管控服务</t>
        </is>
      </c>
      <c r="D643" s="16" t="inlineStr">
        <is>
          <t>数据存储服务</t>
        </is>
      </c>
      <c r="E643" s="16" t="inlineStr">
        <is>
          <t>信创数据库</t>
        </is>
      </c>
      <c r="F643" s="16" t="inlineStr">
        <is>
          <t>性能监控</t>
        </is>
      </c>
      <c r="G643" s="17" t="inlineStr">
        <is>
          <t xml:space="preserve"> 提供达梦数据库查询性能监控服务</t>
        </is>
      </c>
      <c r="H643" s="18" t="inlineStr">
        <is>
          <t>EI</t>
        </is>
      </c>
      <c r="I643" s="18">
        <f>IF(H643="ILF",10,IF(H643="EIF",7,IF(H643="EI",4,IF(H643="EO",5,IF(H643="EQ",4,"")))))</f>
        <v/>
      </c>
      <c r="J643" s="18" t="inlineStr">
        <is>
          <t>低</t>
        </is>
      </c>
      <c r="K643" s="18">
        <f>IF(J643="高",0.33,IF(J643="中",0.67,IF(J643="低",1,"")))</f>
        <v/>
      </c>
      <c r="L643" s="18" t="inlineStr">
        <is>
          <t>新增</t>
        </is>
      </c>
      <c r="M643" s="18">
        <f>IF(L643="新增",1,IF(L643="修改",0.8,IF(L643="删除",0.2,"")))</f>
        <v/>
      </c>
      <c r="N643" s="18">
        <f>I643*K643*M643</f>
        <v/>
      </c>
    </row>
    <row r="644" ht="19" customHeight="1" s="1">
      <c r="B644" s="16" t="n">
        <v>639</v>
      </c>
      <c r="C644" s="16" t="inlineStr">
        <is>
          <t>高频时序数据分级存储与全链路安全管控服务</t>
        </is>
      </c>
      <c r="D644" s="16" t="inlineStr">
        <is>
          <t>数据存储服务</t>
        </is>
      </c>
      <c r="E644" s="16" t="inlineStr">
        <is>
          <t>冷热分层</t>
        </is>
      </c>
      <c r="F644" s="16" t="inlineStr">
        <is>
          <t>SSD热数据</t>
        </is>
      </c>
      <c r="G644" s="17" t="inlineStr">
        <is>
          <t xml:space="preserve"> 提供0-30天热数据高性能SSD存储服务</t>
        </is>
      </c>
      <c r="H644" s="18" t="inlineStr">
        <is>
          <t>EI</t>
        </is>
      </c>
      <c r="I644" s="18">
        <f>IF(H644="ILF",10,IF(H644="EIF",7,IF(H644="EI",4,IF(H644="EO",5,IF(H644="EQ",4,"")))))</f>
        <v/>
      </c>
      <c r="J644" s="18" t="inlineStr">
        <is>
          <t>低</t>
        </is>
      </c>
      <c r="K644" s="18">
        <f>IF(J644="高",0.33,IF(J644="中",0.67,IF(J644="低",1,"")))</f>
        <v/>
      </c>
      <c r="L644" s="18" t="inlineStr">
        <is>
          <t>新增</t>
        </is>
      </c>
      <c r="M644" s="18">
        <f>IF(L644="新增",1,IF(L644="修改",0.8,IF(L644="删除",0.2,"")))</f>
        <v/>
      </c>
      <c r="N644" s="18">
        <f>I644*K644*M644</f>
        <v/>
      </c>
    </row>
    <row r="645" ht="19" customHeight="1" s="1">
      <c r="B645" s="16" t="n">
        <v>640</v>
      </c>
      <c r="C645" s="16" t="inlineStr">
        <is>
          <t>高频时序数据分级存储与全链路安全管控服务</t>
        </is>
      </c>
      <c r="D645" s="16" t="inlineStr">
        <is>
          <t>数据存储服务</t>
        </is>
      </c>
      <c r="E645" s="16" t="inlineStr">
        <is>
          <t>冷热分层</t>
        </is>
      </c>
      <c r="F645" s="16" t="inlineStr">
        <is>
          <t>HDD温数据</t>
        </is>
      </c>
      <c r="G645" s="17" t="inlineStr">
        <is>
          <t xml:space="preserve"> 提供31天-1年温数据大容量HDD存储服务</t>
        </is>
      </c>
      <c r="H645" s="18" t="inlineStr">
        <is>
          <t>EI</t>
        </is>
      </c>
      <c r="I645" s="18">
        <f>IF(H645="ILF",10,IF(H645="EIF",7,IF(H645="EI",4,IF(H645="EO",5,IF(H645="EQ",4,"")))))</f>
        <v/>
      </c>
      <c r="J645" s="18" t="inlineStr">
        <is>
          <t>中</t>
        </is>
      </c>
      <c r="K645" s="18">
        <f>IF(J645="高",0.33,IF(J645="中",0.67,IF(J645="低",1,"")))</f>
        <v/>
      </c>
      <c r="L645" s="18" t="inlineStr">
        <is>
          <t>新增</t>
        </is>
      </c>
      <c r="M645" s="18">
        <f>IF(L645="新增",1,IF(L645="修改",0.8,IF(L645="删除",0.2,"")))</f>
        <v/>
      </c>
      <c r="N645" s="18">
        <f>I645*K645*M645</f>
        <v/>
      </c>
    </row>
    <row r="646" ht="19" customHeight="1" s="1">
      <c r="B646" s="16" t="n">
        <v>641</v>
      </c>
      <c r="C646" s="16" t="inlineStr">
        <is>
          <t>高频时序数据分级存储与全链路安全管控服务</t>
        </is>
      </c>
      <c r="D646" s="16" t="inlineStr">
        <is>
          <t>数据存储服务</t>
        </is>
      </c>
      <c r="E646" s="16" t="inlineStr">
        <is>
          <t>冷热分层</t>
        </is>
      </c>
      <c r="F646" s="16" t="inlineStr">
        <is>
          <t>归档冷数据</t>
        </is>
      </c>
      <c r="G646" s="17" t="inlineStr">
        <is>
          <t xml:space="preserve"> 提供1-2年冷数据低成本归档存储服务</t>
        </is>
      </c>
      <c r="H646" s="18" t="inlineStr">
        <is>
          <t>EI</t>
        </is>
      </c>
      <c r="I646" s="18">
        <f>IF(H646="ILF",10,IF(H646="EIF",7,IF(H646="EI",4,IF(H646="EO",5,IF(H646="EQ",4,"")))))</f>
        <v/>
      </c>
      <c r="J646" s="18" t="inlineStr">
        <is>
          <t>中</t>
        </is>
      </c>
      <c r="K646" s="18">
        <f>IF(J646="高",0.33,IF(J646="中",0.67,IF(J646="低",1,"")))</f>
        <v/>
      </c>
      <c r="L646" s="18" t="inlineStr">
        <is>
          <t>新增</t>
        </is>
      </c>
      <c r="M646" s="18">
        <f>IF(L646="新增",1,IF(L646="修改",0.8,IF(L646="删除",0.2,"")))</f>
        <v/>
      </c>
      <c r="N646" s="18">
        <f>I646*K646*M646</f>
        <v/>
      </c>
    </row>
    <row r="647" ht="19" customHeight="1" s="1">
      <c r="B647" s="16" t="n">
        <v>642</v>
      </c>
      <c r="C647" s="16" t="inlineStr">
        <is>
          <t>高频时序数据分级存储与全链路安全管控服务</t>
        </is>
      </c>
      <c r="D647" s="16" t="inlineStr">
        <is>
          <t>数据存储服务</t>
        </is>
      </c>
      <c r="E647" s="16" t="inlineStr">
        <is>
          <t>冷热分层</t>
        </is>
      </c>
      <c r="F647" s="16" t="inlineStr">
        <is>
          <t>自动迁移</t>
        </is>
      </c>
      <c r="G647" s="17" t="inlineStr">
        <is>
          <t xml:space="preserve"> 提供数据到期后自动从SSD→HDD→归档迁移服务</t>
        </is>
      </c>
      <c r="H647" s="18" t="inlineStr">
        <is>
          <t>EI</t>
        </is>
      </c>
      <c r="I647" s="18">
        <f>IF(H647="ILF",10,IF(H647="EIF",7,IF(H647="EI",4,IF(H647="EO",5,IF(H647="EQ",4,"")))))</f>
        <v/>
      </c>
      <c r="J647" s="18" t="inlineStr">
        <is>
          <t>中</t>
        </is>
      </c>
      <c r="K647" s="18">
        <f>IF(J647="高",0.33,IF(J647="中",0.67,IF(J647="低",1,"")))</f>
        <v/>
      </c>
      <c r="L647" s="18" t="inlineStr">
        <is>
          <t>新增</t>
        </is>
      </c>
      <c r="M647" s="18">
        <f>IF(L647="新增",1,IF(L647="修改",0.8,IF(L647="删除",0.2,"")))</f>
        <v/>
      </c>
      <c r="N647" s="18">
        <f>I647*K647*M647</f>
        <v/>
      </c>
    </row>
    <row r="648" ht="19" customHeight="1" s="1">
      <c r="B648" s="16" t="n">
        <v>643</v>
      </c>
      <c r="C648" s="16" t="inlineStr">
        <is>
          <t>高频时序数据分级存储与全链路安全管控服务</t>
        </is>
      </c>
      <c r="D648" s="16" t="inlineStr">
        <is>
          <t>数据存储服务</t>
        </is>
      </c>
      <c r="E648" s="16" t="inlineStr">
        <is>
          <t>冷热分层</t>
        </is>
      </c>
      <c r="F648" s="16" t="inlineStr">
        <is>
          <t>查询穿透</t>
        </is>
      </c>
      <c r="G648" s="17" t="inlineStr">
        <is>
          <t xml:space="preserve"> 提供上层查询自动探测数据所在层级服务</t>
        </is>
      </c>
      <c r="H648" s="18" t="inlineStr">
        <is>
          <t>EI</t>
        </is>
      </c>
      <c r="I648" s="18">
        <f>IF(H648="ILF",10,IF(H648="EIF",7,IF(H648="EI",4,IF(H648="EO",5,IF(H648="EQ",4,"")))))</f>
        <v/>
      </c>
      <c r="J648" s="18" t="inlineStr">
        <is>
          <t>中</t>
        </is>
      </c>
      <c r="K648" s="18">
        <f>IF(J648="高",0.33,IF(J648="中",0.67,IF(J648="低",1,"")))</f>
        <v/>
      </c>
      <c r="L648" s="18" t="inlineStr">
        <is>
          <t>新增</t>
        </is>
      </c>
      <c r="M648" s="18">
        <f>IF(L648="新增",1,IF(L648="修改",0.8,IF(L648="删除",0.2,"")))</f>
        <v/>
      </c>
      <c r="N648" s="18">
        <f>I648*K648*M648</f>
        <v/>
      </c>
    </row>
    <row r="649" ht="19" customHeight="1" s="1">
      <c r="B649" s="16" t="n">
        <v>644</v>
      </c>
      <c r="C649" s="16" t="inlineStr">
        <is>
          <t>高频时序数据分级存储与全链路安全管控服务</t>
        </is>
      </c>
      <c r="D649" s="16" t="inlineStr">
        <is>
          <t>数据存储服务</t>
        </is>
      </c>
      <c r="E649" s="16" t="inlineStr">
        <is>
          <t>冷热分层</t>
        </is>
      </c>
      <c r="F649" s="16" t="inlineStr">
        <is>
          <t>迁移策略</t>
        </is>
      </c>
      <c r="G649" s="17" t="inlineStr">
        <is>
          <t xml:space="preserve"> 提供数据分层条件参数配置服务</t>
        </is>
      </c>
      <c r="H649" s="18" t="inlineStr">
        <is>
          <t>EI</t>
        </is>
      </c>
      <c r="I649" s="18">
        <f>IF(H649="ILF",10,IF(H649="EIF",7,IF(H649="EI",4,IF(H649="EO",5,IF(H649="EQ",4,"")))))</f>
        <v/>
      </c>
      <c r="J649" s="18" t="inlineStr">
        <is>
          <t>中</t>
        </is>
      </c>
      <c r="K649" s="18">
        <f>IF(J649="高",0.33,IF(J649="中",0.67,IF(J649="低",1,"")))</f>
        <v/>
      </c>
      <c r="L649" s="18" t="inlineStr">
        <is>
          <t>新增</t>
        </is>
      </c>
      <c r="M649" s="18">
        <f>IF(L649="新增",1,IF(L649="修改",0.8,IF(L649="删除",0.2,"")))</f>
        <v/>
      </c>
      <c r="N649" s="18">
        <f>I649*K649*M649</f>
        <v/>
      </c>
    </row>
    <row r="650" ht="19" customHeight="1" s="1">
      <c r="B650" s="16" t="n">
        <v>645</v>
      </c>
      <c r="C650" s="16" t="inlineStr">
        <is>
          <t>高频时序数据分级存储与全链路安全管控服务</t>
        </is>
      </c>
      <c r="D650" s="16" t="inlineStr">
        <is>
          <t>数据存储服务</t>
        </is>
      </c>
      <c r="E650" s="16" t="inlineStr">
        <is>
          <t>冷热分层</t>
        </is>
      </c>
      <c r="F650" s="16" t="inlineStr">
        <is>
          <t>迁移日志</t>
        </is>
      </c>
      <c r="G650" s="17" t="inlineStr">
        <is>
          <t xml:space="preserve"> 提供数据迁移操作日志记录服务</t>
        </is>
      </c>
      <c r="H650" s="18" t="inlineStr">
        <is>
          <t>EI</t>
        </is>
      </c>
      <c r="I650" s="18">
        <f>IF(H650="ILF",10,IF(H650="EIF",7,IF(H650="EI",4,IF(H650="EO",5,IF(H650="EQ",4,"")))))</f>
        <v/>
      </c>
      <c r="J650" s="18" t="inlineStr">
        <is>
          <t>中</t>
        </is>
      </c>
      <c r="K650" s="18">
        <f>IF(J650="高",0.33,IF(J650="中",0.67,IF(J650="低",1,"")))</f>
        <v/>
      </c>
      <c r="L650" s="18" t="inlineStr">
        <is>
          <t>新增</t>
        </is>
      </c>
      <c r="M650" s="18">
        <f>IF(L650="新增",1,IF(L650="修改",0.8,IF(L650="删除",0.2,"")))</f>
        <v/>
      </c>
      <c r="N650" s="18">
        <f>I650*K650*M650</f>
        <v/>
      </c>
    </row>
    <row r="651" ht="19" customHeight="1" s="1">
      <c r="B651" s="16" t="n">
        <v>646</v>
      </c>
      <c r="C651" s="16" t="inlineStr">
        <is>
          <t>高频时序数据分级存储与全链路安全管控服务</t>
        </is>
      </c>
      <c r="D651" s="16" t="inlineStr">
        <is>
          <t>数据存储服务</t>
        </is>
      </c>
      <c r="E651" s="16" t="inlineStr">
        <is>
          <t>冷热分层</t>
        </is>
      </c>
      <c r="F651" s="16" t="inlineStr">
        <is>
          <t>空间监控</t>
        </is>
      </c>
      <c r="G651" s="17" t="inlineStr">
        <is>
          <t xml:space="preserve"> 提供各类存储介质空间使用率监控服务</t>
        </is>
      </c>
      <c r="H651" s="18" t="inlineStr">
        <is>
          <t>EI</t>
        </is>
      </c>
      <c r="I651" s="18">
        <f>IF(H651="ILF",10,IF(H651="EIF",7,IF(H651="EI",4,IF(H651="EO",5,IF(H651="EQ",4,"")))))</f>
        <v/>
      </c>
      <c r="J651" s="18" t="inlineStr">
        <is>
          <t>中</t>
        </is>
      </c>
      <c r="K651" s="18">
        <f>IF(J651="高",0.33,IF(J651="中",0.67,IF(J651="低",1,"")))</f>
        <v/>
      </c>
      <c r="L651" s="18" t="inlineStr">
        <is>
          <t>新增</t>
        </is>
      </c>
      <c r="M651" s="18">
        <f>IF(L651="新增",1,IF(L651="修改",0.8,IF(L651="删除",0.2,"")))</f>
        <v/>
      </c>
      <c r="N651" s="18">
        <f>I651*K651*M651</f>
        <v/>
      </c>
    </row>
    <row r="652" ht="19" customHeight="1" s="1">
      <c r="B652" s="16" t="n">
        <v>647</v>
      </c>
      <c r="C652" s="16" t="inlineStr">
        <is>
          <t>高频时序数据分级存储与全链路安全管控服务</t>
        </is>
      </c>
      <c r="D652" s="16" t="inlineStr">
        <is>
          <t>数据存储服务</t>
        </is>
      </c>
      <c r="E652" s="16" t="inlineStr">
        <is>
          <t>冷热分层</t>
        </is>
      </c>
      <c r="F652" s="16" t="inlineStr">
        <is>
          <t>冷压缩</t>
        </is>
      </c>
      <c r="G652" s="17" t="inlineStr">
        <is>
          <t xml:space="preserve"> 提供归档冷数据二次压缩服务</t>
        </is>
      </c>
      <c r="H652" s="18" t="inlineStr">
        <is>
          <t>EI</t>
        </is>
      </c>
      <c r="I652" s="18">
        <f>IF(H652="ILF",10,IF(H652="EIF",7,IF(H652="EI",4,IF(H652="EO",5,IF(H652="EQ",4,"")))))</f>
        <v/>
      </c>
      <c r="J652" s="18" t="inlineStr">
        <is>
          <t>中</t>
        </is>
      </c>
      <c r="K652" s="18">
        <f>IF(J652="高",0.33,IF(J652="中",0.67,IF(J652="低",1,"")))</f>
        <v/>
      </c>
      <c r="L652" s="18" t="inlineStr">
        <is>
          <t>新增</t>
        </is>
      </c>
      <c r="M652" s="18">
        <f>IF(L652="新增",1,IF(L652="修改",0.8,IF(L652="删除",0.2,"")))</f>
        <v/>
      </c>
      <c r="N652" s="18">
        <f>I652*K652*M652</f>
        <v/>
      </c>
    </row>
    <row r="653" ht="19" customHeight="1" s="1">
      <c r="B653" s="16" t="n">
        <v>648</v>
      </c>
      <c r="C653" s="16" t="inlineStr">
        <is>
          <t>高频时序数据分级存储与全链路安全管控服务</t>
        </is>
      </c>
      <c r="D653" s="16" t="inlineStr">
        <is>
          <t>数据存储服务</t>
        </is>
      </c>
      <c r="E653" s="16" t="inlineStr">
        <is>
          <t>冷热分层</t>
        </is>
      </c>
      <c r="F653" s="16" t="inlineStr">
        <is>
          <t>成本统计</t>
        </is>
      </c>
      <c r="G653" s="17" t="inlineStr">
        <is>
          <t xml:space="preserve"> 提供各存储层成本统计分析服务</t>
        </is>
      </c>
      <c r="H653" s="18" t="inlineStr">
        <is>
          <t>EI</t>
        </is>
      </c>
      <c r="I653" s="18">
        <f>IF(H653="ILF",10,IF(H653="EIF",7,IF(H653="EI",4,IF(H653="EO",5,IF(H653="EQ",4,"")))))</f>
        <v/>
      </c>
      <c r="J653" s="18" t="inlineStr">
        <is>
          <t>中</t>
        </is>
      </c>
      <c r="K653" s="18">
        <f>IF(J653="高",0.33,IF(J653="中",0.67,IF(J653="低",1,"")))</f>
        <v/>
      </c>
      <c r="L653" s="18" t="inlineStr">
        <is>
          <t>新增</t>
        </is>
      </c>
      <c r="M653" s="18">
        <f>IF(L653="新增",1,IF(L653="修改",0.8,IF(L653="删除",0.2,"")))</f>
        <v/>
      </c>
      <c r="N653" s="18">
        <f>I653*K653*M653</f>
        <v/>
      </c>
    </row>
    <row r="654" ht="19" customHeight="1" s="1">
      <c r="B654" s="16" t="n">
        <v>649</v>
      </c>
      <c r="C654" s="16" t="inlineStr">
        <is>
          <t>高频时序数据分级存储与全链路安全管控服务</t>
        </is>
      </c>
      <c r="D654" s="16" t="inlineStr">
        <is>
          <t>数据开放服务</t>
        </is>
      </c>
      <c r="E654" s="16" t="inlineStr">
        <is>
          <t>接口</t>
        </is>
      </c>
      <c r="F654" s="16" t="inlineStr">
        <is>
          <t>实时查询</t>
        </is>
      </c>
      <c r="G654" s="17" t="inlineStr">
        <is>
          <t xml:space="preserve"> 提供实时数据REST API查询接口服务</t>
        </is>
      </c>
      <c r="H654" s="18" t="inlineStr">
        <is>
          <t>EI</t>
        </is>
      </c>
      <c r="I654" s="18">
        <f>IF(H654="ILF",10,IF(H654="EIF",7,IF(H654="EI",4,IF(H654="EO",5,IF(H654="EQ",4,"")))))</f>
        <v/>
      </c>
      <c r="J654" s="18" t="inlineStr">
        <is>
          <t>中</t>
        </is>
      </c>
      <c r="K654" s="18">
        <f>IF(J654="高",0.33,IF(J654="中",0.67,IF(J654="低",1,"")))</f>
        <v/>
      </c>
      <c r="L654" s="18" t="inlineStr">
        <is>
          <t>新增</t>
        </is>
      </c>
      <c r="M654" s="18">
        <f>IF(L654="新增",1,IF(L654="修改",0.8,IF(L654="删除",0.2,"")))</f>
        <v/>
      </c>
      <c r="N654" s="18">
        <f>I654*K654*M654</f>
        <v/>
      </c>
    </row>
    <row r="655" ht="19" customHeight="1" s="1">
      <c r="B655" s="16" t="n">
        <v>650</v>
      </c>
      <c r="C655" s="16" t="inlineStr">
        <is>
          <t>高频时序数据分级存储与全链路安全管控服务</t>
        </is>
      </c>
      <c r="D655" s="16" t="inlineStr">
        <is>
          <t>数据开放服务</t>
        </is>
      </c>
      <c r="E655" s="16" t="inlineStr">
        <is>
          <t>接口</t>
        </is>
      </c>
      <c r="F655" s="16" t="inlineStr">
        <is>
          <t>历史查询</t>
        </is>
      </c>
      <c r="G655" s="17" t="inlineStr">
        <is>
          <t xml:space="preserve"> 提供支持时间范围/测点筛选的历史查询服务</t>
        </is>
      </c>
      <c r="H655" s="18" t="inlineStr">
        <is>
          <t>EI</t>
        </is>
      </c>
      <c r="I655" s="18">
        <f>IF(H655="ILF",10,IF(H655="EIF",7,IF(H655="EI",4,IF(H655="EO",5,IF(H655="EQ",4,"")))))</f>
        <v/>
      </c>
      <c r="J655" s="18" t="inlineStr">
        <is>
          <t>中</t>
        </is>
      </c>
      <c r="K655" s="18">
        <f>IF(J655="高",0.33,IF(J655="中",0.67,IF(J655="低",1,"")))</f>
        <v/>
      </c>
      <c r="L655" s="18" t="inlineStr">
        <is>
          <t>新增</t>
        </is>
      </c>
      <c r="M655" s="18">
        <f>IF(L655="新增",1,IF(L655="修改",0.8,IF(L655="删除",0.2,"")))</f>
        <v/>
      </c>
      <c r="N655" s="18">
        <f>I655*K655*M655</f>
        <v/>
      </c>
    </row>
    <row r="656" ht="19" customHeight="1" s="1">
      <c r="B656" s="16" t="n">
        <v>651</v>
      </c>
      <c r="C656" s="16" t="inlineStr">
        <is>
          <t>高频时序数据分级存储与全链路安全管控服务</t>
        </is>
      </c>
      <c r="D656" s="16" t="inlineStr">
        <is>
          <t>数据开放服务</t>
        </is>
      </c>
      <c r="E656" s="16" t="inlineStr">
        <is>
          <t>接口</t>
        </is>
      </c>
      <c r="F656" s="16" t="inlineStr">
        <is>
          <t>降采样查询</t>
        </is>
      </c>
      <c r="G656" s="17" t="inlineStr">
        <is>
          <t xml:space="preserve"> 提供支持时间降采样的历史查询服务</t>
        </is>
      </c>
      <c r="H656" s="18" t="inlineStr">
        <is>
          <t>EI</t>
        </is>
      </c>
      <c r="I656" s="18">
        <f>IF(H656="ILF",10,IF(H656="EIF",7,IF(H656="EI",4,IF(H656="EO",5,IF(H656="EQ",4,"")))))</f>
        <v/>
      </c>
      <c r="J656" s="18" t="inlineStr">
        <is>
          <t>中</t>
        </is>
      </c>
      <c r="K656" s="18">
        <f>IF(J656="高",0.33,IF(J656="中",0.67,IF(J656="低",1,"")))</f>
        <v/>
      </c>
      <c r="L656" s="18" t="inlineStr">
        <is>
          <t>新增</t>
        </is>
      </c>
      <c r="M656" s="18">
        <f>IF(L656="新增",1,IF(L656="修改",0.8,IF(L656="删除",0.2,"")))</f>
        <v/>
      </c>
      <c r="N656" s="18">
        <f>I656*K656*M656</f>
        <v/>
      </c>
    </row>
    <row r="657" ht="19" customHeight="1" s="1">
      <c r="B657" s="16" t="n">
        <v>652</v>
      </c>
      <c r="C657" s="16" t="inlineStr">
        <is>
          <t>高频时序数据分级存储与全链路安全管控服务</t>
        </is>
      </c>
      <c r="D657" s="16" t="inlineStr">
        <is>
          <t>数据开放服务</t>
        </is>
      </c>
      <c r="E657" s="16" t="inlineStr">
        <is>
          <t>接口</t>
        </is>
      </c>
      <c r="F657" s="16" t="inlineStr">
        <is>
          <t>物模型检索</t>
        </is>
      </c>
      <c r="G657" s="17" t="inlineStr">
        <is>
          <t xml:space="preserve"> 提供物模型定义REST检索接口服务</t>
        </is>
      </c>
      <c r="H657" s="18" t="inlineStr">
        <is>
          <t>EI</t>
        </is>
      </c>
      <c r="I657" s="18">
        <f>IF(H657="ILF",10,IF(H657="EIF",7,IF(H657="EI",4,IF(H657="EO",5,IF(H657="EQ",4,"")))))</f>
        <v/>
      </c>
      <c r="J657" s="18" t="inlineStr">
        <is>
          <t>中</t>
        </is>
      </c>
      <c r="K657" s="18">
        <f>IF(J657="高",0.33,IF(J657="中",0.67,IF(J657="低",1,"")))</f>
        <v/>
      </c>
      <c r="L657" s="18" t="inlineStr">
        <is>
          <t>新增</t>
        </is>
      </c>
      <c r="M657" s="18">
        <f>IF(L657="新增",1,IF(L657="修改",0.8,IF(L657="删除",0.2,"")))</f>
        <v/>
      </c>
      <c r="N657" s="18">
        <f>I657*K657*M657</f>
        <v/>
      </c>
    </row>
    <row r="658" ht="19" customHeight="1" s="1">
      <c r="B658" s="16" t="n">
        <v>653</v>
      </c>
      <c r="C658" s="16" t="inlineStr">
        <is>
          <t>高频时序数据分级存储与全链路安全管控服务</t>
        </is>
      </c>
      <c r="D658" s="16" t="inlineStr">
        <is>
          <t>数据开放服务</t>
        </is>
      </c>
      <c r="E658" s="16" t="inlineStr">
        <is>
          <t>接口</t>
        </is>
      </c>
      <c r="F658" s="16" t="inlineStr">
        <is>
          <t>档案检索</t>
        </is>
      </c>
      <c r="G658" s="17" t="inlineStr">
        <is>
          <t xml:space="preserve"> 提供设备档案REST检索接口服务</t>
        </is>
      </c>
      <c r="H658" s="18" t="inlineStr">
        <is>
          <t>EI</t>
        </is>
      </c>
      <c r="I658" s="18">
        <f>IF(H658="ILF",10,IF(H658="EIF",7,IF(H658="EI",4,IF(H658="EO",5,IF(H658="EQ",4,"")))))</f>
        <v/>
      </c>
      <c r="J658" s="18" t="inlineStr">
        <is>
          <t>中</t>
        </is>
      </c>
      <c r="K658" s="18">
        <f>IF(J658="高",0.33,IF(J658="中",0.67,IF(J658="低",1,"")))</f>
        <v/>
      </c>
      <c r="L658" s="18" t="inlineStr">
        <is>
          <t>新增</t>
        </is>
      </c>
      <c r="M658" s="18">
        <f>IF(L658="新增",1,IF(L658="修改",0.8,IF(L658="删除",0.2,"")))</f>
        <v/>
      </c>
      <c r="N658" s="18">
        <f>I658*K658*M658</f>
        <v/>
      </c>
    </row>
    <row r="659" ht="19" customHeight="1" s="1">
      <c r="B659" s="16" t="n">
        <v>654</v>
      </c>
      <c r="C659" s="16" t="inlineStr">
        <is>
          <t>高频时序数据分级存储与全链路安全管控服务</t>
        </is>
      </c>
      <c r="D659" s="16" t="inlineStr">
        <is>
          <t>数据开放服务</t>
        </is>
      </c>
      <c r="E659" s="16" t="inlineStr">
        <is>
          <t>接口</t>
        </is>
      </c>
      <c r="F659" s="16" t="inlineStr">
        <is>
          <t>架构检索</t>
        </is>
      </c>
      <c r="G659" s="17" t="inlineStr">
        <is>
          <t xml:space="preserve"> 提供组织架构REST检索接口服务</t>
        </is>
      </c>
      <c r="H659" s="18" t="inlineStr">
        <is>
          <t>EI</t>
        </is>
      </c>
      <c r="I659" s="18">
        <f>IF(H659="ILF",10,IF(H659="EIF",7,IF(H659="EI",4,IF(H659="EO",5,IF(H659="EQ",4,"")))))</f>
        <v/>
      </c>
      <c r="J659" s="18" t="inlineStr">
        <is>
          <t>中</t>
        </is>
      </c>
      <c r="K659" s="18">
        <f>IF(J659="高",0.33,IF(J659="中",0.67,IF(J659="低",1,"")))</f>
        <v/>
      </c>
      <c r="L659" s="18" t="inlineStr">
        <is>
          <t>新增</t>
        </is>
      </c>
      <c r="M659" s="18">
        <f>IF(L659="新增",1,IF(L659="修改",0.8,IF(L659="删除",0.2,"")))</f>
        <v/>
      </c>
      <c r="N659" s="18">
        <f>I659*K659*M659</f>
        <v/>
      </c>
    </row>
    <row r="660" ht="19" customHeight="1" s="1">
      <c r="B660" s="16" t="n">
        <v>655</v>
      </c>
      <c r="C660" s="16" t="inlineStr">
        <is>
          <t>高频时序数据分级存储与全链路安全管控服务</t>
        </is>
      </c>
      <c r="D660" s="16" t="inlineStr">
        <is>
          <t>数据开放服务</t>
        </is>
      </c>
      <c r="E660" s="16" t="inlineStr">
        <is>
          <t>接口</t>
        </is>
      </c>
      <c r="F660" s="16" t="inlineStr">
        <is>
          <t>API文档</t>
        </is>
      </c>
      <c r="G660" s="17" t="inlineStr">
        <is>
          <t xml:space="preserve"> 提供OpenAPI标准接口文档维护服务</t>
        </is>
      </c>
      <c r="H660" s="18" t="inlineStr">
        <is>
          <t>EI</t>
        </is>
      </c>
      <c r="I660" s="18">
        <f>IF(H660="ILF",10,IF(H660="EIF",7,IF(H660="EI",4,IF(H660="EO",5,IF(H660="EQ",4,"")))))</f>
        <v/>
      </c>
      <c r="J660" s="18" t="inlineStr">
        <is>
          <t>中</t>
        </is>
      </c>
      <c r="K660" s="18">
        <f>IF(J660="高",0.33,IF(J660="中",0.67,IF(J660="低",1,"")))</f>
        <v/>
      </c>
      <c r="L660" s="18" t="inlineStr">
        <is>
          <t>新增</t>
        </is>
      </c>
      <c r="M660" s="18">
        <f>IF(L660="新增",1,IF(L660="修改",0.8,IF(L660="删除",0.2,"")))</f>
        <v/>
      </c>
      <c r="N660" s="18">
        <f>I660*K660*M660</f>
        <v/>
      </c>
    </row>
    <row r="661" ht="19" customHeight="1" s="1">
      <c r="B661" s="16" t="n">
        <v>656</v>
      </c>
      <c r="C661" s="16" t="inlineStr">
        <is>
          <t>高频时序数据分级存储与全链路安全管控服务</t>
        </is>
      </c>
      <c r="D661" s="16" t="inlineStr">
        <is>
          <t>数据开放服务</t>
        </is>
      </c>
      <c r="E661" s="16" t="inlineStr">
        <is>
          <t>接口</t>
        </is>
      </c>
      <c r="F661" s="16" t="inlineStr">
        <is>
          <t>MQTT订阅</t>
        </is>
      </c>
      <c r="G661" s="17" t="inlineStr">
        <is>
          <t xml:space="preserve"> 提供TDengine数据订阅和MQTT推送服务</t>
        </is>
      </c>
      <c r="H661" s="18" t="inlineStr">
        <is>
          <t>EI</t>
        </is>
      </c>
      <c r="I661" s="18">
        <f>IF(H661="ILF",10,IF(H661="EIF",7,IF(H661="EI",4,IF(H661="EO",5,IF(H661="EQ",4,"")))))</f>
        <v/>
      </c>
      <c r="J661" s="18" t="inlineStr">
        <is>
          <t>中</t>
        </is>
      </c>
      <c r="K661" s="18">
        <f>IF(J661="高",0.33,IF(J661="中",0.67,IF(J661="低",1,"")))</f>
        <v/>
      </c>
      <c r="L661" s="18" t="inlineStr">
        <is>
          <t>新增</t>
        </is>
      </c>
      <c r="M661" s="18">
        <f>IF(L661="新增",1,IF(L661="修改",0.8,IF(L661="删除",0.2,"")))</f>
        <v/>
      </c>
      <c r="N661" s="18">
        <f>I661*K661*M661</f>
        <v/>
      </c>
    </row>
    <row r="662" ht="19" customHeight="1" s="1">
      <c r="B662" s="16" t="n">
        <v>657</v>
      </c>
      <c r="C662" s="16" t="inlineStr">
        <is>
          <t>高频时序数据分级存储与全链路安全管控服务</t>
        </is>
      </c>
      <c r="D662" s="16" t="inlineStr">
        <is>
          <t>数据开放服务</t>
        </is>
      </c>
      <c r="E662" s="16" t="inlineStr">
        <is>
          <t>接口</t>
        </is>
      </c>
      <c r="F662" s="16" t="inlineStr">
        <is>
          <t>MQTT告警</t>
        </is>
      </c>
      <c r="G662" s="17" t="inlineStr">
        <is>
          <t xml:space="preserve"> 提供告警触发时MQTT主题推送事件服务</t>
        </is>
      </c>
      <c r="H662" s="18" t="inlineStr">
        <is>
          <t>EI</t>
        </is>
      </c>
      <c r="I662" s="18">
        <f>IF(H662="ILF",10,IF(H662="EIF",7,IF(H662="EI",4,IF(H662="EO",5,IF(H662="EQ",4,"")))))</f>
        <v/>
      </c>
      <c r="J662" s="18" t="inlineStr">
        <is>
          <t>中</t>
        </is>
      </c>
      <c r="K662" s="18">
        <f>IF(J662="高",0.33,IF(J662="中",0.67,IF(J662="低",1,"")))</f>
        <v/>
      </c>
      <c r="L662" s="18" t="inlineStr">
        <is>
          <t>新增</t>
        </is>
      </c>
      <c r="M662" s="18">
        <f>IF(L662="新增",1,IF(L662="修改",0.8,IF(L662="删除",0.2,"")))</f>
        <v/>
      </c>
      <c r="N662" s="18">
        <f>I662*K662*M662</f>
        <v/>
      </c>
    </row>
    <row r="663" ht="19" customHeight="1" s="1">
      <c r="B663" s="16" t="n">
        <v>658</v>
      </c>
      <c r="C663" s="16" t="inlineStr">
        <is>
          <t>高频时序数据分级存储与全链路安全管控服务</t>
        </is>
      </c>
      <c r="D663" s="16" t="inlineStr">
        <is>
          <t>数据开放服务</t>
        </is>
      </c>
      <c r="E663" s="16" t="inlineStr">
        <is>
          <t>接口</t>
        </is>
      </c>
      <c r="F663" s="16" t="inlineStr">
        <is>
          <t>MQTT工单</t>
        </is>
      </c>
      <c r="G663" s="17" t="inlineStr">
        <is>
          <t xml:space="preserve"> 提供工单状态MQTT同步服务</t>
        </is>
      </c>
      <c r="H663" s="18" t="inlineStr">
        <is>
          <t>EI</t>
        </is>
      </c>
      <c r="I663" s="18">
        <f>IF(H663="ILF",10,IF(H663="EIF",7,IF(H663="EI",4,IF(H663="EO",5,IF(H663="EQ",4,"")))))</f>
        <v/>
      </c>
      <c r="J663" s="18" t="inlineStr">
        <is>
          <t>中</t>
        </is>
      </c>
      <c r="K663" s="18">
        <f>IF(J663="高",0.33,IF(J663="中",0.67,IF(J663="低",1,"")))</f>
        <v/>
      </c>
      <c r="L663" s="18" t="inlineStr">
        <is>
          <t>新增</t>
        </is>
      </c>
      <c r="M663" s="18">
        <f>IF(L663="新增",1,IF(L663="修改",0.8,IF(L663="删除",0.2,"")))</f>
        <v/>
      </c>
      <c r="N663" s="18">
        <f>I663*K663*M663</f>
        <v/>
      </c>
    </row>
    <row r="664" ht="19" customHeight="1" s="1">
      <c r="B664" s="16" t="n">
        <v>659</v>
      </c>
      <c r="C664" s="16" t="inlineStr">
        <is>
          <t>高频时序数据分级存储与全链路安全管控服务</t>
        </is>
      </c>
      <c r="D664" s="16" t="inlineStr">
        <is>
          <t>数据开放服务</t>
        </is>
      </c>
      <c r="E664" s="16" t="inlineStr">
        <is>
          <t>接口</t>
        </is>
      </c>
      <c r="F664" s="16" t="inlineStr">
        <is>
          <t>WS推送</t>
        </is>
      </c>
      <c r="G664" s="17" t="inlineStr">
        <is>
          <t xml:space="preserve"> 提供WebSocket实时数据推送服务</t>
        </is>
      </c>
      <c r="H664" s="18" t="inlineStr">
        <is>
          <t>EI</t>
        </is>
      </c>
      <c r="I664" s="18">
        <f>IF(H664="ILF",10,IF(H664="EIF",7,IF(H664="EI",4,IF(H664="EO",5,IF(H664="EQ",4,"")))))</f>
        <v/>
      </c>
      <c r="J664" s="18" t="inlineStr">
        <is>
          <t>中</t>
        </is>
      </c>
      <c r="K664" s="18">
        <f>IF(J664="高",0.33,IF(J664="中",0.67,IF(J664="低",1,"")))</f>
        <v/>
      </c>
      <c r="L664" s="18" t="inlineStr">
        <is>
          <t>新增</t>
        </is>
      </c>
      <c r="M664" s="18">
        <f>IF(L664="新增",1,IF(L664="修改",0.8,IF(L664="删除",0.2,"")))</f>
        <v/>
      </c>
      <c r="N664" s="18">
        <f>I664*K664*M664</f>
        <v/>
      </c>
    </row>
    <row r="665" ht="19" customHeight="1" s="1">
      <c r="B665" s="16" t="n">
        <v>660</v>
      </c>
      <c r="C665" s="16" t="inlineStr">
        <is>
          <t>高频时序数据分级存储与全链路安全管控服务</t>
        </is>
      </c>
      <c r="D665" s="16" t="inlineStr">
        <is>
          <t>数据开放服务</t>
        </is>
      </c>
      <c r="E665" s="16" t="inlineStr">
        <is>
          <t>接口</t>
        </is>
      </c>
      <c r="F665" s="16" t="inlineStr">
        <is>
          <t>WS状态</t>
        </is>
      </c>
      <c r="G665" s="17" t="inlineStr">
        <is>
          <t xml:space="preserve"> 提供设备状态变化WebSocket推送服务</t>
        </is>
      </c>
      <c r="H665" s="18" t="inlineStr">
        <is>
          <t>EI</t>
        </is>
      </c>
      <c r="I665" s="18">
        <f>IF(H665="ILF",10,IF(H665="EIF",7,IF(H665="EI",4,IF(H665="EO",5,IF(H665="EQ",4,"")))))</f>
        <v/>
      </c>
      <c r="J665" s="18" t="inlineStr">
        <is>
          <t>中</t>
        </is>
      </c>
      <c r="K665" s="18">
        <f>IF(J665="高",0.33,IF(J665="中",0.67,IF(J665="低",1,"")))</f>
        <v/>
      </c>
      <c r="L665" s="18" t="inlineStr">
        <is>
          <t>新增</t>
        </is>
      </c>
      <c r="M665" s="18">
        <f>IF(L665="新增",1,IF(L665="修改",0.8,IF(L665="删除",0.2,"")))</f>
        <v/>
      </c>
      <c r="N665" s="18">
        <f>I665*K665*M665</f>
        <v/>
      </c>
    </row>
    <row r="666" ht="19" customHeight="1" s="1">
      <c r="B666" s="16" t="n">
        <v>661</v>
      </c>
      <c r="C666" s="16" t="inlineStr">
        <is>
          <t>高频时序数据分级存储与全链路安全管控服务</t>
        </is>
      </c>
      <c r="D666" s="16" t="inlineStr">
        <is>
          <t>数据开放服务</t>
        </is>
      </c>
      <c r="E666" s="16" t="inlineStr">
        <is>
          <t>接口</t>
        </is>
      </c>
      <c r="F666" s="16" t="inlineStr">
        <is>
          <t>接口版本</t>
        </is>
      </c>
      <c r="G666" s="17" t="inlineStr">
        <is>
          <t xml:space="preserve"> 提供API版本管理和兼容性维护服务</t>
        </is>
      </c>
      <c r="H666" s="18" t="inlineStr">
        <is>
          <t>EI</t>
        </is>
      </c>
      <c r="I666" s="18">
        <f>IF(H666="ILF",10,IF(H666="EIF",7,IF(H666="EI",4,IF(H666="EO",5,IF(H666="EQ",4,"")))))</f>
        <v/>
      </c>
      <c r="J666" s="18" t="inlineStr">
        <is>
          <t>中</t>
        </is>
      </c>
      <c r="K666" s="18">
        <f>IF(J666="高",0.33,IF(J666="中",0.67,IF(J666="低",1,"")))</f>
        <v/>
      </c>
      <c r="L666" s="18" t="inlineStr">
        <is>
          <t>新增</t>
        </is>
      </c>
      <c r="M666" s="18">
        <f>IF(L666="新增",1,IF(L666="修改",0.8,IF(L666="删除",0.2,"")))</f>
        <v/>
      </c>
      <c r="N666" s="18">
        <f>I666*K666*M666</f>
        <v/>
      </c>
    </row>
    <row r="667" ht="19" customHeight="1" s="1">
      <c r="B667" s="16" t="n">
        <v>662</v>
      </c>
      <c r="C667" s="16" t="inlineStr">
        <is>
          <t>高频时序数据分级存储与全链路安全管控服务</t>
        </is>
      </c>
      <c r="D667" s="16" t="inlineStr">
        <is>
          <t>数据开放服务</t>
        </is>
      </c>
      <c r="E667" s="16" t="inlineStr">
        <is>
          <t>接口</t>
        </is>
      </c>
      <c r="F667" s="16" t="inlineStr">
        <is>
          <t>接口鉴权</t>
        </is>
      </c>
      <c r="G667" s="17" t="inlineStr">
        <is>
          <t xml:space="preserve"> 提供API访问鉴权和认证服务</t>
        </is>
      </c>
      <c r="H667" s="18" t="inlineStr">
        <is>
          <t>EI</t>
        </is>
      </c>
      <c r="I667" s="18">
        <f>IF(H667="ILF",10,IF(H667="EIF",7,IF(H667="EI",4,IF(H667="EO",5,IF(H667="EQ",4,"")))))</f>
        <v/>
      </c>
      <c r="J667" s="18" t="inlineStr">
        <is>
          <t>中</t>
        </is>
      </c>
      <c r="K667" s="18">
        <f>IF(J667="高",0.33,IF(J667="中",0.67,IF(J667="低",1,"")))</f>
        <v/>
      </c>
      <c r="L667" s="18" t="inlineStr">
        <is>
          <t>新增</t>
        </is>
      </c>
      <c r="M667" s="18">
        <f>IF(L667="新增",1,IF(L667="修改",0.8,IF(L667="删除",0.2,"")))</f>
        <v/>
      </c>
      <c r="N667" s="18">
        <f>I667*K667*M667</f>
        <v/>
      </c>
    </row>
    <row r="668" ht="19" customHeight="1" s="1">
      <c r="B668" s="16" t="n">
        <v>663</v>
      </c>
      <c r="C668" s="16" t="inlineStr">
        <is>
          <t>高频时序数据分级存储与全链路安全管控服务</t>
        </is>
      </c>
      <c r="D668" s="16" t="inlineStr">
        <is>
          <t>数据开放服务</t>
        </is>
      </c>
      <c r="E668" s="16" t="inlineStr">
        <is>
          <t>接口</t>
        </is>
      </c>
      <c r="F668" s="16" t="inlineStr">
        <is>
          <t>接口限流</t>
        </is>
      </c>
      <c r="G668" s="17" t="inlineStr">
        <is>
          <t xml:space="preserve"> 提供API访问频率限制服务</t>
        </is>
      </c>
      <c r="H668" s="18" t="inlineStr">
        <is>
          <t>EI</t>
        </is>
      </c>
      <c r="I668" s="18">
        <f>IF(H668="ILF",10,IF(H668="EIF",7,IF(H668="EI",4,IF(H668="EO",5,IF(H668="EQ",4,"")))))</f>
        <v/>
      </c>
      <c r="J668" s="18" t="inlineStr">
        <is>
          <t>中</t>
        </is>
      </c>
      <c r="K668" s="18">
        <f>IF(J668="高",0.33,IF(J668="中",0.67,IF(J668="低",1,"")))</f>
        <v/>
      </c>
      <c r="L668" s="18" t="inlineStr">
        <is>
          <t>新增</t>
        </is>
      </c>
      <c r="M668" s="18">
        <f>IF(L668="新增",1,IF(L668="修改",0.8,IF(L668="删除",0.2,"")))</f>
        <v/>
      </c>
      <c r="N668" s="18">
        <f>I668*K668*M668</f>
        <v/>
      </c>
    </row>
    <row r="669" ht="19" customHeight="1" s="1">
      <c r="B669" s="16" t="n">
        <v>664</v>
      </c>
      <c r="C669" s="16" t="inlineStr">
        <is>
          <t>高频时序数据分级存储与全链路安全管控服务</t>
        </is>
      </c>
      <c r="D669" s="16" t="inlineStr">
        <is>
          <t>安全防护服务</t>
        </is>
      </c>
      <c r="E669" s="16" t="inlineStr">
        <is>
          <t>加密认证</t>
        </is>
      </c>
      <c r="F669" s="16" t="inlineStr">
        <is>
          <t>全链路TLS</t>
        </is>
      </c>
      <c r="G669" s="17" t="inlineStr">
        <is>
          <t xml:space="preserve"> 提供数据传输全链路TLS加密服务</t>
        </is>
      </c>
      <c r="H669" s="18" t="inlineStr">
        <is>
          <t>EI</t>
        </is>
      </c>
      <c r="I669" s="18">
        <f>IF(H669="ILF",10,IF(H669="EIF",7,IF(H669="EI",4,IF(H669="EO",5,IF(H669="EQ",4,"")))))</f>
        <v/>
      </c>
      <c r="J669" s="18" t="inlineStr">
        <is>
          <t>中</t>
        </is>
      </c>
      <c r="K669" s="18">
        <f>IF(J669="高",0.33,IF(J669="中",0.67,IF(J669="低",1,"")))</f>
        <v/>
      </c>
      <c r="L669" s="18" t="inlineStr">
        <is>
          <t>新增</t>
        </is>
      </c>
      <c r="M669" s="18">
        <f>IF(L669="新增",1,IF(L669="修改",0.8,IF(L669="删除",0.2,"")))</f>
        <v/>
      </c>
      <c r="N669" s="18">
        <f>I669*K669*M669</f>
        <v/>
      </c>
    </row>
    <row r="670" ht="19" customHeight="1" s="1">
      <c r="B670" s="16" t="n">
        <v>665</v>
      </c>
      <c r="C670" s="16" t="inlineStr">
        <is>
          <t>高频时序数据分级存储与全链路安全管控服务</t>
        </is>
      </c>
      <c r="D670" s="16" t="inlineStr">
        <is>
          <t>安全防护服务</t>
        </is>
      </c>
      <c r="E670" s="16" t="inlineStr">
        <is>
          <t>加密认证</t>
        </is>
      </c>
      <c r="F670" s="16" t="inlineStr">
        <is>
          <t>TLS证书</t>
        </is>
      </c>
      <c r="G670" s="17" t="inlineStr">
        <is>
          <t xml:space="preserve"> 提供TLS证书全生命周期配置管理技术服务</t>
        </is>
      </c>
      <c r="H670" s="18" t="inlineStr">
        <is>
          <t>EI</t>
        </is>
      </c>
      <c r="I670" s="18">
        <f>IF(H670="ILF",10,IF(H670="EIF",7,IF(H670="EI",4,IF(H670="EO",5,IF(H670="EQ",4,"")))))</f>
        <v/>
      </c>
      <c r="J670" s="18" t="inlineStr">
        <is>
          <t>中</t>
        </is>
      </c>
      <c r="K670" s="18">
        <f>IF(J670="高",0.33,IF(J670="中",0.67,IF(J670="低",1,"")))</f>
        <v/>
      </c>
      <c r="L670" s="18" t="inlineStr">
        <is>
          <t>新增</t>
        </is>
      </c>
      <c r="M670" s="18">
        <f>IF(L670="新增",1,IF(L670="修改",0.8,IF(L670="删除",0.2,"")))</f>
        <v/>
      </c>
      <c r="N670" s="18">
        <f>I670*K670*M670</f>
        <v/>
      </c>
    </row>
    <row r="671" ht="19" customHeight="1" s="1">
      <c r="B671" s="16" t="n">
        <v>666</v>
      </c>
      <c r="C671" s="16" t="inlineStr">
        <is>
          <t>高频时序数据分级存储与全链路安全管控服务</t>
        </is>
      </c>
      <c r="D671" s="16" t="inlineStr">
        <is>
          <t>安全防护服务</t>
        </is>
      </c>
      <c r="E671" s="16" t="inlineStr">
        <is>
          <t>加密认证</t>
        </is>
      </c>
      <c r="F671" s="16" t="inlineStr">
        <is>
          <t>统一认证</t>
        </is>
      </c>
      <c r="G671" s="17" t="inlineStr">
        <is>
          <t xml:space="preserve"> 提供油田统一身份认证系统集成服务</t>
        </is>
      </c>
      <c r="H671" s="18" t="inlineStr">
        <is>
          <t>EI</t>
        </is>
      </c>
      <c r="I671" s="18">
        <f>IF(H671="ILF",10,IF(H671="EIF",7,IF(H671="EI",4,IF(H671="EO",5,IF(H671="EQ",4,"")))))</f>
        <v/>
      </c>
      <c r="J671" s="18" t="inlineStr">
        <is>
          <t>中</t>
        </is>
      </c>
      <c r="K671" s="18">
        <f>IF(J671="高",0.33,IF(J671="中",0.67,IF(J671="低",1,"")))</f>
        <v/>
      </c>
      <c r="L671" s="18" t="inlineStr">
        <is>
          <t>新增</t>
        </is>
      </c>
      <c r="M671" s="18">
        <f>IF(L671="新增",1,IF(L671="修改",0.8,IF(L671="删除",0.2,"")))</f>
        <v/>
      </c>
      <c r="N671" s="18">
        <f>I671*K671*M671</f>
        <v/>
      </c>
    </row>
    <row r="672" ht="19" customHeight="1" s="1">
      <c r="B672" s="16" t="n">
        <v>667</v>
      </c>
      <c r="C672" s="16" t="inlineStr">
        <is>
          <t>高频时序数据分级存储与全链路安全管控服务</t>
        </is>
      </c>
      <c r="D672" s="16" t="inlineStr">
        <is>
          <t>安全防护服务</t>
        </is>
      </c>
      <c r="E672" s="16" t="inlineStr">
        <is>
          <t>加密认证</t>
        </is>
      </c>
      <c r="F672" s="16" t="inlineStr">
        <is>
          <t>SHA-256</t>
        </is>
      </c>
      <c r="G672" s="17" t="inlineStr">
        <is>
          <t xml:space="preserve"> 提供SHA-256加密认证服务</t>
        </is>
      </c>
      <c r="H672" s="18" t="inlineStr">
        <is>
          <t>EI</t>
        </is>
      </c>
      <c r="I672" s="18">
        <f>IF(H672="ILF",10,IF(H672="EIF",7,IF(H672="EI",4,IF(H672="EO",5,IF(H672="EQ",4,"")))))</f>
        <v/>
      </c>
      <c r="J672" s="18" t="inlineStr">
        <is>
          <t>中</t>
        </is>
      </c>
      <c r="K672" s="18">
        <f>IF(J672="高",0.33,IF(J672="中",0.67,IF(J672="低",1,"")))</f>
        <v/>
      </c>
      <c r="L672" s="18" t="inlineStr">
        <is>
          <t>新增</t>
        </is>
      </c>
      <c r="M672" s="18">
        <f>IF(L672="新增",1,IF(L672="修改",0.8,IF(L672="删除",0.2,"")))</f>
        <v/>
      </c>
      <c r="N672" s="18">
        <f>I672*K672*M672</f>
        <v/>
      </c>
    </row>
    <row r="673" ht="19" customHeight="1" s="1">
      <c r="B673" s="16" t="n">
        <v>668</v>
      </c>
      <c r="C673" s="16" t="inlineStr">
        <is>
          <t>高频时序数据分级存储与全链路安全管控服务</t>
        </is>
      </c>
      <c r="D673" s="16" t="inlineStr">
        <is>
          <t>安全防护服务</t>
        </is>
      </c>
      <c r="E673" s="16" t="inlineStr">
        <is>
          <t>加密认证</t>
        </is>
      </c>
      <c r="F673" s="16" t="inlineStr">
        <is>
          <t>MD5加密</t>
        </is>
      </c>
      <c r="G673" s="17" t="inlineStr">
        <is>
          <t xml:space="preserve"> 提供MD5加密认证服务</t>
        </is>
      </c>
      <c r="H673" s="18" t="inlineStr">
        <is>
          <t>EI</t>
        </is>
      </c>
      <c r="I673" s="18">
        <f>IF(H673="ILF",10,IF(H673="EIF",7,IF(H673="EI",4,IF(H673="EO",5,IF(H673="EQ",4,"")))))</f>
        <v/>
      </c>
      <c r="J673" s="18" t="inlineStr">
        <is>
          <t>中</t>
        </is>
      </c>
      <c r="K673" s="18">
        <f>IF(J673="高",0.33,IF(J673="中",0.67,IF(J673="低",1,"")))</f>
        <v/>
      </c>
      <c r="L673" s="18" t="inlineStr">
        <is>
          <t>新增</t>
        </is>
      </c>
      <c r="M673" s="18">
        <f>IF(L673="新增",1,IF(L673="修改",0.8,IF(L673="删除",0.2,"")))</f>
        <v/>
      </c>
      <c r="N673" s="18">
        <f>I673*K673*M673</f>
        <v/>
      </c>
    </row>
    <row r="674" ht="19" customHeight="1" s="1">
      <c r="B674" s="16" t="n">
        <v>669</v>
      </c>
      <c r="C674" s="16" t="inlineStr">
        <is>
          <t>高频时序数据分级存储与全链路安全管控服务</t>
        </is>
      </c>
      <c r="D674" s="16" t="inlineStr">
        <is>
          <t>安全防护服务</t>
        </is>
      </c>
      <c r="E674" s="16" t="inlineStr">
        <is>
          <t>加密认证</t>
        </is>
      </c>
      <c r="F674" s="16" t="inlineStr">
        <is>
          <t>密钥轮换</t>
        </is>
      </c>
      <c r="G674" s="17" t="inlineStr">
        <is>
          <t xml:space="preserve"> 提供加密密钥自动轮换管理服务</t>
        </is>
      </c>
      <c r="H674" s="18" t="inlineStr">
        <is>
          <t>EI</t>
        </is>
      </c>
      <c r="I674" s="18">
        <f>IF(H674="ILF",10,IF(H674="EIF",7,IF(H674="EI",4,IF(H674="EO",5,IF(H674="EQ",4,"")))))</f>
        <v/>
      </c>
      <c r="J674" s="18" t="inlineStr">
        <is>
          <t>中</t>
        </is>
      </c>
      <c r="K674" s="18">
        <f>IF(J674="高",0.33,IF(J674="中",0.67,IF(J674="低",1,"")))</f>
        <v/>
      </c>
      <c r="L674" s="18" t="inlineStr">
        <is>
          <t>新增</t>
        </is>
      </c>
      <c r="M674" s="18">
        <f>IF(L674="新增",1,IF(L674="修改",0.8,IF(L674="删除",0.2,"")))</f>
        <v/>
      </c>
      <c r="N674" s="18">
        <f>I674*K674*M674</f>
        <v/>
      </c>
    </row>
    <row r="675" ht="19" customHeight="1" s="1">
      <c r="B675" s="16" t="n">
        <v>670</v>
      </c>
      <c r="C675" s="16" t="inlineStr">
        <is>
          <t>高频时序数据分级存储与全链路安全管控服务</t>
        </is>
      </c>
      <c r="D675" s="16" t="inlineStr">
        <is>
          <t>安全防护服务</t>
        </is>
      </c>
      <c r="E675" s="16" t="inlineStr">
        <is>
          <t>加密认证</t>
        </is>
      </c>
      <c r="F675" s="16" t="inlineStr">
        <is>
          <t>双因素</t>
        </is>
      </c>
      <c r="G675" s="17" t="inlineStr">
        <is>
          <t xml:space="preserve"> 提供双因素身份认证服务</t>
        </is>
      </c>
      <c r="H675" s="18" t="inlineStr">
        <is>
          <t>EI</t>
        </is>
      </c>
      <c r="I675" s="18">
        <f>IF(H675="ILF",10,IF(H675="EIF",7,IF(H675="EI",4,IF(H675="EO",5,IF(H675="EQ",4,"")))))</f>
        <v/>
      </c>
      <c r="J675" s="18" t="inlineStr">
        <is>
          <t>中</t>
        </is>
      </c>
      <c r="K675" s="18">
        <f>IF(J675="高",0.33,IF(J675="中",0.67,IF(J675="低",1,"")))</f>
        <v/>
      </c>
      <c r="L675" s="18" t="inlineStr">
        <is>
          <t>新增</t>
        </is>
      </c>
      <c r="M675" s="18">
        <f>IF(L675="新增",1,IF(L675="修改",0.8,IF(L675="删除",0.2,"")))</f>
        <v/>
      </c>
      <c r="N675" s="18">
        <f>I675*K675*M675</f>
        <v/>
      </c>
    </row>
    <row r="676" ht="19" customHeight="1" s="1">
      <c r="B676" s="16" t="n">
        <v>671</v>
      </c>
      <c r="C676" s="16" t="inlineStr">
        <is>
          <t>高频时序数据分级存储与全链路安全管控服务</t>
        </is>
      </c>
      <c r="D676" s="16" t="inlineStr">
        <is>
          <t>安全防护服务</t>
        </is>
      </c>
      <c r="E676" s="16" t="inlineStr">
        <is>
          <t>防火墙与信创</t>
        </is>
      </c>
      <c r="F676" s="16" t="inlineStr">
        <is>
          <t>生产网防火墙</t>
        </is>
      </c>
      <c r="G676" s="17" t="inlineStr">
        <is>
          <t xml:space="preserve"> 提供生产网到DMZ区防火墙策略配置服务</t>
        </is>
      </c>
      <c r="H676" s="18" t="inlineStr">
        <is>
          <t>EI</t>
        </is>
      </c>
      <c r="I676" s="18">
        <f>IF(H676="ILF",10,IF(H676="EIF",7,IF(H676="EI",4,IF(H676="EO",5,IF(H676="EQ",4,"")))))</f>
        <v/>
      </c>
      <c r="J676" s="18" t="inlineStr">
        <is>
          <t>中</t>
        </is>
      </c>
      <c r="K676" s="18">
        <f>IF(J676="高",0.33,IF(J676="中",0.67,IF(J676="低",1,"")))</f>
        <v/>
      </c>
      <c r="L676" s="18" t="inlineStr">
        <is>
          <t>新增</t>
        </is>
      </c>
      <c r="M676" s="18">
        <f>IF(L676="新增",1,IF(L676="修改",0.8,IF(L676="删除",0.2,"")))</f>
        <v/>
      </c>
      <c r="N676" s="18">
        <f>I676*K676*M676</f>
        <v/>
      </c>
    </row>
    <row r="677" ht="19" customHeight="1" s="1">
      <c r="B677" s="16" t="n">
        <v>672</v>
      </c>
      <c r="C677" s="16" t="inlineStr">
        <is>
          <t>高频时序数据分级存储与全链路安全管控服务</t>
        </is>
      </c>
      <c r="D677" s="16" t="inlineStr">
        <is>
          <t>安全防护服务</t>
        </is>
      </c>
      <c r="E677" s="16" t="inlineStr">
        <is>
          <t>防火墙与信创</t>
        </is>
      </c>
      <c r="F677" s="16" t="inlineStr">
        <is>
          <t>DMZ防火墙</t>
        </is>
      </c>
      <c r="G677" s="17" t="inlineStr">
        <is>
          <t xml:space="preserve"> 提供DMZ区到办公网防火墙策略配置服务</t>
        </is>
      </c>
      <c r="H677" s="18" t="inlineStr">
        <is>
          <t>EI</t>
        </is>
      </c>
      <c r="I677" s="18">
        <f>IF(H677="ILF",10,IF(H677="EIF",7,IF(H677="EI",4,IF(H677="EO",5,IF(H677="EQ",4,"")))))</f>
        <v/>
      </c>
      <c r="J677" s="18" t="inlineStr">
        <is>
          <t>中</t>
        </is>
      </c>
      <c r="K677" s="18">
        <f>IF(J677="高",0.33,IF(J677="中",0.67,IF(J677="低",1,"")))</f>
        <v/>
      </c>
      <c r="L677" s="18" t="inlineStr">
        <is>
          <t>新增</t>
        </is>
      </c>
      <c r="M677" s="18">
        <f>IF(L677="新增",1,IF(L677="修改",0.8,IF(L677="删除",0.2,"")))</f>
        <v/>
      </c>
      <c r="N677" s="18">
        <f>I677*K677*M677</f>
        <v/>
      </c>
    </row>
    <row r="678" ht="19" customHeight="1" s="1">
      <c r="B678" s="16" t="n">
        <v>673</v>
      </c>
      <c r="C678" s="16" t="inlineStr">
        <is>
          <t>高频时序数据分级存储与全链路安全管控服务</t>
        </is>
      </c>
      <c r="D678" s="16" t="inlineStr">
        <is>
          <t>安全防护服务</t>
        </is>
      </c>
      <c r="E678" s="16" t="inlineStr">
        <is>
          <t>防火墙与信创</t>
        </is>
      </c>
      <c r="F678" s="16" t="inlineStr">
        <is>
          <t>策略管理</t>
        </is>
      </c>
      <c r="G678" s="17" t="inlineStr">
        <is>
          <t xml:space="preserve"> 提供防火墙策略规则配置管理服务</t>
        </is>
      </c>
      <c r="H678" s="18" t="inlineStr">
        <is>
          <t>EI</t>
        </is>
      </c>
      <c r="I678" s="18">
        <f>IF(H678="ILF",10,IF(H678="EIF",7,IF(H678="EI",4,IF(H678="EO",5,IF(H678="EQ",4,"")))))</f>
        <v/>
      </c>
      <c r="J678" s="18" t="inlineStr">
        <is>
          <t>中</t>
        </is>
      </c>
      <c r="K678" s="18">
        <f>IF(J678="高",0.33,IF(J678="中",0.67,IF(J678="低",1,"")))</f>
        <v/>
      </c>
      <c r="L678" s="18" t="inlineStr">
        <is>
          <t>新增</t>
        </is>
      </c>
      <c r="M678" s="18">
        <f>IF(L678="新增",1,IF(L678="修改",0.8,IF(L678="删除",0.2,"")))</f>
        <v/>
      </c>
      <c r="N678" s="18">
        <f>I678*K678*M678</f>
        <v/>
      </c>
    </row>
    <row r="679" ht="19" customHeight="1" s="1">
      <c r="B679" s="16" t="n">
        <v>674</v>
      </c>
      <c r="C679" s="16" t="inlineStr">
        <is>
          <t>高频时序数据分级存储与全链路安全管控服务</t>
        </is>
      </c>
      <c r="D679" s="16" t="inlineStr">
        <is>
          <t>安全防护服务</t>
        </is>
      </c>
      <c r="E679" s="16" t="inlineStr">
        <is>
          <t>防火墙与信创</t>
        </is>
      </c>
      <c r="F679" s="16" t="inlineStr">
        <is>
          <t>策略审计</t>
        </is>
      </c>
      <c r="G679" s="17" t="inlineStr">
        <is>
          <t xml:space="preserve"> 提供防火墙策略定期安全审计服务</t>
        </is>
      </c>
      <c r="H679" s="18" t="inlineStr">
        <is>
          <t>EI</t>
        </is>
      </c>
      <c r="I679" s="18">
        <f>IF(H679="ILF",10,IF(H679="EIF",7,IF(H679="EI",4,IF(H679="EO",5,IF(H679="EQ",4,"")))))</f>
        <v/>
      </c>
      <c r="J679" s="18" t="inlineStr">
        <is>
          <t>中</t>
        </is>
      </c>
      <c r="K679" s="18">
        <f>IF(J679="高",0.33,IF(J679="中",0.67,IF(J679="低",1,"")))</f>
        <v/>
      </c>
      <c r="L679" s="18" t="inlineStr">
        <is>
          <t>新增</t>
        </is>
      </c>
      <c r="M679" s="18">
        <f>IF(L679="新增",1,IF(L679="修改",0.8,IF(L679="删除",0.2,"")))</f>
        <v/>
      </c>
      <c r="N679" s="18">
        <f>I679*K679*M679</f>
        <v/>
      </c>
    </row>
    <row r="680" ht="19" customHeight="1" s="1">
      <c r="B680" s="16" t="n">
        <v>675</v>
      </c>
      <c r="C680" s="16" t="inlineStr">
        <is>
          <t>高频时序数据分级存储与全链路安全管控服务</t>
        </is>
      </c>
      <c r="D680" s="16" t="inlineStr">
        <is>
          <t>安全防护服务</t>
        </is>
      </c>
      <c r="E680" s="16" t="inlineStr">
        <is>
          <t>防火墙与信创</t>
        </is>
      </c>
      <c r="F680" s="16" t="inlineStr">
        <is>
          <t>入侵检测</t>
        </is>
      </c>
      <c r="G680" s="17" t="inlineStr">
        <is>
          <t xml:space="preserve"> 提供网络入侵行为检测服务</t>
        </is>
      </c>
      <c r="H680" s="18" t="inlineStr">
        <is>
          <t>EI</t>
        </is>
      </c>
      <c r="I680" s="18">
        <f>IF(H680="ILF",10,IF(H680="EIF",7,IF(H680="EI",4,IF(H680="EO",5,IF(H680="EQ",4,"")))))</f>
        <v/>
      </c>
      <c r="J680" s="18" t="inlineStr">
        <is>
          <t>中</t>
        </is>
      </c>
      <c r="K680" s="18">
        <f>IF(J680="高",0.33,IF(J680="中",0.67,IF(J680="低",1,"")))</f>
        <v/>
      </c>
      <c r="L680" s="18" t="inlineStr">
        <is>
          <t>新增</t>
        </is>
      </c>
      <c r="M680" s="18">
        <f>IF(L680="新增",1,IF(L680="修改",0.8,IF(L680="删除",0.2,"")))</f>
        <v/>
      </c>
      <c r="N680" s="18">
        <f>I680*K680*M680</f>
        <v/>
      </c>
    </row>
    <row r="681" ht="19" customHeight="1" s="1">
      <c r="B681" s="16" t="n">
        <v>676</v>
      </c>
      <c r="C681" s="16" t="inlineStr">
        <is>
          <t>高频时序数据分级存储与全链路安全管控服务</t>
        </is>
      </c>
      <c r="D681" s="16" t="inlineStr">
        <is>
          <t>安全防护服务</t>
        </is>
      </c>
      <c r="E681" s="16" t="inlineStr">
        <is>
          <t>防火墙与信创</t>
        </is>
      </c>
      <c r="F681" s="16" t="inlineStr">
        <is>
          <t>安全告警</t>
        </is>
      </c>
      <c r="G681" s="17" t="inlineStr">
        <is>
          <t xml:space="preserve"> 提供网络安全事件实时告警服务</t>
        </is>
      </c>
      <c r="H681" s="18" t="inlineStr">
        <is>
          <t>EI</t>
        </is>
      </c>
      <c r="I681" s="18">
        <f>IF(H681="ILF",10,IF(H681="EIF",7,IF(H681="EI",4,IF(H681="EO",5,IF(H681="EQ",4,"")))))</f>
        <v/>
      </c>
      <c r="J681" s="18" t="inlineStr">
        <is>
          <t>中</t>
        </is>
      </c>
      <c r="K681" s="18">
        <f>IF(J681="高",0.33,IF(J681="中",0.67,IF(J681="低",1,"")))</f>
        <v/>
      </c>
      <c r="L681" s="18" t="inlineStr">
        <is>
          <t>新增</t>
        </is>
      </c>
      <c r="M681" s="18">
        <f>IF(L681="新增",1,IF(L681="修改",0.8,IF(L681="删除",0.2,"")))</f>
        <v/>
      </c>
      <c r="N681" s="18">
        <f>I681*K681*M681</f>
        <v/>
      </c>
    </row>
    <row r="682" ht="19" customHeight="1" s="1">
      <c r="B682" s="16" t="n">
        <v>677</v>
      </c>
      <c r="C682" s="16" t="inlineStr">
        <is>
          <t>高频时序数据分级存储与全链路安全管控服务</t>
        </is>
      </c>
      <c r="D682" s="16" t="inlineStr">
        <is>
          <t>安全防护服务</t>
        </is>
      </c>
      <c r="E682" s="16" t="inlineStr">
        <is>
          <t>防火墙与信创</t>
        </is>
      </c>
      <c r="F682" s="16" t="inlineStr">
        <is>
          <t>鲲鹏适配</t>
        </is>
      </c>
      <c r="G682" s="17" t="inlineStr">
        <is>
          <t xml:space="preserve"> 提供适配华为鲲鹏芯片服务</t>
        </is>
      </c>
      <c r="H682" s="18" t="inlineStr">
        <is>
          <t>EI</t>
        </is>
      </c>
      <c r="I682" s="18">
        <f>IF(H682="ILF",10,IF(H682="EIF",7,IF(H682="EI",4,IF(H682="EO",5,IF(H682="EQ",4,"")))))</f>
        <v/>
      </c>
      <c r="J682" s="18" t="inlineStr">
        <is>
          <t>高</t>
        </is>
      </c>
      <c r="K682" s="18">
        <f>IF(J682="高",0.33,IF(J682="中",0.67,IF(J682="低",1,"")))</f>
        <v/>
      </c>
      <c r="L682" s="18" t="inlineStr">
        <is>
          <t>新增</t>
        </is>
      </c>
      <c r="M682" s="18">
        <f>IF(L682="新增",1,IF(L682="修改",0.8,IF(L682="删除",0.2,"")))</f>
        <v/>
      </c>
      <c r="N682" s="18">
        <f>I682*K682*M682</f>
        <v/>
      </c>
    </row>
    <row r="683" ht="19" customHeight="1" s="1">
      <c r="B683" s="16" t="n">
        <v>678</v>
      </c>
      <c r="C683" s="16" t="inlineStr">
        <is>
          <t>高频时序数据分级存储与全链路安全管控服务</t>
        </is>
      </c>
      <c r="D683" s="16" t="inlineStr">
        <is>
          <t>安全防护服务</t>
        </is>
      </c>
      <c r="E683" s="16" t="inlineStr">
        <is>
          <t>防火墙与信创</t>
        </is>
      </c>
      <c r="F683" s="16" t="inlineStr">
        <is>
          <t>飞腾适配</t>
        </is>
      </c>
      <c r="G683" s="17" t="inlineStr">
        <is>
          <t xml:space="preserve"> 提供适配飞腾芯片服务</t>
        </is>
      </c>
      <c r="H683" s="18" t="inlineStr">
        <is>
          <t>EI</t>
        </is>
      </c>
      <c r="I683" s="18">
        <f>IF(H683="ILF",10,IF(H683="EIF",7,IF(H683="EI",4,IF(H683="EO",5,IF(H683="EQ",4,"")))))</f>
        <v/>
      </c>
      <c r="J683" s="18" t="inlineStr">
        <is>
          <t>高</t>
        </is>
      </c>
      <c r="K683" s="18">
        <f>IF(J683="高",0.33,IF(J683="中",0.67,IF(J683="低",1,"")))</f>
        <v/>
      </c>
      <c r="L683" s="18" t="inlineStr">
        <is>
          <t>新增</t>
        </is>
      </c>
      <c r="M683" s="18">
        <f>IF(L683="新增",1,IF(L683="修改",0.8,IF(L683="删除",0.2,"")))</f>
        <v/>
      </c>
      <c r="N683" s="18">
        <f>I683*K683*M683</f>
        <v/>
      </c>
    </row>
    <row r="684" ht="19" customHeight="1" s="1">
      <c r="B684" s="16" t="n">
        <v>679</v>
      </c>
      <c r="C684" s="16" t="inlineStr">
        <is>
          <t>高频时序数据分级存储与全链路安全管控服务</t>
        </is>
      </c>
      <c r="D684" s="16" t="inlineStr">
        <is>
          <t>安全防护服务</t>
        </is>
      </c>
      <c r="E684" s="16" t="inlineStr">
        <is>
          <t>防火墙与信创</t>
        </is>
      </c>
      <c r="F684" s="16" t="inlineStr">
        <is>
          <t>海光适配</t>
        </is>
      </c>
      <c r="G684" s="17" t="inlineStr">
        <is>
          <t xml:space="preserve"> 提供适配海光芯片服务</t>
        </is>
      </c>
      <c r="H684" s="18" t="inlineStr">
        <is>
          <t>EO</t>
        </is>
      </c>
      <c r="I684" s="18">
        <f>IF(H684="ILF",10,IF(H684="EIF",7,IF(H684="EI",4,IF(H684="EO",5,IF(H684="EQ",4,"")))))</f>
        <v/>
      </c>
      <c r="J684" s="18" t="inlineStr">
        <is>
          <t>低</t>
        </is>
      </c>
      <c r="K684" s="18">
        <f>IF(J684="高",0.33,IF(J684="中",0.67,IF(J684="低",1,"")))</f>
        <v/>
      </c>
      <c r="L684" s="18" t="inlineStr">
        <is>
          <t>新增</t>
        </is>
      </c>
      <c r="M684" s="18">
        <f>IF(L684="新增",1,IF(L684="修改",0.8,IF(L684="删除",0.2,"")))</f>
        <v/>
      </c>
      <c r="N684" s="18">
        <f>I684*K684*M684</f>
        <v/>
      </c>
    </row>
    <row r="685" ht="19" customHeight="1" s="1">
      <c r="B685" s="16" t="n">
        <v>680</v>
      </c>
      <c r="C685" s="16" t="inlineStr">
        <is>
          <t>高频时序数据分级存储与全链路安全管控服务</t>
        </is>
      </c>
      <c r="D685" s="16" t="inlineStr">
        <is>
          <t>安全防护服务</t>
        </is>
      </c>
      <c r="E685" s="16" t="inlineStr">
        <is>
          <t>防火墙与信创</t>
        </is>
      </c>
      <c r="F685" s="16" t="inlineStr">
        <is>
          <t>兆芯适配</t>
        </is>
      </c>
      <c r="G685" s="17" t="inlineStr">
        <is>
          <t xml:space="preserve"> 提供适配兆芯芯片服务</t>
        </is>
      </c>
      <c r="H685" s="18" t="inlineStr">
        <is>
          <t>EO</t>
        </is>
      </c>
      <c r="I685" s="18">
        <f>IF(H685="ILF",10,IF(H685="EIF",7,IF(H685="EI",4,IF(H685="EO",5,IF(H685="EQ",4,"")))))</f>
        <v/>
      </c>
      <c r="J685" s="18" t="inlineStr">
        <is>
          <t>低</t>
        </is>
      </c>
      <c r="K685" s="18">
        <f>IF(J685="高",0.33,IF(J685="中",0.67,IF(J685="低",1,"")))</f>
        <v/>
      </c>
      <c r="L685" s="18" t="inlineStr">
        <is>
          <t>新增</t>
        </is>
      </c>
      <c r="M685" s="18">
        <f>IF(L685="新增",1,IF(L685="修改",0.8,IF(L685="删除",0.2,"")))</f>
        <v/>
      </c>
      <c r="N685" s="18">
        <f>I685*K685*M685</f>
        <v/>
      </c>
    </row>
    <row r="686" ht="19" customHeight="1" s="1">
      <c r="B686" s="16" t="n">
        <v>681</v>
      </c>
      <c r="C686" s="16" t="inlineStr">
        <is>
          <t>高频时序数据分级存储与全链路安全管控服务</t>
        </is>
      </c>
      <c r="D686" s="16" t="inlineStr">
        <is>
          <t>安全防护服务</t>
        </is>
      </c>
      <c r="E686" s="16" t="inlineStr">
        <is>
          <t>防火墙与信创</t>
        </is>
      </c>
      <c r="F686" s="16" t="inlineStr">
        <is>
          <t>麒麟OS</t>
        </is>
      </c>
      <c r="G686" s="17" t="inlineStr">
        <is>
          <t xml:space="preserve"> 提供适配银河麒麟操作系统服务</t>
        </is>
      </c>
      <c r="H686" s="18" t="inlineStr">
        <is>
          <t>EO</t>
        </is>
      </c>
      <c r="I686" s="18">
        <f>IF(H686="ILF",10,IF(H686="EIF",7,IF(H686="EI",4,IF(H686="EO",5,IF(H686="EQ",4,"")))))</f>
        <v/>
      </c>
      <c r="J686" s="18" t="inlineStr">
        <is>
          <t>低</t>
        </is>
      </c>
      <c r="K686" s="18">
        <f>IF(J686="高",0.33,IF(J686="中",0.67,IF(J686="低",1,"")))</f>
        <v/>
      </c>
      <c r="L686" s="18" t="inlineStr">
        <is>
          <t>新增</t>
        </is>
      </c>
      <c r="M686" s="18">
        <f>IF(L686="新增",1,IF(L686="修改",0.8,IF(L686="删除",0.2,"")))</f>
        <v/>
      </c>
      <c r="N686" s="18">
        <f>I686*K686*M686</f>
        <v/>
      </c>
    </row>
    <row r="687" ht="19" customHeight="1" s="1">
      <c r="B687" s="16" t="n">
        <v>682</v>
      </c>
      <c r="C687" s="16" t="inlineStr">
        <is>
          <t>高频时序数据分级存储与全链路安全管控服务</t>
        </is>
      </c>
      <c r="D687" s="16" t="inlineStr">
        <is>
          <t>安全防护服务</t>
        </is>
      </c>
      <c r="E687" s="16" t="inlineStr">
        <is>
          <t>防火墙与信创</t>
        </is>
      </c>
      <c r="F687" s="16" t="inlineStr">
        <is>
          <t>UOS</t>
        </is>
      </c>
      <c r="G687" s="17" t="inlineStr">
        <is>
          <t xml:space="preserve"> 提供适配统信UOS操作系统服务</t>
        </is>
      </c>
      <c r="H687" s="18" t="inlineStr">
        <is>
          <t>EO</t>
        </is>
      </c>
      <c r="I687" s="18">
        <f>IF(H687="ILF",10,IF(H687="EIF",7,IF(H687="EI",4,IF(H687="EO",5,IF(H687="EQ",4,"")))))</f>
        <v/>
      </c>
      <c r="J687" s="18" t="inlineStr">
        <is>
          <t>中</t>
        </is>
      </c>
      <c r="K687" s="18">
        <f>IF(J687="高",0.33,IF(J687="中",0.67,IF(J687="低",1,"")))</f>
        <v/>
      </c>
      <c r="L687" s="18" t="inlineStr">
        <is>
          <t>新增</t>
        </is>
      </c>
      <c r="M687" s="18">
        <f>IF(L687="新增",1,IF(L687="修改",0.8,IF(L687="删除",0.2,"")))</f>
        <v/>
      </c>
      <c r="N687" s="18">
        <f>I687*K687*M687</f>
        <v/>
      </c>
    </row>
    <row r="688" ht="19" customHeight="1" s="1">
      <c r="B688" s="16" t="n">
        <v>683</v>
      </c>
      <c r="C688" s="16" t="inlineStr">
        <is>
          <t>高频时序数据分级存储与全链路安全管控服务</t>
        </is>
      </c>
      <c r="D688" s="16" t="inlineStr">
        <is>
          <t>安全防护服务</t>
        </is>
      </c>
      <c r="E688" s="16" t="inlineStr">
        <is>
          <t>防火墙与信创</t>
        </is>
      </c>
      <c r="F688" s="16" t="inlineStr">
        <is>
          <t>TDengine适配</t>
        </is>
      </c>
      <c r="G688" s="17" t="inlineStr">
        <is>
          <t xml:space="preserve"> 提供时序数据库TDengine适配服务</t>
        </is>
      </c>
      <c r="H688" s="18" t="inlineStr">
        <is>
          <t>EO</t>
        </is>
      </c>
      <c r="I688" s="18">
        <f>IF(H688="ILF",10,IF(H688="EIF",7,IF(H688="EI",4,IF(H688="EO",5,IF(H688="EQ",4,"")))))</f>
        <v/>
      </c>
      <c r="J688" s="18" t="inlineStr">
        <is>
          <t>中</t>
        </is>
      </c>
      <c r="K688" s="18">
        <f>IF(J688="高",0.33,IF(J688="中",0.67,IF(J688="低",1,"")))</f>
        <v/>
      </c>
      <c r="L688" s="18" t="inlineStr">
        <is>
          <t>新增</t>
        </is>
      </c>
      <c r="M688" s="18">
        <f>IF(L688="新增",1,IF(L688="修改",0.8,IF(L688="删除",0.2,"")))</f>
        <v/>
      </c>
      <c r="N688" s="18">
        <f>I688*K688*M688</f>
        <v/>
      </c>
    </row>
    <row r="689" ht="19" customHeight="1" s="1">
      <c r="B689" s="16" t="n">
        <v>684</v>
      </c>
      <c r="C689" s="16" t="inlineStr">
        <is>
          <t>高频时序数据分级存储与全链路安全管控服务</t>
        </is>
      </c>
      <c r="D689" s="16" t="inlineStr">
        <is>
          <t>安全防护服务</t>
        </is>
      </c>
      <c r="E689" s="16" t="inlineStr">
        <is>
          <t>防火墙与信创</t>
        </is>
      </c>
      <c r="F689" s="16" t="inlineStr">
        <is>
          <t>达梦适配</t>
        </is>
      </c>
      <c r="G689" s="17" t="inlineStr">
        <is>
          <t xml:space="preserve"> 提供关系数据库信创数据库适配服务</t>
        </is>
      </c>
      <c r="H689" s="18" t="inlineStr">
        <is>
          <t>EO</t>
        </is>
      </c>
      <c r="I689" s="18">
        <f>IF(H689="ILF",10,IF(H689="EIF",7,IF(H689="EI",4,IF(H689="EO",5,IF(H689="EQ",4,"")))))</f>
        <v/>
      </c>
      <c r="J689" s="18" t="inlineStr">
        <is>
          <t>中</t>
        </is>
      </c>
      <c r="K689" s="18">
        <f>IF(J689="高",0.33,IF(J689="中",0.67,IF(J689="低",1,"")))</f>
        <v/>
      </c>
      <c r="L689" s="18" t="inlineStr">
        <is>
          <t>新增</t>
        </is>
      </c>
      <c r="M689" s="18">
        <f>IF(L689="新增",1,IF(L689="修改",0.8,IF(L689="删除",0.2,"")))</f>
        <v/>
      </c>
      <c r="N689" s="18">
        <f>I689*K689*M689</f>
        <v/>
      </c>
    </row>
    <row r="690" ht="19" customHeight="1" s="1">
      <c r="B690" s="16" t="n">
        <v>685</v>
      </c>
      <c r="C690" s="16" t="inlineStr">
        <is>
          <t>高频时序数据分级存储与全链路安全管控服务</t>
        </is>
      </c>
      <c r="D690" s="16" t="inlineStr">
        <is>
          <t>数据存储服务</t>
        </is>
      </c>
      <c r="E690" s="16" t="inlineStr">
        <is>
          <t>数据治理服务</t>
        </is>
      </c>
      <c r="F690" s="16" t="inlineStr">
        <is>
          <t>数据血缘追踪</t>
        </is>
      </c>
      <c r="G690" s="17" t="inlineStr">
        <is>
          <t xml:space="preserve"> 提供数据血缘关系追踪技术服务</t>
        </is>
      </c>
      <c r="H690" s="18" t="inlineStr">
        <is>
          <t>EO</t>
        </is>
      </c>
      <c r="I690" s="18">
        <f>IF(H690="ILF",10,IF(H690="EIF",7,IF(H690="EI",4,IF(H690="EO",5,IF(H690="EQ",4,"")))))</f>
        <v/>
      </c>
      <c r="J690" s="18" t="inlineStr">
        <is>
          <t>高</t>
        </is>
      </c>
      <c r="K690" s="18">
        <f>IF(J690="高",0.33,IF(J690="中",0.67,IF(J690="低",1,"")))</f>
        <v/>
      </c>
      <c r="L690" s="18" t="inlineStr">
        <is>
          <t>新增</t>
        </is>
      </c>
      <c r="M690" s="18">
        <f>IF(L690="新增",1,IF(L690="修改",0.8,IF(L690="删除",0.2,"")))</f>
        <v/>
      </c>
      <c r="N690" s="18">
        <f>I690*K690*M690</f>
        <v/>
      </c>
    </row>
    <row r="691" ht="19" customHeight="1" s="1">
      <c r="B691" s="16" t="n">
        <v>686</v>
      </c>
      <c r="C691" s="16" t="inlineStr">
        <is>
          <t>高频时序数据分级存储与全链路安全管控服务</t>
        </is>
      </c>
      <c r="D691" s="16" t="inlineStr">
        <is>
          <t>数据存储服务</t>
        </is>
      </c>
      <c r="E691" s="16" t="inlineStr">
        <is>
          <t>数据治理服务</t>
        </is>
      </c>
      <c r="F691" s="16" t="inlineStr">
        <is>
          <t>数据分类分级</t>
        </is>
      </c>
      <c r="G691" s="17" t="inlineStr">
        <is>
          <t xml:space="preserve"> 提供数据敏感度分类分级服务</t>
        </is>
      </c>
      <c r="H691" s="18" t="inlineStr">
        <is>
          <t>EQ</t>
        </is>
      </c>
      <c r="I691" s="18">
        <f>IF(H691="ILF",10,IF(H691="EIF",7,IF(H691="EI",4,IF(H691="EO",5,IF(H691="EQ",4,"")))))</f>
        <v/>
      </c>
      <c r="J691" s="18" t="inlineStr">
        <is>
          <t>低</t>
        </is>
      </c>
      <c r="K691" s="18">
        <f>IF(J691="高",0.33,IF(J691="中",0.67,IF(J691="低",1,"")))</f>
        <v/>
      </c>
      <c r="L691" s="18" t="inlineStr">
        <is>
          <t>新增</t>
        </is>
      </c>
      <c r="M691" s="18">
        <f>IF(L691="新增",1,IF(L691="修改",0.8,IF(L691="删除",0.2,"")))</f>
        <v/>
      </c>
      <c r="N691" s="18">
        <f>I691*K691*M691</f>
        <v/>
      </c>
    </row>
    <row r="692" ht="19" customHeight="1" s="1">
      <c r="B692" s="16" t="n">
        <v>687</v>
      </c>
      <c r="C692" s="16" t="inlineStr">
        <is>
          <t>高频时序数据分级存储与全链路安全管控服务</t>
        </is>
      </c>
      <c r="D692" s="16" t="inlineStr">
        <is>
          <t>数据存储服务</t>
        </is>
      </c>
      <c r="E692" s="16" t="inlineStr">
        <is>
          <t>数据治理服务</t>
        </is>
      </c>
      <c r="F692" s="16" t="inlineStr">
        <is>
          <t>数据脱敏服务</t>
        </is>
      </c>
      <c r="G692" s="17" t="inlineStr">
        <is>
          <t xml:space="preserve"> 提供数据脱敏处理服务</t>
        </is>
      </c>
      <c r="H692" s="18" t="inlineStr">
        <is>
          <t>EQ</t>
        </is>
      </c>
      <c r="I692" s="18">
        <f>IF(H692="ILF",10,IF(H692="EIF",7,IF(H692="EI",4,IF(H692="EO",5,IF(H692="EQ",4,"")))))</f>
        <v/>
      </c>
      <c r="J692" s="18" t="inlineStr">
        <is>
          <t>低</t>
        </is>
      </c>
      <c r="K692" s="18">
        <f>IF(J692="高",0.33,IF(J692="中",0.67,IF(J692="低",1,"")))</f>
        <v/>
      </c>
      <c r="L692" s="18" t="inlineStr">
        <is>
          <t>新增</t>
        </is>
      </c>
      <c r="M692" s="18">
        <f>IF(L692="新增",1,IF(L692="修改",0.8,IF(L692="删除",0.2,"")))</f>
        <v/>
      </c>
      <c r="N692" s="18">
        <f>I692*K692*M692</f>
        <v/>
      </c>
    </row>
    <row r="693" ht="19" customHeight="1" s="1">
      <c r="B693" s="16" t="n">
        <v>688</v>
      </c>
      <c r="C693" s="16" t="inlineStr">
        <is>
          <t>高频时序数据分级存储与全链路安全管控服务</t>
        </is>
      </c>
      <c r="D693" s="16" t="inlineStr">
        <is>
          <t>数据存储服务</t>
        </is>
      </c>
      <c r="E693" s="16" t="inlineStr">
        <is>
          <t>数据治理服务</t>
        </is>
      </c>
      <c r="F693" s="16" t="inlineStr">
        <is>
          <t>数据水印服务</t>
        </is>
      </c>
      <c r="G693" s="17" t="inlineStr">
        <is>
          <t xml:space="preserve"> 提供数据水印嵌入和检测服务</t>
        </is>
      </c>
      <c r="H693" s="18" t="inlineStr">
        <is>
          <t>EQ</t>
        </is>
      </c>
      <c r="I693" s="18">
        <f>IF(H693="ILF",10,IF(H693="EIF",7,IF(H693="EI",4,IF(H693="EO",5,IF(H693="EQ",4,"")))))</f>
        <v/>
      </c>
      <c r="J693" s="18" t="inlineStr">
        <is>
          <t>低</t>
        </is>
      </c>
      <c r="K693" s="18">
        <f>IF(J693="高",0.33,IF(J693="中",0.67,IF(J693="低",1,"")))</f>
        <v/>
      </c>
      <c r="L693" s="18" t="inlineStr">
        <is>
          <t>新增</t>
        </is>
      </c>
      <c r="M693" s="18">
        <f>IF(L693="新增",1,IF(L693="修改",0.8,IF(L693="删除",0.2,"")))</f>
        <v/>
      </c>
      <c r="N693" s="18">
        <f>I693*K693*M693</f>
        <v/>
      </c>
    </row>
    <row r="694" ht="19" customHeight="1" s="1">
      <c r="B694" s="16" t="n">
        <v>689</v>
      </c>
      <c r="C694" s="16" t="inlineStr">
        <is>
          <t>高频时序数据分级存储与全链路安全管控服务</t>
        </is>
      </c>
      <c r="D694" s="16" t="inlineStr">
        <is>
          <t>数据存储服务</t>
        </is>
      </c>
      <c r="E694" s="16" t="inlineStr">
        <is>
          <t>数据治理服务</t>
        </is>
      </c>
      <c r="F694" s="16" t="inlineStr">
        <is>
          <t>数据质量报告</t>
        </is>
      </c>
      <c r="G694" s="17" t="inlineStr">
        <is>
          <t xml:space="preserve"> 提供数据质量评估报告生成服务</t>
        </is>
      </c>
      <c r="H694" s="18" t="inlineStr">
        <is>
          <t>EQ</t>
        </is>
      </c>
      <c r="I694" s="18">
        <f>IF(H694="ILF",10,IF(H694="EIF",7,IF(H694="EI",4,IF(H694="EO",5,IF(H694="EQ",4,"")))))</f>
        <v/>
      </c>
      <c r="J694" s="18" t="inlineStr">
        <is>
          <t>低</t>
        </is>
      </c>
      <c r="K694" s="18">
        <f>IF(J694="高",0.33,IF(J694="中",0.67,IF(J694="低",1,"")))</f>
        <v/>
      </c>
      <c r="L694" s="18" t="inlineStr">
        <is>
          <t>新增</t>
        </is>
      </c>
      <c r="M694" s="18">
        <f>IF(L694="新增",1,IF(L694="修改",0.8,IF(L694="删除",0.2,"")))</f>
        <v/>
      </c>
      <c r="N694" s="18">
        <f>I694*K694*M694</f>
        <v/>
      </c>
    </row>
    <row r="695" ht="19" customHeight="1" s="1">
      <c r="B695" s="16" t="n">
        <v>690</v>
      </c>
      <c r="C695" s="16" t="inlineStr">
        <is>
          <t>高频时序数据分级存储与全链路安全管控服务</t>
        </is>
      </c>
      <c r="D695" s="16" t="inlineStr">
        <is>
          <t>数据存储服务</t>
        </is>
      </c>
      <c r="E695" s="16" t="inlineStr">
        <is>
          <t>数据治理服务</t>
        </is>
      </c>
      <c r="F695" s="16" t="inlineStr">
        <is>
          <t>数据合规审计</t>
        </is>
      </c>
      <c r="G695" s="17" t="inlineStr">
        <is>
          <t xml:space="preserve"> 提供数据合规性审计服务</t>
        </is>
      </c>
      <c r="H695" s="18" t="inlineStr">
        <is>
          <t>EQ</t>
        </is>
      </c>
      <c r="I695" s="18">
        <f>IF(H695="ILF",10,IF(H695="EIF",7,IF(H695="EI",4,IF(H695="EO",5,IF(H695="EQ",4,"")))))</f>
        <v/>
      </c>
      <c r="J695" s="18" t="inlineStr">
        <is>
          <t>低</t>
        </is>
      </c>
      <c r="K695" s="18">
        <f>IF(J695="高",0.33,IF(J695="中",0.67,IF(J695="低",1,"")))</f>
        <v/>
      </c>
      <c r="L695" s="18" t="inlineStr">
        <is>
          <t>新增</t>
        </is>
      </c>
      <c r="M695" s="18">
        <f>IF(L695="新增",1,IF(L695="修改",0.8,IF(L695="删除",0.2,"")))</f>
        <v/>
      </c>
      <c r="N695" s="18">
        <f>I695*K695*M695</f>
        <v/>
      </c>
    </row>
    <row r="696" ht="19" customHeight="1" s="1">
      <c r="B696" s="16" t="n">
        <v>691</v>
      </c>
      <c r="C696" s="16" t="inlineStr">
        <is>
          <t>高频时序数据分级存储与全链路安全管控服务</t>
        </is>
      </c>
      <c r="D696" s="16" t="inlineStr">
        <is>
          <t>数据存储服务</t>
        </is>
      </c>
      <c r="E696" s="16" t="inlineStr">
        <is>
          <t>数据治理服务</t>
        </is>
      </c>
      <c r="F696" s="16" t="inlineStr">
        <is>
          <t>数据归档检索</t>
        </is>
      </c>
      <c r="G696" s="17" t="inlineStr">
        <is>
          <t xml:space="preserve"> 提供归档数据高效检索服务</t>
        </is>
      </c>
      <c r="H696" s="18" t="inlineStr">
        <is>
          <t>EQ</t>
        </is>
      </c>
      <c r="I696" s="18">
        <f>IF(H696="ILF",10,IF(H696="EIF",7,IF(H696="EI",4,IF(H696="EO",5,IF(H696="EQ",4,"")))))</f>
        <v/>
      </c>
      <c r="J696" s="18" t="inlineStr">
        <is>
          <t>低</t>
        </is>
      </c>
      <c r="K696" s="18">
        <f>IF(J696="高",0.33,IF(J696="中",0.67,IF(J696="低",1,"")))</f>
        <v/>
      </c>
      <c r="L696" s="18" t="inlineStr">
        <is>
          <t>新增</t>
        </is>
      </c>
      <c r="M696" s="18">
        <f>IF(L696="新增",1,IF(L696="修改",0.8,IF(L696="删除",0.2,"")))</f>
        <v/>
      </c>
      <c r="N696" s="18">
        <f>I696*K696*M696</f>
        <v/>
      </c>
    </row>
    <row r="697" ht="19" customHeight="1" s="1">
      <c r="B697" s="16" t="n">
        <v>692</v>
      </c>
      <c r="C697" s="16" t="inlineStr">
        <is>
          <t>高频时序数据分级存储与全链路安全管控服务</t>
        </is>
      </c>
      <c r="D697" s="16" t="inlineStr">
        <is>
          <t>数据存储服务</t>
        </is>
      </c>
      <c r="E697" s="16" t="inlineStr">
        <is>
          <t>数据治理服务</t>
        </is>
      </c>
      <c r="F697" s="16" t="inlineStr">
        <is>
          <t>数据生命周期</t>
        </is>
      </c>
      <c r="G697" s="17" t="inlineStr">
        <is>
          <t xml:space="preserve"> 提供数据全生命周期管理服务</t>
        </is>
      </c>
      <c r="H697" s="18" t="inlineStr">
        <is>
          <t>EQ</t>
        </is>
      </c>
      <c r="I697" s="18">
        <f>IF(H697="ILF",10,IF(H697="EIF",7,IF(H697="EI",4,IF(H697="EO",5,IF(H697="EQ",4,"")))))</f>
        <v/>
      </c>
      <c r="J697" s="18" t="inlineStr">
        <is>
          <t>中</t>
        </is>
      </c>
      <c r="K697" s="18">
        <f>IF(J697="高",0.33,IF(J697="中",0.67,IF(J697="低",1,"")))</f>
        <v/>
      </c>
      <c r="L697" s="18" t="inlineStr">
        <is>
          <t>新增</t>
        </is>
      </c>
      <c r="M697" s="18">
        <f>IF(L697="新增",1,IF(L697="修改",0.8,IF(L697="删除",0.2,"")))</f>
        <v/>
      </c>
      <c r="N697" s="18">
        <f>I697*K697*M697</f>
        <v/>
      </c>
    </row>
    <row r="698" ht="19" customHeight="1" s="1">
      <c r="B698" s="16" t="n">
        <v>693</v>
      </c>
      <c r="C698" s="16" t="inlineStr">
        <is>
          <t>高频时序数据分级存储与全链路安全管控服务</t>
        </is>
      </c>
      <c r="D698" s="16" t="inlineStr">
        <is>
          <t>数据存储服务</t>
        </is>
      </c>
      <c r="E698" s="16" t="inlineStr">
        <is>
          <t>数据治理服务</t>
        </is>
      </c>
      <c r="F698" s="16" t="inlineStr">
        <is>
          <t>数据过期清理</t>
        </is>
      </c>
      <c r="G698" s="17" t="inlineStr">
        <is>
          <t xml:space="preserve"> 提供数据过期自动清理服务</t>
        </is>
      </c>
      <c r="H698" s="18" t="inlineStr">
        <is>
          <t>EQ</t>
        </is>
      </c>
      <c r="I698" s="18">
        <f>IF(H698="ILF",10,IF(H698="EIF",7,IF(H698="EI",4,IF(H698="EO",5,IF(H698="EQ",4,"")))))</f>
        <v/>
      </c>
      <c r="J698" s="18" t="inlineStr">
        <is>
          <t>中</t>
        </is>
      </c>
      <c r="K698" s="18">
        <f>IF(J698="高",0.33,IF(J698="中",0.67,IF(J698="低",1,"")))</f>
        <v/>
      </c>
      <c r="L698" s="18" t="inlineStr">
        <is>
          <t>新增</t>
        </is>
      </c>
      <c r="M698" s="18">
        <f>IF(L698="新增",1,IF(L698="修改",0.8,IF(L698="删除",0.2,"")))</f>
        <v/>
      </c>
      <c r="N698" s="18">
        <f>I698*K698*M698</f>
        <v/>
      </c>
    </row>
    <row r="699" ht="19" customHeight="1" s="1">
      <c r="B699" s="16" t="n">
        <v>694</v>
      </c>
      <c r="C699" s="16" t="inlineStr">
        <is>
          <t>高频时序数据分级存储与全链路安全管控服务</t>
        </is>
      </c>
      <c r="D699" s="16" t="inlineStr">
        <is>
          <t>数据存储服务</t>
        </is>
      </c>
      <c r="E699" s="16" t="inlineStr">
        <is>
          <t>存储性能管理</t>
        </is>
      </c>
      <c r="F699" s="16" t="inlineStr">
        <is>
          <t>写入IOPS性能报告</t>
        </is>
      </c>
      <c r="G699" s="17" t="inlineStr">
        <is>
          <t xml:space="preserve"> 提供存储系统写入IOPS性能报告服务</t>
        </is>
      </c>
      <c r="H699" s="18" t="inlineStr">
        <is>
          <t>EQ</t>
        </is>
      </c>
      <c r="I699" s="18">
        <f>IF(H699="ILF",10,IF(H699="EIF",7,IF(H699="EI",4,IF(H699="EO",5,IF(H699="EQ",4,"")))))</f>
        <v/>
      </c>
      <c r="J699" s="18" t="inlineStr">
        <is>
          <t>中</t>
        </is>
      </c>
      <c r="K699" s="18">
        <f>IF(J699="高",0.33,IF(J699="中",0.67,IF(J699="低",1,"")))</f>
        <v/>
      </c>
      <c r="L699" s="18" t="inlineStr">
        <is>
          <t>新增</t>
        </is>
      </c>
      <c r="M699" s="18">
        <f>IF(L699="新增",1,IF(L699="修改",0.8,IF(L699="删除",0.2,"")))</f>
        <v/>
      </c>
      <c r="N699" s="18">
        <f>I699*K699*M699</f>
        <v/>
      </c>
    </row>
    <row r="700" ht="19" customHeight="1" s="1">
      <c r="B700" s="16" t="n">
        <v>695</v>
      </c>
      <c r="C700" s="16" t="inlineStr">
        <is>
          <t>高频时序数据分级存储与全链路安全管控服务</t>
        </is>
      </c>
      <c r="D700" s="16" t="inlineStr">
        <is>
          <t>数据存储服务</t>
        </is>
      </c>
      <c r="E700" s="16" t="inlineStr">
        <is>
          <t>存储性能管理</t>
        </is>
      </c>
      <c r="F700" s="16" t="inlineStr">
        <is>
          <t>查询响应性能报告</t>
        </is>
      </c>
      <c r="G700" s="17" t="inlineStr">
        <is>
          <t xml:space="preserve"> 提供存储系统查询响应时间报告服务</t>
        </is>
      </c>
      <c r="H700" s="18" t="inlineStr">
        <is>
          <t>EQ</t>
        </is>
      </c>
      <c r="I700" s="18">
        <f>IF(H700="ILF",10,IF(H700="EIF",7,IF(H700="EI",4,IF(H700="EO",5,IF(H700="EQ",4,"")))))</f>
        <v/>
      </c>
      <c r="J700" s="18" t="inlineStr">
        <is>
          <t>中</t>
        </is>
      </c>
      <c r="K700" s="18">
        <f>IF(J700="高",0.33,IF(J700="中",0.67,IF(J700="低",1,"")))</f>
        <v/>
      </c>
      <c r="L700" s="18" t="inlineStr">
        <is>
          <t>新增</t>
        </is>
      </c>
      <c r="M700" s="18">
        <f>IF(L700="新增",1,IF(L700="修改",0.8,IF(L700="删除",0.2,"")))</f>
        <v/>
      </c>
      <c r="N700" s="18">
        <f>I700*K700*M700</f>
        <v/>
      </c>
    </row>
    <row r="701" ht="19" customHeight="1" s="1">
      <c r="B701" s="16" t="n">
        <v>696</v>
      </c>
      <c r="C701" s="16" t="inlineStr">
        <is>
          <t>高频时序数据分级存储与全链路安全管控服务</t>
        </is>
      </c>
      <c r="D701" s="16" t="inlineStr">
        <is>
          <t>数据开放服务</t>
        </is>
      </c>
      <c r="E701" s="16" t="inlineStr">
        <is>
          <t>数据接入服务</t>
        </is>
      </c>
      <c r="F701" s="16" t="inlineStr">
        <is>
          <t>数据格式适配配置</t>
        </is>
      </c>
      <c r="G701" s="17" t="inlineStr">
        <is>
          <t xml:space="preserve"> 提供数据接入格式适配参数配置技术服务</t>
        </is>
      </c>
      <c r="H701" s="18" t="inlineStr">
        <is>
          <t>EQ</t>
        </is>
      </c>
      <c r="I701" s="18">
        <f>IF(H701="ILF",10,IF(H701="EIF",7,IF(H701="EI",4,IF(H701="EO",5,IF(H701="EQ",4,"")))))</f>
        <v/>
      </c>
      <c r="J701" s="18" t="inlineStr">
        <is>
          <t>中</t>
        </is>
      </c>
      <c r="K701" s="18">
        <f>IF(J701="高",0.33,IF(J701="中",0.67,IF(J701="低",1,"")))</f>
        <v/>
      </c>
      <c r="L701" s="18" t="inlineStr">
        <is>
          <t>新增</t>
        </is>
      </c>
      <c r="M701" s="18">
        <f>IF(L701="新增",1,IF(L701="修改",0.8,IF(L701="删除",0.2,"")))</f>
        <v/>
      </c>
      <c r="N701" s="18">
        <f>I701*K701*M701</f>
        <v/>
      </c>
    </row>
    <row r="702" ht="19" customHeight="1" s="1">
      <c r="B702" s="16" t="n">
        <v>697</v>
      </c>
      <c r="C702" s="16" t="inlineStr">
        <is>
          <t>高频时序数据分级存储与全链路安全管控服务</t>
        </is>
      </c>
      <c r="D702" s="16" t="inlineStr">
        <is>
          <t>数据开放服务</t>
        </is>
      </c>
      <c r="E702" s="16" t="inlineStr">
        <is>
          <t>数据接入服务</t>
        </is>
      </c>
      <c r="F702" s="16" t="inlineStr">
        <is>
          <t>数据清洗规则配置</t>
        </is>
      </c>
      <c r="G702" s="17" t="inlineStr">
        <is>
          <t xml:space="preserve"> 提供数据接入清洗规则参数配置技术服务</t>
        </is>
      </c>
      <c r="H702" s="18" t="inlineStr">
        <is>
          <t>EQ</t>
        </is>
      </c>
      <c r="I702" s="18">
        <f>IF(H702="ILF",10,IF(H702="EIF",7,IF(H702="EI",4,IF(H702="EO",5,IF(H702="EQ",4,"")))))</f>
        <v/>
      </c>
      <c r="J702" s="18" t="inlineStr">
        <is>
          <t>中</t>
        </is>
      </c>
      <c r="K702" s="18">
        <f>IF(J702="高",0.33,IF(J702="中",0.67,IF(J702="低",1,"")))</f>
        <v/>
      </c>
      <c r="L702" s="18" t="inlineStr">
        <is>
          <t>新增</t>
        </is>
      </c>
      <c r="M702" s="18">
        <f>IF(L702="新增",1,IF(L702="修改",0.8,IF(L702="删除",0.2,"")))</f>
        <v/>
      </c>
      <c r="N702" s="18">
        <f>I702*K702*M702</f>
        <v/>
      </c>
    </row>
    <row r="703" ht="19" customHeight="1" s="1">
      <c r="B703" s="16" t="n">
        <v>698</v>
      </c>
      <c r="C703" s="16" t="inlineStr">
        <is>
          <t>高频时序数据分级存储与全链路安全管控服务</t>
        </is>
      </c>
      <c r="D703" s="16" t="inlineStr">
        <is>
          <t>数据开放服务</t>
        </is>
      </c>
      <c r="E703" s="16" t="inlineStr">
        <is>
          <t>数据接入服务</t>
        </is>
      </c>
      <c r="F703" s="16" t="inlineStr">
        <is>
          <t>数据路由规则配置</t>
        </is>
      </c>
      <c r="G703" s="17" t="inlineStr">
        <is>
          <t xml:space="preserve"> 提供数据接入路由分发规则配置技术服务</t>
        </is>
      </c>
      <c r="H703" s="18" t="inlineStr">
        <is>
          <t>EQ</t>
        </is>
      </c>
      <c r="I703" s="18">
        <f>IF(H703="ILF",10,IF(H703="EIF",7,IF(H703="EI",4,IF(H703="EO",5,IF(H703="EQ",4,"")))))</f>
        <v/>
      </c>
      <c r="J703" s="18" t="inlineStr">
        <is>
          <t>中</t>
        </is>
      </c>
      <c r="K703" s="18">
        <f>IF(J703="高",0.33,IF(J703="中",0.67,IF(J703="低",1,"")))</f>
        <v/>
      </c>
      <c r="L703" s="18" t="inlineStr">
        <is>
          <t>新增</t>
        </is>
      </c>
      <c r="M703" s="18">
        <f>IF(L703="新增",1,IF(L703="修改",0.8,IF(L703="删除",0.2,"")))</f>
        <v/>
      </c>
      <c r="N703" s="18">
        <f>I703*K703*M703</f>
        <v/>
      </c>
    </row>
    <row r="704" ht="19" customHeight="1" s="1">
      <c r="B704" s="16" t="n">
        <v>699</v>
      </c>
      <c r="C704" s="16" t="inlineStr">
        <is>
          <t>高频时序数据分级存储与全链路安全管控服务</t>
        </is>
      </c>
      <c r="D704" s="16" t="inlineStr">
        <is>
          <t>数据开放服务</t>
        </is>
      </c>
      <c r="E704" s="16" t="inlineStr">
        <is>
          <t>数据交换服务</t>
        </is>
      </c>
      <c r="F704" s="16" t="inlineStr">
        <is>
          <t>数据交换任务配置</t>
        </is>
      </c>
      <c r="G704" s="17" t="inlineStr">
        <is>
          <t xml:space="preserve"> 提供跨系统数据交换任务配置技术服务</t>
        </is>
      </c>
      <c r="H704" s="18" t="inlineStr">
        <is>
          <t>EQ</t>
        </is>
      </c>
      <c r="I704" s="18">
        <f>IF(H704="ILF",10,IF(H704="EIF",7,IF(H704="EI",4,IF(H704="EO",5,IF(H704="EQ",4,"")))))</f>
        <v/>
      </c>
      <c r="J704" s="18" t="inlineStr">
        <is>
          <t>中</t>
        </is>
      </c>
      <c r="K704" s="18">
        <f>IF(J704="高",0.33,IF(J704="中",0.67,IF(J704="低",1,"")))</f>
        <v/>
      </c>
      <c r="L704" s="18" t="inlineStr">
        <is>
          <t>新增</t>
        </is>
      </c>
      <c r="M704" s="18">
        <f>IF(L704="新增",1,IF(L704="修改",0.8,IF(L704="删除",0.2,"")))</f>
        <v/>
      </c>
      <c r="N704" s="18">
        <f>I704*K704*M704</f>
        <v/>
      </c>
    </row>
    <row r="705" ht="19" customHeight="1" s="1">
      <c r="B705" s="16" t="n">
        <v>700</v>
      </c>
      <c r="C705" s="16" t="inlineStr">
        <is>
          <t>高频时序数据分级存储与全链路安全管控服务</t>
        </is>
      </c>
      <c r="D705" s="16" t="inlineStr">
        <is>
          <t>数据开放服务</t>
        </is>
      </c>
      <c r="E705" s="16" t="inlineStr">
        <is>
          <t>数据交换服务</t>
        </is>
      </c>
      <c r="F705" s="16" t="inlineStr">
        <is>
          <t>数据交换监控</t>
        </is>
      </c>
      <c r="G705" s="17" t="inlineStr">
        <is>
          <t xml:space="preserve"> 提供跨系统数据交换状态监控技术服务</t>
        </is>
      </c>
      <c r="H705" s="18" t="inlineStr">
        <is>
          <t>EQ</t>
        </is>
      </c>
      <c r="I705" s="18">
        <f>IF(H705="ILF",10,IF(H705="EIF",7,IF(H705="EI",4,IF(H705="EO",5,IF(H705="EQ",4,"")))))</f>
        <v/>
      </c>
      <c r="J705" s="18" t="inlineStr">
        <is>
          <t>中</t>
        </is>
      </c>
      <c r="K705" s="18">
        <f>IF(J705="高",0.33,IF(J705="中",0.67,IF(J705="低",1,"")))</f>
        <v/>
      </c>
      <c r="L705" s="18" t="inlineStr">
        <is>
          <t>新增</t>
        </is>
      </c>
      <c r="M705" s="18">
        <f>IF(L705="新增",1,IF(L705="修改",0.8,IF(L705="删除",0.2,"")))</f>
        <v/>
      </c>
      <c r="N705" s="18">
        <f>I705*K705*M705</f>
        <v/>
      </c>
    </row>
    <row r="706" ht="19" customHeight="1" s="1">
      <c r="B706" s="16" t="n">
        <v>701</v>
      </c>
      <c r="C706" s="16" t="inlineStr">
        <is>
          <t>高频时序数据分级存储与全链路安全管控服务</t>
        </is>
      </c>
      <c r="D706" s="16" t="inlineStr">
        <is>
          <t>数据存储服务</t>
        </is>
      </c>
      <c r="E706" s="16" t="inlineStr">
        <is>
          <t>存储容量管理</t>
        </is>
      </c>
      <c r="F706" s="16" t="inlineStr">
        <is>
          <t>存储容量预警配置</t>
        </is>
      </c>
      <c r="G706" s="17" t="inlineStr">
        <is>
          <t xml:space="preserve"> 提供存储容量预警阈值参数配置技术服务</t>
        </is>
      </c>
      <c r="H706" s="18" t="inlineStr">
        <is>
          <t>EQ</t>
        </is>
      </c>
      <c r="I706" s="18">
        <f>IF(H706="ILF",10,IF(H706="EIF",7,IF(H706="EI",4,IF(H706="EO",5,IF(H706="EQ",4,"")))))</f>
        <v/>
      </c>
      <c r="J706" s="18" t="inlineStr">
        <is>
          <t>中</t>
        </is>
      </c>
      <c r="K706" s="18">
        <f>IF(J706="高",0.33,IF(J706="中",0.67,IF(J706="低",1,"")))</f>
        <v/>
      </c>
      <c r="L706" s="18" t="inlineStr">
        <is>
          <t>新增</t>
        </is>
      </c>
      <c r="M706" s="18">
        <f>IF(L706="新增",1,IF(L706="修改",0.8,IF(L706="删除",0.2,"")))</f>
        <v/>
      </c>
      <c r="N706" s="18">
        <f>I706*K706*M706</f>
        <v/>
      </c>
    </row>
    <row r="707" ht="19" customHeight="1" s="1">
      <c r="B707" s="16" t="n">
        <v>702</v>
      </c>
      <c r="C707" s="16" t="inlineStr">
        <is>
          <t>高频时序数据分级存储与全链路安全管控服务</t>
        </is>
      </c>
      <c r="D707" s="16" t="inlineStr">
        <is>
          <t>数据存储服务</t>
        </is>
      </c>
      <c r="E707" s="16" t="inlineStr">
        <is>
          <t>存储容量管理</t>
        </is>
      </c>
      <c r="F707" s="16" t="inlineStr">
        <is>
          <t>存储容量报表生成</t>
        </is>
      </c>
      <c r="G707" s="17" t="inlineStr">
        <is>
          <t xml:space="preserve"> 提供存储容量使用统计报表服务</t>
        </is>
      </c>
      <c r="H707" s="18" t="inlineStr">
        <is>
          <t>EQ</t>
        </is>
      </c>
      <c r="I707" s="18">
        <f>IF(H707="ILF",10,IF(H707="EIF",7,IF(H707="EI",4,IF(H707="EO",5,IF(H707="EQ",4,"")))))</f>
        <v/>
      </c>
      <c r="J707" s="18" t="inlineStr">
        <is>
          <t>中</t>
        </is>
      </c>
      <c r="K707" s="18">
        <f>IF(J707="高",0.33,IF(J707="中",0.67,IF(J707="低",1,"")))</f>
        <v/>
      </c>
      <c r="L707" s="18" t="inlineStr">
        <is>
          <t>新增</t>
        </is>
      </c>
      <c r="M707" s="18">
        <f>IF(L707="新增",1,IF(L707="修改",0.8,IF(L707="删除",0.2,"")))</f>
        <v/>
      </c>
      <c r="N707" s="18">
        <f>I707*K707*M707</f>
        <v/>
      </c>
    </row>
    <row r="708" ht="19" customHeight="1" s="1">
      <c r="B708" s="16" t="n">
        <v>703</v>
      </c>
      <c r="C708" s="16" t="inlineStr">
        <is>
          <t>高频时序数据分级存储与全链路安全管控服务</t>
        </is>
      </c>
      <c r="D708" s="16" t="inlineStr">
        <is>
          <t>数据存储服务</t>
        </is>
      </c>
      <c r="E708" s="16" t="inlineStr">
        <is>
          <t>存储运维服务</t>
        </is>
      </c>
      <c r="F708" s="16" t="inlineStr">
        <is>
          <t>存储节点扩容配置</t>
        </is>
      </c>
      <c r="G708" s="17" t="inlineStr">
        <is>
          <t xml:space="preserve"> 提供存储节点扩容参数配置服务</t>
        </is>
      </c>
      <c r="H708" s="18" t="inlineStr">
        <is>
          <t>EQ</t>
        </is>
      </c>
      <c r="I708" s="18">
        <f>IF(H708="ILF",10,IF(H708="EIF",7,IF(H708="EI",4,IF(H708="EO",5,IF(H708="EQ",4,"")))))</f>
        <v/>
      </c>
      <c r="J708" s="18" t="inlineStr">
        <is>
          <t>中</t>
        </is>
      </c>
      <c r="K708" s="18">
        <f>IF(J708="高",0.33,IF(J708="中",0.67,IF(J708="低",1,"")))</f>
        <v/>
      </c>
      <c r="L708" s="18" t="inlineStr">
        <is>
          <t>新增</t>
        </is>
      </c>
      <c r="M708" s="18">
        <f>IF(L708="新增",1,IF(L708="修改",0.8,IF(L708="删除",0.2,"")))</f>
        <v/>
      </c>
      <c r="N708" s="18">
        <f>I708*K708*M708</f>
        <v/>
      </c>
    </row>
    <row r="709" ht="19" customHeight="1" s="1">
      <c r="B709" s="16" t="n">
        <v>704</v>
      </c>
      <c r="C709" s="16" t="inlineStr">
        <is>
          <t>高频时序数据分级存储与全链路安全管控服务</t>
        </is>
      </c>
      <c r="D709" s="16" t="inlineStr">
        <is>
          <t>数据存储服务</t>
        </is>
      </c>
      <c r="E709" s="16" t="inlineStr">
        <is>
          <t>存储运维服务</t>
        </is>
      </c>
      <c r="F709" s="16" t="inlineStr">
        <is>
          <t>存储数据校验</t>
        </is>
      </c>
      <c r="G709" s="17" t="inlineStr">
        <is>
          <t xml:space="preserve"> 提供存储数据完整性校验服务</t>
        </is>
      </c>
      <c r="H709" s="18" t="inlineStr">
        <is>
          <t>EQ</t>
        </is>
      </c>
      <c r="I709" s="18">
        <f>IF(H709="ILF",10,IF(H709="EIF",7,IF(H709="EI",4,IF(H709="EO",5,IF(H709="EQ",4,"")))))</f>
        <v/>
      </c>
      <c r="J709" s="18" t="inlineStr">
        <is>
          <t>中</t>
        </is>
      </c>
      <c r="K709" s="18">
        <f>IF(J709="高",0.33,IF(J709="中",0.67,IF(J709="低",1,"")))</f>
        <v/>
      </c>
      <c r="L709" s="18" t="inlineStr">
        <is>
          <t>新增</t>
        </is>
      </c>
      <c r="M709" s="18">
        <f>IF(L709="新增",1,IF(L709="修改",0.8,IF(L709="删除",0.2,"")))</f>
        <v/>
      </c>
      <c r="N709" s="18">
        <f>I709*K709*M709</f>
        <v/>
      </c>
    </row>
    <row r="710" ht="19" customHeight="1" s="1">
      <c r="B710" s="16" t="n">
        <v>705</v>
      </c>
      <c r="C710" s="16" t="inlineStr">
        <is>
          <t>油气生产运行综合监控与多维数据分析看板服务</t>
        </is>
      </c>
      <c r="D710" s="16" t="inlineStr">
        <is>
          <t>监控大屏服务</t>
        </is>
      </c>
      <c r="E710" s="16" t="inlineStr">
        <is>
          <t>扩展看板配置</t>
        </is>
      </c>
      <c r="F710" s="16" t="inlineStr">
        <is>
          <t>趋势预警</t>
        </is>
      </c>
      <c r="G710" s="17" t="inlineStr">
        <is>
          <t xml:space="preserve"> 提供指标趋势预警配置服务</t>
        </is>
      </c>
      <c r="H710" s="18" t="inlineStr">
        <is>
          <t>ILF</t>
        </is>
      </c>
      <c r="I710" s="18">
        <f>IF(H710="ILF",10,IF(H710="EIF",7,IF(H710="EI",4,IF(H710="EO",5,IF(H710="EQ",4,"")))))</f>
        <v/>
      </c>
      <c r="J710" s="18" t="inlineStr">
        <is>
          <t>低</t>
        </is>
      </c>
      <c r="K710" s="18">
        <f>IF(J710="高",0.33,IF(J710="中",0.67,IF(J710="低",1,"")))</f>
        <v/>
      </c>
      <c r="L710" s="18" t="inlineStr">
        <is>
          <t>新增</t>
        </is>
      </c>
      <c r="M710" s="18">
        <f>IF(L710="新增",1,IF(L710="修改",0.8,IF(L710="删除",0.2,"")))</f>
        <v/>
      </c>
      <c r="N710" s="18">
        <f>I710*K710*M710</f>
        <v/>
      </c>
    </row>
    <row r="711" ht="19" customHeight="1" s="1">
      <c r="B711" s="16" t="n">
        <v>706</v>
      </c>
      <c r="C711" s="16" t="inlineStr">
        <is>
          <t>油气生产运行综合监控与多维数据分析看板服务</t>
        </is>
      </c>
      <c r="D711" s="16" t="inlineStr">
        <is>
          <t>监控大屏服务</t>
        </is>
      </c>
      <c r="E711" s="16" t="inlineStr">
        <is>
          <t>扩展看板配置</t>
        </is>
      </c>
      <c r="F711" s="16" t="inlineStr">
        <is>
          <t>异常预警</t>
        </is>
      </c>
      <c r="G711" s="17" t="inlineStr">
        <is>
          <t xml:space="preserve"> 提供数据异常预警配置服务</t>
        </is>
      </c>
      <c r="H711" s="18" t="inlineStr">
        <is>
          <t>ILF</t>
        </is>
      </c>
      <c r="I711" s="18">
        <f>IF(H711="ILF",10,IF(H711="EIF",7,IF(H711="EI",4,IF(H711="EO",5,IF(H711="EQ",4,"")))))</f>
        <v/>
      </c>
      <c r="J711" s="18" t="inlineStr">
        <is>
          <t>低</t>
        </is>
      </c>
      <c r="K711" s="18">
        <f>IF(J711="高",0.33,IF(J711="中",0.67,IF(J711="低",1,"")))</f>
        <v/>
      </c>
      <c r="L711" s="18" t="inlineStr">
        <is>
          <t>新增</t>
        </is>
      </c>
      <c r="M711" s="18">
        <f>IF(L711="新增",1,IF(L711="修改",0.8,IF(L711="删除",0.2,"")))</f>
        <v/>
      </c>
      <c r="N711" s="18">
        <f>I711*K711*M711</f>
        <v/>
      </c>
    </row>
    <row r="712" ht="19" customHeight="1" s="1">
      <c r="B712" s="16" t="n">
        <v>707</v>
      </c>
      <c r="C712" s="16" t="inlineStr">
        <is>
          <t>油气生产运行综合监控与多维数据分析看板服务</t>
        </is>
      </c>
      <c r="D712" s="16" t="inlineStr">
        <is>
          <t>监控大屏服务</t>
        </is>
      </c>
      <c r="E712" s="16" t="inlineStr">
        <is>
          <t>扩展看板配置</t>
        </is>
      </c>
      <c r="F712" s="16" t="inlineStr">
        <is>
          <t>预警通知</t>
        </is>
      </c>
      <c r="G712" s="17" t="inlineStr">
        <is>
          <t xml:space="preserve"> 提供预警消息推送配置服务</t>
        </is>
      </c>
      <c r="H712" s="18" t="inlineStr">
        <is>
          <t>ILF</t>
        </is>
      </c>
      <c r="I712" s="18">
        <f>IF(H712="ILF",10,IF(H712="EIF",7,IF(H712="EI",4,IF(H712="EO",5,IF(H712="EQ",4,"")))))</f>
        <v/>
      </c>
      <c r="J712" s="18" t="inlineStr">
        <is>
          <t>低</t>
        </is>
      </c>
      <c r="K712" s="18">
        <f>IF(J712="高",0.33,IF(J712="中",0.67,IF(J712="低",1,"")))</f>
        <v/>
      </c>
      <c r="L712" s="18" t="inlineStr">
        <is>
          <t>新增</t>
        </is>
      </c>
      <c r="M712" s="18">
        <f>IF(L712="新增",1,IF(L712="修改",0.8,IF(L712="删除",0.2,"")))</f>
        <v/>
      </c>
      <c r="N712" s="18">
        <f>I712*K712*M712</f>
        <v/>
      </c>
    </row>
    <row r="713" ht="19" customHeight="1" s="1">
      <c r="B713" s="16" t="n">
        <v>708</v>
      </c>
      <c r="C713" s="16" t="inlineStr">
        <is>
          <t>油气生产运行综合监控与多维数据分析看板服务</t>
        </is>
      </c>
      <c r="D713" s="16" t="inlineStr">
        <is>
          <t>监控大屏服务</t>
        </is>
      </c>
      <c r="E713" s="16" t="inlineStr">
        <is>
          <t>扩展看板配置</t>
        </is>
      </c>
      <c r="F713" s="16" t="inlineStr">
        <is>
          <t>预警升级</t>
        </is>
      </c>
      <c r="G713" s="17" t="inlineStr">
        <is>
          <t xml:space="preserve"> 提供预警升级策略配置服务</t>
        </is>
      </c>
      <c r="H713" s="18" t="inlineStr">
        <is>
          <t>ILF</t>
        </is>
      </c>
      <c r="I713" s="18">
        <f>IF(H713="ILF",10,IF(H713="EIF",7,IF(H713="EI",4,IF(H713="EO",5,IF(H713="EQ",4,"")))))</f>
        <v/>
      </c>
      <c r="J713" s="18" t="inlineStr">
        <is>
          <t>低</t>
        </is>
      </c>
      <c r="K713" s="18">
        <f>IF(J713="高",0.33,IF(J713="中",0.67,IF(J713="低",1,"")))</f>
        <v/>
      </c>
      <c r="L713" s="18" t="inlineStr">
        <is>
          <t>新增</t>
        </is>
      </c>
      <c r="M713" s="18">
        <f>IF(L713="新增",1,IF(L713="修改",0.8,IF(L713="删除",0.2,"")))</f>
        <v/>
      </c>
      <c r="N713" s="18">
        <f>I713*K713*M713</f>
        <v/>
      </c>
    </row>
    <row r="714" ht="19" customHeight="1" s="1">
      <c r="B714" s="16" t="n">
        <v>709</v>
      </c>
      <c r="C714" s="16" t="inlineStr">
        <is>
          <t>油气生产运行综合监控与多维数据分析看板服务</t>
        </is>
      </c>
      <c r="D714" s="16" t="inlineStr">
        <is>
          <t>监控大屏服务</t>
        </is>
      </c>
      <c r="E714" s="16" t="inlineStr">
        <is>
          <t>告警展示大屏</t>
        </is>
      </c>
      <c r="F714" s="16" t="inlineStr">
        <is>
          <t>告警总览大屏配置</t>
        </is>
      </c>
      <c r="G714" s="17" t="inlineStr">
        <is>
          <t xml:space="preserve"> 提供告警状态总览大屏配置技术服务</t>
        </is>
      </c>
      <c r="H714" s="18" t="inlineStr">
        <is>
          <t>ILF</t>
        </is>
      </c>
      <c r="I714" s="18">
        <f>IF(H714="ILF",10,IF(H714="EIF",7,IF(H714="EI",4,IF(H714="EO",5,IF(H714="EQ",4,"")))))</f>
        <v/>
      </c>
      <c r="J714" s="18" t="inlineStr">
        <is>
          <t>中</t>
        </is>
      </c>
      <c r="K714" s="18">
        <f>IF(J714="高",0.33,IF(J714="中",0.67,IF(J714="低",1,"")))</f>
        <v/>
      </c>
      <c r="L714" s="18" t="inlineStr">
        <is>
          <t>新增</t>
        </is>
      </c>
      <c r="M714" s="18">
        <f>IF(L714="新增",1,IF(L714="修改",0.8,IF(L714="删除",0.2,"")))</f>
        <v/>
      </c>
      <c r="N714" s="18">
        <f>I714*K714*M714</f>
        <v/>
      </c>
    </row>
    <row r="715" ht="19" customHeight="1" s="1">
      <c r="B715" s="16" t="n">
        <v>710</v>
      </c>
      <c r="C715" s="16" t="inlineStr">
        <is>
          <t>油气生产运行综合监控与多维数据分析看板服务</t>
        </is>
      </c>
      <c r="D715" s="16" t="inlineStr">
        <is>
          <t>监控大屏服务</t>
        </is>
      </c>
      <c r="E715" s="16" t="inlineStr">
        <is>
          <t>告警展示大屏</t>
        </is>
      </c>
      <c r="F715" s="16" t="inlineStr">
        <is>
          <t>告警实时刷新配置</t>
        </is>
      </c>
      <c r="G715" s="17" t="inlineStr">
        <is>
          <t xml:space="preserve"> 提供告警大屏实时刷新频率配置技术服务</t>
        </is>
      </c>
      <c r="H715" s="18" t="inlineStr">
        <is>
          <t>ILF</t>
        </is>
      </c>
      <c r="I715" s="18">
        <f>IF(H715="ILF",10,IF(H715="EIF",7,IF(H715="EI",4,IF(H715="EO",5,IF(H715="EQ",4,"")))))</f>
        <v/>
      </c>
      <c r="J715" s="18" t="inlineStr">
        <is>
          <t>中</t>
        </is>
      </c>
      <c r="K715" s="18">
        <f>IF(J715="高",0.33,IF(J715="中",0.67,IF(J715="低",1,"")))</f>
        <v/>
      </c>
      <c r="L715" s="18" t="inlineStr">
        <is>
          <t>新增</t>
        </is>
      </c>
      <c r="M715" s="18">
        <f>IF(L715="新增",1,IF(L715="修改",0.8,IF(L715="删除",0.2,"")))</f>
        <v/>
      </c>
      <c r="N715" s="18">
        <f>I715*K715*M715</f>
        <v/>
      </c>
    </row>
    <row r="716" ht="19" customHeight="1" s="1">
      <c r="B716" s="16" t="n">
        <v>711</v>
      </c>
      <c r="C716" s="16" t="inlineStr">
        <is>
          <t>油气生产运行综合监控与多维数据分析看板服务</t>
        </is>
      </c>
      <c r="D716" s="16" t="inlineStr">
        <is>
          <t>监控大屏服务</t>
        </is>
      </c>
      <c r="E716" s="16" t="inlineStr">
        <is>
          <t>运维总览大屏</t>
        </is>
      </c>
      <c r="F716" s="16" t="inlineStr">
        <is>
          <t>系统运行总览大屏配置</t>
        </is>
      </c>
      <c r="G716" s="17" t="inlineStr">
        <is>
          <t xml:space="preserve"> 提供系统整体运行状态大屏配置技术服务</t>
        </is>
      </c>
      <c r="H716" s="18" t="inlineStr">
        <is>
          <t>ILF</t>
        </is>
      </c>
      <c r="I716" s="18">
        <f>IF(H716="ILF",10,IF(H716="EIF",7,IF(H716="EI",4,IF(H716="EO",5,IF(H716="EQ",4,"")))))</f>
        <v/>
      </c>
      <c r="J716" s="18" t="inlineStr">
        <is>
          <t>中</t>
        </is>
      </c>
      <c r="K716" s="18">
        <f>IF(J716="高",0.33,IF(J716="中",0.67,IF(J716="低",1,"")))</f>
        <v/>
      </c>
      <c r="L716" s="18" t="inlineStr">
        <is>
          <t>新增</t>
        </is>
      </c>
      <c r="M716" s="18">
        <f>IF(L716="新增",1,IF(L716="修改",0.8,IF(L716="删除",0.2,"")))</f>
        <v/>
      </c>
      <c r="N716" s="18">
        <f>I716*K716*M716</f>
        <v/>
      </c>
    </row>
    <row r="717" ht="19" customHeight="1" s="1">
      <c r="B717" s="16" t="n">
        <v>712</v>
      </c>
      <c r="C717" s="16" t="inlineStr">
        <is>
          <t>油气生产运行综合监控与多维数据分析看板服务</t>
        </is>
      </c>
      <c r="D717" s="16" t="inlineStr">
        <is>
          <t>监控大屏服务</t>
        </is>
      </c>
      <c r="E717" s="16" t="inlineStr">
        <is>
          <t>运维总览大屏</t>
        </is>
      </c>
      <c r="F717" s="16" t="inlineStr">
        <is>
          <t>数据质量总览大屏配置</t>
        </is>
      </c>
      <c r="G717" s="17" t="inlineStr">
        <is>
          <t xml:space="preserve"> 提供数据质量总览大屏配置技术服务</t>
        </is>
      </c>
      <c r="H717" s="18" t="inlineStr">
        <is>
          <t>ILF</t>
        </is>
      </c>
      <c r="I717" s="18">
        <f>IF(H717="ILF",10,IF(H717="EIF",7,IF(H717="EI",4,IF(H717="EO",5,IF(H717="EQ",4,"")))))</f>
        <v/>
      </c>
      <c r="J717" s="18" t="inlineStr">
        <is>
          <t>中</t>
        </is>
      </c>
      <c r="K717" s="18">
        <f>IF(J717="高",0.33,IF(J717="中",0.67,IF(J717="低",1,"")))</f>
        <v/>
      </c>
      <c r="L717" s="18" t="inlineStr">
        <is>
          <t>新增</t>
        </is>
      </c>
      <c r="M717" s="18">
        <f>IF(L717="新增",1,IF(L717="修改",0.8,IF(L717="删除",0.2,"")))</f>
        <v/>
      </c>
      <c r="N717" s="18">
        <f>I717*K717*M717</f>
        <v/>
      </c>
    </row>
    <row r="718" ht="19" customHeight="1" s="1">
      <c r="B718" s="16" t="n">
        <v>713</v>
      </c>
      <c r="C718" s="16" t="inlineStr">
        <is>
          <t>油气生产运行综合监控与多维数据分析看板服务</t>
        </is>
      </c>
      <c r="D718" s="16" t="inlineStr">
        <is>
          <t>管理驾驶舱</t>
        </is>
      </c>
      <c r="E718" s="16" t="inlineStr">
        <is>
          <t>移动端驾驶舱</t>
        </is>
      </c>
      <c r="F718" s="16" t="inlineStr">
        <is>
          <t>移动端设备状态看板</t>
        </is>
      </c>
      <c r="G718" s="17" t="inlineStr">
        <is>
          <t xml:space="preserve"> 提供手机端设备状态看板配置技术服务</t>
        </is>
      </c>
      <c r="H718" s="18" t="inlineStr">
        <is>
          <t>ILF</t>
        </is>
      </c>
      <c r="I718" s="18">
        <f>IF(H718="ILF",10,IF(H718="EIF",7,IF(H718="EI",4,IF(H718="EO",5,IF(H718="EQ",4,"")))))</f>
        <v/>
      </c>
      <c r="J718" s="18" t="inlineStr">
        <is>
          <t>中</t>
        </is>
      </c>
      <c r="K718" s="18">
        <f>IF(J718="高",0.33,IF(J718="中",0.67,IF(J718="低",1,"")))</f>
        <v/>
      </c>
      <c r="L718" s="18" t="inlineStr">
        <is>
          <t>新增</t>
        </is>
      </c>
      <c r="M718" s="18">
        <f>IF(L718="新增",1,IF(L718="修改",0.8,IF(L718="删除",0.2,"")))</f>
        <v/>
      </c>
      <c r="N718" s="18">
        <f>I718*K718*M718</f>
        <v/>
      </c>
    </row>
    <row r="719" ht="19" customHeight="1" s="1">
      <c r="B719" s="16" t="n">
        <v>714</v>
      </c>
      <c r="C719" s="16" t="inlineStr">
        <is>
          <t>油气生产运行综合监控与多维数据分析看板服务</t>
        </is>
      </c>
      <c r="D719" s="16" t="inlineStr">
        <is>
          <t>管理驾驶舱</t>
        </is>
      </c>
      <c r="E719" s="16" t="inlineStr">
        <is>
          <t>移动端驾驶舱</t>
        </is>
      </c>
      <c r="F719" s="16" t="inlineStr">
        <is>
          <t>移动端告警看板配置</t>
        </is>
      </c>
      <c r="G719" s="17" t="inlineStr">
        <is>
          <t xml:space="preserve"> 提供手机端告警看板配置技术服务</t>
        </is>
      </c>
      <c r="H719" s="18" t="inlineStr">
        <is>
          <t>ILF</t>
        </is>
      </c>
      <c r="I719" s="18">
        <f>IF(H719="ILF",10,IF(H719="EIF",7,IF(H719="EI",4,IF(H719="EO",5,IF(H719="EQ",4,"")))))</f>
        <v/>
      </c>
      <c r="J719" s="18" t="inlineStr">
        <is>
          <t>中</t>
        </is>
      </c>
      <c r="K719" s="18">
        <f>IF(J719="高",0.33,IF(J719="中",0.67,IF(J719="低",1,"")))</f>
        <v/>
      </c>
      <c r="L719" s="18" t="inlineStr">
        <is>
          <t>新增</t>
        </is>
      </c>
      <c r="M719" s="18">
        <f>IF(L719="新增",1,IF(L719="修改",0.8,IF(L719="删除",0.2,"")))</f>
        <v/>
      </c>
      <c r="N719" s="18">
        <f>I719*K719*M719</f>
        <v/>
      </c>
    </row>
    <row r="720" ht="19" customHeight="1" s="1">
      <c r="B720" s="16" t="n">
        <v>715</v>
      </c>
      <c r="C720" s="16" t="inlineStr">
        <is>
          <t>油气生产运行综合监控与多维数据分析看板服务</t>
        </is>
      </c>
      <c r="D720" s="16" t="inlineStr">
        <is>
          <t>管理驾驶舱</t>
        </is>
      </c>
      <c r="E720" s="16" t="inlineStr">
        <is>
          <t>移动端驾驶舱</t>
        </is>
      </c>
      <c r="F720" s="16" t="inlineStr">
        <is>
          <t>移动端指标看板</t>
        </is>
      </c>
      <c r="G720" s="17" t="inlineStr">
        <is>
          <t xml:space="preserve"> 提供手机端KPI指标看板配置技术服务</t>
        </is>
      </c>
      <c r="H720" s="18" t="inlineStr">
        <is>
          <t>ILF</t>
        </is>
      </c>
      <c r="I720" s="18">
        <f>IF(H720="ILF",10,IF(H720="EIF",7,IF(H720="EI",4,IF(H720="EO",5,IF(H720="EQ",4,"")))))</f>
        <v/>
      </c>
      <c r="J720" s="18" t="inlineStr">
        <is>
          <t>中</t>
        </is>
      </c>
      <c r="K720" s="18">
        <f>IF(J720="高",0.33,IF(J720="中",0.67,IF(J720="低",1,"")))</f>
        <v/>
      </c>
      <c r="L720" s="18" t="inlineStr">
        <is>
          <t>新增</t>
        </is>
      </c>
      <c r="M720" s="18">
        <f>IF(L720="新增",1,IF(L720="修改",0.8,IF(L720="删除",0.2,"")))</f>
        <v/>
      </c>
      <c r="N720" s="18">
        <f>I720*K720*M720</f>
        <v/>
      </c>
    </row>
    <row r="721" ht="19" customHeight="1" s="1">
      <c r="B721" s="16" t="n">
        <v>716</v>
      </c>
      <c r="C721" s="16" t="inlineStr">
        <is>
          <t>油气生产运行综合监控与多维数据分析看板服务</t>
        </is>
      </c>
      <c r="D721" s="16" t="inlineStr">
        <is>
          <t>可视化配置</t>
        </is>
      </c>
      <c r="E721" s="16" t="inlineStr">
        <is>
          <t>个性化设置</t>
        </is>
      </c>
      <c r="F721" s="16" t="inlineStr">
        <is>
          <t>用户偏好配置</t>
        </is>
      </c>
      <c r="G721" s="17" t="inlineStr">
        <is>
          <t xml:space="preserve"> 提供用户可视化偏好参数配置技术服务</t>
        </is>
      </c>
      <c r="H721" s="18" t="inlineStr">
        <is>
          <t>ILF</t>
        </is>
      </c>
      <c r="I721" s="18">
        <f>IF(H721="ILF",10,IF(H721="EIF",7,IF(H721="EI",4,IF(H721="EO",5,IF(H721="EQ",4,"")))))</f>
        <v/>
      </c>
      <c r="J721" s="18" t="inlineStr">
        <is>
          <t>中</t>
        </is>
      </c>
      <c r="K721" s="18">
        <f>IF(J721="高",0.33,IF(J721="中",0.67,IF(J721="低",1,"")))</f>
        <v/>
      </c>
      <c r="L721" s="18" t="inlineStr">
        <is>
          <t>新增</t>
        </is>
      </c>
      <c r="M721" s="18">
        <f>IF(L721="新增",1,IF(L721="修改",0.8,IF(L721="删除",0.2,"")))</f>
        <v/>
      </c>
      <c r="N721" s="18">
        <f>I721*K721*M721</f>
        <v/>
      </c>
    </row>
    <row r="722" ht="19" customHeight="1" s="1">
      <c r="B722" s="16" t="n">
        <v>717</v>
      </c>
      <c r="C722" s="16" t="inlineStr">
        <is>
          <t>油气生产运行综合监控与多维数据分析看板服务</t>
        </is>
      </c>
      <c r="D722" s="16" t="inlineStr">
        <is>
          <t>可视化配置</t>
        </is>
      </c>
      <c r="E722" s="16" t="inlineStr">
        <is>
          <t>个性化设置</t>
        </is>
      </c>
      <c r="F722" s="16" t="inlineStr">
        <is>
          <t>布局自定义配置</t>
        </is>
      </c>
      <c r="G722" s="17" t="inlineStr">
        <is>
          <t xml:space="preserve"> 提供可视化布局自定义配置技术服务</t>
        </is>
      </c>
      <c r="H722" s="18" t="inlineStr">
        <is>
          <t>ILF</t>
        </is>
      </c>
      <c r="I722" s="18">
        <f>IF(H722="ILF",10,IF(H722="EIF",7,IF(H722="EI",4,IF(H722="EO",5,IF(H722="EQ",4,"")))))</f>
        <v/>
      </c>
      <c r="J722" s="18" t="inlineStr">
        <is>
          <t>中</t>
        </is>
      </c>
      <c r="K722" s="18">
        <f>IF(J722="高",0.33,IF(J722="中",0.67,IF(J722="低",1,"")))</f>
        <v/>
      </c>
      <c r="L722" s="18" t="inlineStr">
        <is>
          <t>新增</t>
        </is>
      </c>
      <c r="M722" s="18">
        <f>IF(L722="新增",1,IF(L722="修改",0.8,IF(L722="删除",0.2,"")))</f>
        <v/>
      </c>
      <c r="N722" s="18">
        <f>I722*K722*M722</f>
        <v/>
      </c>
    </row>
    <row r="723" ht="19" customHeight="1" s="1">
      <c r="B723" s="16" t="n">
        <v>718</v>
      </c>
      <c r="C723" s="16" t="inlineStr">
        <is>
          <t>油气生产运行综合监控与多维数据分析看板服务</t>
        </is>
      </c>
      <c r="D723" s="16" t="inlineStr">
        <is>
          <t>监控大屏服务</t>
        </is>
      </c>
      <c r="E723" s="16" t="inlineStr">
        <is>
          <t>大屏运维服务</t>
        </is>
      </c>
      <c r="F723" s="16" t="inlineStr">
        <is>
          <t>大屏数据刷新配置</t>
        </is>
      </c>
      <c r="G723" s="17" t="inlineStr">
        <is>
          <t xml:space="preserve"> 提供大屏数据刷新频率配置服务</t>
        </is>
      </c>
      <c r="H723" s="18" t="inlineStr">
        <is>
          <t>ILF</t>
        </is>
      </c>
      <c r="I723" s="18">
        <f>IF(H723="ILF",10,IF(H723="EIF",7,IF(H723="EI",4,IF(H723="EO",5,IF(H723="EQ",4,"")))))</f>
        <v/>
      </c>
      <c r="J723" s="18" t="inlineStr">
        <is>
          <t>中</t>
        </is>
      </c>
      <c r="K723" s="18">
        <f>IF(J723="高",0.33,IF(J723="中",0.67,IF(J723="低",1,"")))</f>
        <v/>
      </c>
      <c r="L723" s="18" t="inlineStr">
        <is>
          <t>新增</t>
        </is>
      </c>
      <c r="M723" s="18">
        <f>IF(L723="新增",1,IF(L723="修改",0.8,IF(L723="删除",0.2,"")))</f>
        <v/>
      </c>
      <c r="N723" s="18">
        <f>I723*K723*M723</f>
        <v/>
      </c>
    </row>
    <row r="724" ht="19" customHeight="1" s="1">
      <c r="B724" s="16" t="n">
        <v>719</v>
      </c>
      <c r="C724" s="16" t="inlineStr">
        <is>
          <t>油气生产运行综合监控与多维数据分析看板服务</t>
        </is>
      </c>
      <c r="D724" s="16" t="inlineStr">
        <is>
          <t>监控大屏服务</t>
        </is>
      </c>
      <c r="E724" s="16" t="inlineStr">
        <is>
          <t>大屏运维服务</t>
        </is>
      </c>
      <c r="F724" s="16" t="inlineStr">
        <is>
          <t>大屏数据源配置</t>
        </is>
      </c>
      <c r="G724" s="17" t="inlineStr">
        <is>
          <t xml:space="preserve"> 提供大屏数据源切换配置服务</t>
        </is>
      </c>
      <c r="H724" s="18" t="inlineStr">
        <is>
          <t>EI</t>
        </is>
      </c>
      <c r="I724" s="18">
        <f>IF(H724="ILF",10,IF(H724="EIF",7,IF(H724="EI",4,IF(H724="EO",5,IF(H724="EQ",4,"")))))</f>
        <v/>
      </c>
      <c r="J724" s="18" t="inlineStr">
        <is>
          <t>低</t>
        </is>
      </c>
      <c r="K724" s="18">
        <f>IF(J724="高",0.33,IF(J724="中",0.67,IF(J724="低",1,"")))</f>
        <v/>
      </c>
      <c r="L724" s="18" t="inlineStr">
        <is>
          <t>新增</t>
        </is>
      </c>
      <c r="M724" s="18">
        <f>IF(L724="新增",1,IF(L724="修改",0.8,IF(L724="删除",0.2,"")))</f>
        <v/>
      </c>
      <c r="N724" s="18">
        <f>I724*K724*M724</f>
        <v/>
      </c>
    </row>
    <row r="725" ht="19" customHeight="1" s="1">
      <c r="B725" s="16" t="n">
        <v>720</v>
      </c>
      <c r="C725" s="16" t="inlineStr">
        <is>
          <t>油气生产运行综合监控与多维数据分析看板服务</t>
        </is>
      </c>
      <c r="D725" s="16" t="inlineStr">
        <is>
          <t>监控大屏服务</t>
        </is>
      </c>
      <c r="E725" s="16" t="inlineStr">
        <is>
          <t>专题分析大屏</t>
        </is>
      </c>
      <c r="F725" s="16" t="inlineStr">
        <is>
          <t>产量分析大屏配置</t>
        </is>
      </c>
      <c r="G725" s="17" t="inlineStr">
        <is>
          <t xml:space="preserve"> 提供产量趋势分析大屏配置服务</t>
        </is>
      </c>
      <c r="H725" s="18" t="inlineStr">
        <is>
          <t>EI</t>
        </is>
      </c>
      <c r="I725" s="18">
        <f>IF(H725="ILF",10,IF(H725="EIF",7,IF(H725="EI",4,IF(H725="EO",5,IF(H725="EQ",4,"")))))</f>
        <v/>
      </c>
      <c r="J725" s="18" t="inlineStr">
        <is>
          <t>低</t>
        </is>
      </c>
      <c r="K725" s="18">
        <f>IF(J725="高",0.33,IF(J725="中",0.67,IF(J725="低",1,"")))</f>
        <v/>
      </c>
      <c r="L725" s="18" t="inlineStr">
        <is>
          <t>新增</t>
        </is>
      </c>
      <c r="M725" s="18">
        <f>IF(L725="新增",1,IF(L725="修改",0.8,IF(L725="删除",0.2,"")))</f>
        <v/>
      </c>
      <c r="N725" s="18">
        <f>I725*K725*M725</f>
        <v/>
      </c>
    </row>
    <row r="726" ht="19" customHeight="1" s="1">
      <c r="B726" s="16" t="n">
        <v>721</v>
      </c>
      <c r="C726" s="16" t="inlineStr">
        <is>
          <t>油气生产运行综合监控与多维数据分析看板服务</t>
        </is>
      </c>
      <c r="D726" s="16" t="inlineStr">
        <is>
          <t>监控大屏服务</t>
        </is>
      </c>
      <c r="E726" s="16" t="inlineStr">
        <is>
          <t>专题分析大屏</t>
        </is>
      </c>
      <c r="F726" s="16" t="inlineStr">
        <is>
          <t>能耗分析大屏配置</t>
        </is>
      </c>
      <c r="G726" s="17" t="inlineStr">
        <is>
          <t xml:space="preserve"> 提供能耗趋势分析大屏配置服务</t>
        </is>
      </c>
      <c r="H726" s="18" t="inlineStr">
        <is>
          <t>EI</t>
        </is>
      </c>
      <c r="I726" s="18">
        <f>IF(H726="ILF",10,IF(H726="EIF",7,IF(H726="EI",4,IF(H726="EO",5,IF(H726="EQ",4,"")))))</f>
        <v/>
      </c>
      <c r="J726" s="18" t="inlineStr">
        <is>
          <t>低</t>
        </is>
      </c>
      <c r="K726" s="18">
        <f>IF(J726="高",0.33,IF(J726="中",0.67,IF(J726="低",1,"")))</f>
        <v/>
      </c>
      <c r="L726" s="18" t="inlineStr">
        <is>
          <t>新增</t>
        </is>
      </c>
      <c r="M726" s="18">
        <f>IF(L726="新增",1,IF(L726="修改",0.8,IF(L726="删除",0.2,"")))</f>
        <v/>
      </c>
      <c r="N726" s="18">
        <f>I726*K726*M726</f>
        <v/>
      </c>
    </row>
    <row r="727" ht="19" customHeight="1" s="1">
      <c r="B727" s="16" t="n">
        <v>722</v>
      </c>
      <c r="C727" s="16" t="inlineStr">
        <is>
          <t>油气生产运行综合监控与多维数据分析看板服务</t>
        </is>
      </c>
      <c r="D727" s="16" t="inlineStr">
        <is>
          <t>管理驾驶舱</t>
        </is>
      </c>
      <c r="E727" s="16" t="inlineStr">
        <is>
          <t>运营分析服务</t>
        </is>
      </c>
      <c r="F727" s="16" t="inlineStr">
        <is>
          <t>运营日报推送</t>
        </is>
      </c>
      <c r="G727" s="17" t="inlineStr">
        <is>
          <t xml:space="preserve"> 提供运营日报推送服务</t>
        </is>
      </c>
      <c r="H727" s="18" t="inlineStr">
        <is>
          <t>EI</t>
        </is>
      </c>
      <c r="I727" s="18">
        <f>IF(H727="ILF",10,IF(H727="EIF",7,IF(H727="EI",4,IF(H727="EO",5,IF(H727="EQ",4,"")))))</f>
        <v/>
      </c>
      <c r="J727" s="18" t="inlineStr">
        <is>
          <t>低</t>
        </is>
      </c>
      <c r="K727" s="18">
        <f>IF(J727="高",0.33,IF(J727="中",0.67,IF(J727="低",1,"")))</f>
        <v/>
      </c>
      <c r="L727" s="18" t="inlineStr">
        <is>
          <t>新增</t>
        </is>
      </c>
      <c r="M727" s="18">
        <f>IF(L727="新增",1,IF(L727="修改",0.8,IF(L727="删除",0.2,"")))</f>
        <v/>
      </c>
      <c r="N727" s="18">
        <f>I727*K727*M727</f>
        <v/>
      </c>
    </row>
    <row r="728" ht="19" customHeight="1" s="1">
      <c r="B728" s="16" t="n">
        <v>723</v>
      </c>
      <c r="C728" s="16" t="inlineStr">
        <is>
          <t>油气生产运行综合监控与多维数据分析看板服务</t>
        </is>
      </c>
      <c r="D728" s="16" t="inlineStr">
        <is>
          <t>管理驾驶舱</t>
        </is>
      </c>
      <c r="E728" s="16" t="inlineStr">
        <is>
          <t>运营分析服务</t>
        </is>
      </c>
      <c r="F728" s="16" t="inlineStr">
        <is>
          <t>运营周报推送</t>
        </is>
      </c>
      <c r="G728" s="17" t="inlineStr">
        <is>
          <t xml:space="preserve"> 提供运营周报推送服务</t>
        </is>
      </c>
      <c r="H728" s="18" t="inlineStr">
        <is>
          <t>EI</t>
        </is>
      </c>
      <c r="I728" s="18">
        <f>IF(H728="ILF",10,IF(H728="EIF",7,IF(H728="EI",4,IF(H728="EO",5,IF(H728="EQ",4,"")))))</f>
        <v/>
      </c>
      <c r="J728" s="18" t="inlineStr">
        <is>
          <t>低</t>
        </is>
      </c>
      <c r="K728" s="18">
        <f>IF(J728="高",0.33,IF(J728="中",0.67,IF(J728="低",1,"")))</f>
        <v/>
      </c>
      <c r="L728" s="18" t="inlineStr">
        <is>
          <t>新增</t>
        </is>
      </c>
      <c r="M728" s="18">
        <f>IF(L728="新增",1,IF(L728="修改",0.8,IF(L728="删除",0.2,"")))</f>
        <v/>
      </c>
      <c r="N728" s="18">
        <f>I728*K728*M728</f>
        <v/>
      </c>
    </row>
    <row r="729" ht="19" customHeight="1" s="1">
      <c r="B729" s="16" t="n">
        <v>724</v>
      </c>
      <c r="C729" s="16" t="inlineStr">
        <is>
          <t>油气生产运行综合监控与多维数据分析看板服务</t>
        </is>
      </c>
      <c r="D729" s="16" t="inlineStr">
        <is>
          <t>管理驾驶舱</t>
        </is>
      </c>
      <c r="E729" s="16" t="inlineStr">
        <is>
          <t>运营分析服务</t>
        </is>
      </c>
      <c r="F729" s="16" t="inlineStr">
        <is>
          <t>运营月报推送</t>
        </is>
      </c>
      <c r="G729" s="17" t="inlineStr">
        <is>
          <t xml:space="preserve"> 提供运营月报推送服务</t>
        </is>
      </c>
      <c r="H729" s="18" t="inlineStr">
        <is>
          <t>EI</t>
        </is>
      </c>
      <c r="I729" s="18">
        <f>IF(H729="ILF",10,IF(H729="EIF",7,IF(H729="EI",4,IF(H729="EO",5,IF(H729="EQ",4,"")))))</f>
        <v/>
      </c>
      <c r="J729" s="18" t="inlineStr">
        <is>
          <t>低</t>
        </is>
      </c>
      <c r="K729" s="18">
        <f>IF(J729="高",0.33,IF(J729="中",0.67,IF(J729="低",1,"")))</f>
        <v/>
      </c>
      <c r="L729" s="18" t="inlineStr">
        <is>
          <t>新增</t>
        </is>
      </c>
      <c r="M729" s="18">
        <f>IF(L729="新增",1,IF(L729="修改",0.8,IF(L729="删除",0.2,"")))</f>
        <v/>
      </c>
      <c r="N729" s="18">
        <f>I729*K729*M729</f>
        <v/>
      </c>
    </row>
    <row r="730" ht="19" customHeight="1" s="1">
      <c r="B730" s="16" t="n">
        <v>725</v>
      </c>
      <c r="C730" s="16" t="inlineStr">
        <is>
          <t>油气生产运行综合监控与多维数据分析看板服务</t>
        </is>
      </c>
      <c r="D730" s="16" t="inlineStr">
        <is>
          <t>管理驾驶舱</t>
        </is>
      </c>
      <c r="E730" s="16" t="inlineStr">
        <is>
          <t>运营分析服务</t>
        </is>
      </c>
      <c r="F730" s="16" t="inlineStr">
        <is>
          <t>运营统计分析报表</t>
        </is>
      </c>
      <c r="G730" s="17" t="inlineStr">
        <is>
          <t xml:space="preserve"> 提供运营统计分析报表服务</t>
        </is>
      </c>
      <c r="H730" s="18" t="inlineStr">
        <is>
          <t>EI</t>
        </is>
      </c>
      <c r="I730" s="18">
        <f>IF(H730="ILF",10,IF(H730="EIF",7,IF(H730="EI",4,IF(H730="EO",5,IF(H730="EQ",4,"")))))</f>
        <v/>
      </c>
      <c r="J730" s="18" t="inlineStr">
        <is>
          <t>低</t>
        </is>
      </c>
      <c r="K730" s="18">
        <f>IF(J730="高",0.33,IF(J730="中",0.67,IF(J730="低",1,"")))</f>
        <v/>
      </c>
      <c r="L730" s="18" t="inlineStr">
        <is>
          <t>新增</t>
        </is>
      </c>
      <c r="M730" s="18">
        <f>IF(L730="新增",1,IF(L730="修改",0.8,IF(L730="删除",0.2,"")))</f>
        <v/>
      </c>
      <c r="N730" s="18">
        <f>I730*K730*M730</f>
        <v/>
      </c>
    </row>
    <row r="731" ht="19" customHeight="1" s="1">
      <c r="B731" s="16" t="n">
        <v>726</v>
      </c>
      <c r="C731" s="16" t="inlineStr">
        <is>
          <t>油气生产运行综合监控与多维数据分析看板服务</t>
        </is>
      </c>
      <c r="D731" s="16" t="inlineStr">
        <is>
          <t>监控大屏服务</t>
        </is>
      </c>
      <c r="E731" s="16" t="inlineStr">
        <is>
          <t>大屏运维服务</t>
        </is>
      </c>
      <c r="F731" s="16" t="inlineStr">
        <is>
          <t>大屏权限配置</t>
        </is>
      </c>
      <c r="G731" s="17" t="inlineStr">
        <is>
          <t xml:space="preserve"> 提供大屏访问权限配置服务</t>
        </is>
      </c>
      <c r="H731" s="18" t="inlineStr">
        <is>
          <t>EI</t>
        </is>
      </c>
      <c r="I731" s="18">
        <f>IF(H731="ILF",10,IF(H731="EIF",7,IF(H731="EI",4,IF(H731="EO",5,IF(H731="EQ",4,"")))))</f>
        <v/>
      </c>
      <c r="J731" s="18" t="inlineStr">
        <is>
          <t>低</t>
        </is>
      </c>
      <c r="K731" s="18">
        <f>IF(J731="高",0.33,IF(J731="中",0.67,IF(J731="低",1,"")))</f>
        <v/>
      </c>
      <c r="L731" s="18" t="inlineStr">
        <is>
          <t>新增</t>
        </is>
      </c>
      <c r="M731" s="18">
        <f>IF(L731="新增",1,IF(L731="修改",0.8,IF(L731="删除",0.2,"")))</f>
        <v/>
      </c>
      <c r="N731" s="18">
        <f>I731*K731*M731</f>
        <v/>
      </c>
    </row>
    <row r="732" ht="19" customHeight="1" s="1">
      <c r="B732" s="16" t="n">
        <v>727</v>
      </c>
      <c r="C732" s="16" t="inlineStr">
        <is>
          <t>油气生产运行综合监控与多维数据分析看板服务</t>
        </is>
      </c>
      <c r="D732" s="16" t="inlineStr">
        <is>
          <t>监控大屏服务</t>
        </is>
      </c>
      <c r="E732" s="16" t="inlineStr">
        <is>
          <t>Dashboard</t>
        </is>
      </c>
      <c r="F732" s="16" t="inlineStr">
        <is>
          <t>设备状态</t>
        </is>
      </c>
      <c r="G732" s="17" t="inlineStr">
        <is>
          <t xml:space="preserve"> 提供在线/离线数量/状态分布/健康度热力图Dashboard配置</t>
        </is>
      </c>
      <c r="H732" s="18" t="inlineStr">
        <is>
          <t>EI</t>
        </is>
      </c>
      <c r="I732" s="18">
        <f>IF(H732="ILF",10,IF(H732="EIF",7,IF(H732="EI",4,IF(H732="EO",5,IF(H732="EQ",4,"")))))</f>
        <v/>
      </c>
      <c r="J732" s="18" t="inlineStr">
        <is>
          <t>低</t>
        </is>
      </c>
      <c r="K732" s="18">
        <f>IF(J732="高",0.33,IF(J732="中",0.67,IF(J732="低",1,"")))</f>
        <v/>
      </c>
      <c r="L732" s="18" t="inlineStr">
        <is>
          <t>新增</t>
        </is>
      </c>
      <c r="M732" s="18">
        <f>IF(L732="新增",1,IF(L732="修改",0.8,IF(L732="删除",0.2,"")))</f>
        <v/>
      </c>
      <c r="N732" s="18">
        <f>I732*K732*M732</f>
        <v/>
      </c>
    </row>
    <row r="733" ht="19" customHeight="1" s="1">
      <c r="B733" s="16" t="n">
        <v>728</v>
      </c>
      <c r="C733" s="16" t="inlineStr">
        <is>
          <t>油气生产运行综合监控与多维数据分析看板服务</t>
        </is>
      </c>
      <c r="D733" s="16" t="inlineStr">
        <is>
          <t>监控大屏服务</t>
        </is>
      </c>
      <c r="E733" s="16" t="inlineStr">
        <is>
          <t>Dashboard</t>
        </is>
      </c>
      <c r="F733" s="16" t="inlineStr">
        <is>
          <t>采集性能</t>
        </is>
      </c>
      <c r="G733" s="17" t="inlineStr">
        <is>
          <t xml:space="preserve"> 提供成功率/延迟p50/p90/p99/吞吐量曲线Dashboard配置</t>
        </is>
      </c>
      <c r="H733" s="18" t="inlineStr">
        <is>
          <t>EI</t>
        </is>
      </c>
      <c r="I733" s="18">
        <f>IF(H733="ILF",10,IF(H733="EIF",7,IF(H733="EI",4,IF(H733="EO",5,IF(H733="EQ",4,"")))))</f>
        <v/>
      </c>
      <c r="J733" s="18" t="inlineStr">
        <is>
          <t>低</t>
        </is>
      </c>
      <c r="K733" s="18">
        <f>IF(J733="高",0.33,IF(J733="中",0.67,IF(J733="低",1,"")))</f>
        <v/>
      </c>
      <c r="L733" s="18" t="inlineStr">
        <is>
          <t>新增</t>
        </is>
      </c>
      <c r="M733" s="18">
        <f>IF(L733="新增",1,IF(L733="修改",0.8,IF(L733="删除",0.2,"")))</f>
        <v/>
      </c>
      <c r="N733" s="18">
        <f>I733*K733*M733</f>
        <v/>
      </c>
    </row>
    <row r="734" ht="19" customHeight="1" s="1">
      <c r="B734" s="16" t="n">
        <v>729</v>
      </c>
      <c r="C734" s="16" t="inlineStr">
        <is>
          <t>油气生产运行综合监控与多维数据分析看板服务</t>
        </is>
      </c>
      <c r="D734" s="16" t="inlineStr">
        <is>
          <t>监控大屏服务</t>
        </is>
      </c>
      <c r="E734" s="16" t="inlineStr">
        <is>
          <t>Dashboard</t>
        </is>
      </c>
      <c r="F734" s="16" t="inlineStr">
        <is>
          <t>告警统计</t>
        </is>
      </c>
      <c r="G734" s="17" t="inlineStr">
        <is>
          <t xml:space="preserve"> 提供告警数量/级别分布/误报率趋势Dashboard配置</t>
        </is>
      </c>
      <c r="H734" s="18" t="inlineStr">
        <is>
          <t>EI</t>
        </is>
      </c>
      <c r="I734" s="18">
        <f>IF(H734="ILF",10,IF(H734="EIF",7,IF(H734="EI",4,IF(H734="EO",5,IF(H734="EQ",4,"")))))</f>
        <v/>
      </c>
      <c r="J734" s="18" t="inlineStr">
        <is>
          <t>低</t>
        </is>
      </c>
      <c r="K734" s="18">
        <f>IF(J734="高",0.33,IF(J734="中",0.67,IF(J734="低",1,"")))</f>
        <v/>
      </c>
      <c r="L734" s="18" t="inlineStr">
        <is>
          <t>新增</t>
        </is>
      </c>
      <c r="M734" s="18">
        <f>IF(L734="新增",1,IF(L734="修改",0.8,IF(L734="删除",0.2,"")))</f>
        <v/>
      </c>
      <c r="N734" s="18">
        <f>I734*K734*M734</f>
        <v/>
      </c>
    </row>
    <row r="735" ht="19" customHeight="1" s="1">
      <c r="B735" s="16" t="n">
        <v>730</v>
      </c>
      <c r="C735" s="16" t="inlineStr">
        <is>
          <t>油气生产运行综合监控与多维数据分析看板服务</t>
        </is>
      </c>
      <c r="D735" s="16" t="inlineStr">
        <is>
          <t>监控大屏服务</t>
        </is>
      </c>
      <c r="E735" s="16" t="inlineStr">
        <is>
          <t>Dashboard</t>
        </is>
      </c>
      <c r="F735" s="16" t="inlineStr">
        <is>
          <t>流式计算</t>
        </is>
      </c>
      <c r="G735" s="17" t="inlineStr">
        <is>
          <t xml:space="preserve"> 提供算法执行次数/规则命中率/计算延迟Dashboard配置</t>
        </is>
      </c>
      <c r="H735" s="18" t="inlineStr">
        <is>
          <t>EI</t>
        </is>
      </c>
      <c r="I735" s="18">
        <f>IF(H735="ILF",10,IF(H735="EIF",7,IF(H735="EI",4,IF(H735="EO",5,IF(H735="EQ",4,"")))))</f>
        <v/>
      </c>
      <c r="J735" s="18" t="inlineStr">
        <is>
          <t>低</t>
        </is>
      </c>
      <c r="K735" s="18">
        <f>IF(J735="高",0.33,IF(J735="中",0.67,IF(J735="低",1,"")))</f>
        <v/>
      </c>
      <c r="L735" s="18" t="inlineStr">
        <is>
          <t>新增</t>
        </is>
      </c>
      <c r="M735" s="18">
        <f>IF(L735="新增",1,IF(L735="修改",0.8,IF(L735="删除",0.2,"")))</f>
        <v/>
      </c>
      <c r="N735" s="18">
        <f>I735*K735*M735</f>
        <v/>
      </c>
    </row>
    <row r="736" ht="19" customHeight="1" s="1">
      <c r="B736" s="16" t="n">
        <v>731</v>
      </c>
      <c r="C736" s="16" t="inlineStr">
        <is>
          <t>油气生产运行综合监控与多维数据分析看板服务</t>
        </is>
      </c>
      <c r="D736" s="16" t="inlineStr">
        <is>
          <t>监控大屏服务</t>
        </is>
      </c>
      <c r="E736" s="16" t="inlineStr">
        <is>
          <t>Dashboard</t>
        </is>
      </c>
      <c r="F736" s="16" t="inlineStr">
        <is>
          <t>存储容量</t>
        </is>
      </c>
      <c r="G736" s="17" t="inlineStr">
        <is>
          <t xml:space="preserve"> 提供各存储介质使用率和增长趋势Dashboard配置</t>
        </is>
      </c>
      <c r="H736" s="18" t="inlineStr">
        <is>
          <t>EI</t>
        </is>
      </c>
      <c r="I736" s="18">
        <f>IF(H736="ILF",10,IF(H736="EIF",7,IF(H736="EI",4,IF(H736="EO",5,IF(H736="EQ",4,"")))))</f>
        <v/>
      </c>
      <c r="J736" s="18" t="inlineStr">
        <is>
          <t>低</t>
        </is>
      </c>
      <c r="K736" s="18">
        <f>IF(J736="高",0.33,IF(J736="中",0.67,IF(J736="低",1,"")))</f>
        <v/>
      </c>
      <c r="L736" s="18" t="inlineStr">
        <is>
          <t>新增</t>
        </is>
      </c>
      <c r="M736" s="18">
        <f>IF(L736="新增",1,IF(L736="修改",0.8,IF(L736="删除",0.2,"")))</f>
        <v/>
      </c>
      <c r="N736" s="18">
        <f>I736*K736*M736</f>
        <v/>
      </c>
    </row>
    <row r="737" ht="19" customHeight="1" s="1">
      <c r="B737" s="16" t="n">
        <v>732</v>
      </c>
      <c r="C737" s="16" t="inlineStr">
        <is>
          <t>油气生产运行综合监控与多维数据分析看板服务</t>
        </is>
      </c>
      <c r="D737" s="16" t="inlineStr">
        <is>
          <t>监控大屏服务</t>
        </is>
      </c>
      <c r="E737" s="16" t="inlineStr">
        <is>
          <t>Dashboard</t>
        </is>
      </c>
      <c r="F737" s="16" t="inlineStr">
        <is>
          <t>质量评分</t>
        </is>
      </c>
      <c r="G737" s="17" t="inlineStr">
        <is>
          <t xml:space="preserve"> 提供完整率/准确率/时效性质量评分Dashboard配置</t>
        </is>
      </c>
      <c r="H737" s="18" t="inlineStr">
        <is>
          <t>EI</t>
        </is>
      </c>
      <c r="I737" s="18">
        <f>IF(H737="ILF",10,IF(H737="EIF",7,IF(H737="EI",4,IF(H737="EO",5,IF(H737="EQ",4,"")))))</f>
        <v/>
      </c>
      <c r="J737" s="18" t="inlineStr">
        <is>
          <t>低</t>
        </is>
      </c>
      <c r="K737" s="18">
        <f>IF(J737="高",0.33,IF(J737="中",0.67,IF(J737="低",1,"")))</f>
        <v/>
      </c>
      <c r="L737" s="18" t="inlineStr">
        <is>
          <t>新增</t>
        </is>
      </c>
      <c r="M737" s="18">
        <f>IF(L737="新增",1,IF(L737="修改",0.8,IF(L737="删除",0.2,"")))</f>
        <v/>
      </c>
      <c r="N737" s="18">
        <f>I737*K737*M737</f>
        <v/>
      </c>
    </row>
    <row r="738" ht="19" customHeight="1" s="1">
      <c r="B738" s="16" t="n">
        <v>733</v>
      </c>
      <c r="C738" s="16" t="inlineStr">
        <is>
          <t>油气生产运行综合监控与多维数据分析看板服务</t>
        </is>
      </c>
      <c r="D738" s="16" t="inlineStr">
        <is>
          <t>监控大屏服务</t>
        </is>
      </c>
      <c r="E738" s="16" t="inlineStr">
        <is>
          <t>Dashboard</t>
        </is>
      </c>
      <c r="F738" s="16" t="inlineStr">
        <is>
          <t>告警响应</t>
        </is>
      </c>
      <c r="G738" s="17" t="inlineStr">
        <is>
          <t xml:space="preserve"> 提供告警响应时间趋势和达标率Dashboard配置</t>
        </is>
      </c>
      <c r="H738" s="18" t="inlineStr">
        <is>
          <t>EI</t>
        </is>
      </c>
      <c r="I738" s="18">
        <f>IF(H738="ILF",10,IF(H738="EIF",7,IF(H738="EI",4,IF(H738="EO",5,IF(H738="EQ",4,"")))))</f>
        <v/>
      </c>
      <c r="J738" s="18" t="inlineStr">
        <is>
          <t>低</t>
        </is>
      </c>
      <c r="K738" s="18">
        <f>IF(J738="高",0.33,IF(J738="中",0.67,IF(J738="低",1,"")))</f>
        <v/>
      </c>
      <c r="L738" s="18" t="inlineStr">
        <is>
          <t>新增</t>
        </is>
      </c>
      <c r="M738" s="18">
        <f>IF(L738="新增",1,IF(L738="修改",0.8,IF(L738="删除",0.2,"")))</f>
        <v/>
      </c>
      <c r="N738" s="18">
        <f>I738*K738*M738</f>
        <v/>
      </c>
    </row>
    <row r="739" ht="19" customHeight="1" s="1">
      <c r="B739" s="16" t="n">
        <v>734</v>
      </c>
      <c r="C739" s="16" t="inlineStr">
        <is>
          <t>油气生产运行综合监控与多维数据分析看板服务</t>
        </is>
      </c>
      <c r="D739" s="16" t="inlineStr">
        <is>
          <t>监控大屏服务</t>
        </is>
      </c>
      <c r="E739" s="16" t="inlineStr">
        <is>
          <t>Dashboard</t>
        </is>
      </c>
      <c r="F739" s="16" t="inlineStr">
        <is>
          <t>工单效率</t>
        </is>
      </c>
      <c r="G739" s="17" t="inlineStr">
        <is>
          <t xml:space="preserve"> 提供工单处置效率和闭环率Dashboard配置</t>
        </is>
      </c>
      <c r="H739" s="18" t="inlineStr">
        <is>
          <t>EI</t>
        </is>
      </c>
      <c r="I739" s="18">
        <f>IF(H739="ILF",10,IF(H739="EIF",7,IF(H739="EI",4,IF(H739="EO",5,IF(H739="EQ",4,"")))))</f>
        <v/>
      </c>
      <c r="J739" s="18" t="inlineStr">
        <is>
          <t>低</t>
        </is>
      </c>
      <c r="K739" s="18">
        <f>IF(J739="高",0.33,IF(J739="中",0.67,IF(J739="低",1,"")))</f>
        <v/>
      </c>
      <c r="L739" s="18" t="inlineStr">
        <is>
          <t>新增</t>
        </is>
      </c>
      <c r="M739" s="18">
        <f>IF(L739="新增",1,IF(L739="修改",0.8,IF(L739="删除",0.2,"")))</f>
        <v/>
      </c>
      <c r="N739" s="18">
        <f>I739*K739*M739</f>
        <v/>
      </c>
    </row>
    <row r="740" ht="19" customHeight="1" s="1">
      <c r="B740" s="16" t="n">
        <v>735</v>
      </c>
      <c r="C740" s="16" t="inlineStr">
        <is>
          <t>油气生产运行综合监控与多维数据分析看板服务</t>
        </is>
      </c>
      <c r="D740" s="16" t="inlineStr">
        <is>
          <t>监控大屏服务</t>
        </is>
      </c>
      <c r="E740" s="16" t="inlineStr">
        <is>
          <t>Dashboard</t>
        </is>
      </c>
      <c r="F740" s="16" t="inlineStr">
        <is>
          <t>系统资源</t>
        </is>
      </c>
      <c r="G740" s="17" t="inlineStr">
        <is>
          <t xml:space="preserve"> 提供CPU/内存/网络/磁盘系统资源Dashboard配置</t>
        </is>
      </c>
      <c r="H740" s="18" t="inlineStr">
        <is>
          <t>EI</t>
        </is>
      </c>
      <c r="I740" s="18">
        <f>IF(H740="ILF",10,IF(H740="EIF",7,IF(H740="EI",4,IF(H740="EO",5,IF(H740="EQ",4,"")))))</f>
        <v/>
      </c>
      <c r="J740" s="18" t="inlineStr">
        <is>
          <t>低</t>
        </is>
      </c>
      <c r="K740" s="18">
        <f>IF(J740="高",0.33,IF(J740="中",0.67,IF(J740="低",1,"")))</f>
        <v/>
      </c>
      <c r="L740" s="18" t="inlineStr">
        <is>
          <t>新增</t>
        </is>
      </c>
      <c r="M740" s="18">
        <f>IF(L740="新增",1,IF(L740="修改",0.8,IF(L740="删除",0.2,"")))</f>
        <v/>
      </c>
      <c r="N740" s="18">
        <f>I740*K740*M740</f>
        <v/>
      </c>
    </row>
    <row r="741" ht="14" customHeight="1" s="1">
      <c r="B741" s="16" t="n">
        <v>736</v>
      </c>
      <c r="C741" s="16" t="inlineStr">
        <is>
          <t>油气生产运行综合监控与多维数据分析看板服务</t>
        </is>
      </c>
      <c r="D741" s="16" t="inlineStr">
        <is>
          <t>监控大屏服务</t>
        </is>
      </c>
      <c r="E741" s="16" t="inlineStr">
        <is>
          <t>Dashboard</t>
        </is>
      </c>
      <c r="F741" s="16" t="inlineStr">
        <is>
          <t>操作审计</t>
        </is>
      </c>
      <c r="G741" s="17" t="inlineStr">
        <is>
          <t xml:space="preserve"> 提供用户操作日志审计Dashboard配置</t>
        </is>
      </c>
      <c r="H741" s="18" t="inlineStr">
        <is>
          <t>EI</t>
        </is>
      </c>
      <c r="I741" s="18">
        <f>IF(H741="ILF",10,IF(H741="EIF",7,IF(H741="EI",4,IF(H741="EO",5,IF(H741="EQ",4,"")))))</f>
        <v/>
      </c>
      <c r="J741" s="18" t="inlineStr">
        <is>
          <t>中</t>
        </is>
      </c>
      <c r="K741" s="18">
        <f>IF(J741="高",0.33,IF(J741="中",0.67,IF(J741="低",1,"")))</f>
        <v/>
      </c>
      <c r="L741" s="18" t="inlineStr">
        <is>
          <t>新增</t>
        </is>
      </c>
      <c r="M741" s="18">
        <f>IF(L741="新增",1,IF(L741="修改",0.8,IF(L741="删除",0.2,"")))</f>
        <v/>
      </c>
      <c r="N741" s="18">
        <f>I741*K741*M741</f>
        <v/>
      </c>
    </row>
    <row r="742" ht="14.4" customHeight="1" s="1">
      <c r="B742" s="16" t="n">
        <v>737</v>
      </c>
      <c r="C742" s="16" t="inlineStr">
        <is>
          <t>油气生产运行综合监控与多维数据分析看板服务</t>
        </is>
      </c>
      <c r="D742" s="16" t="inlineStr">
        <is>
          <t>监控大屏服务</t>
        </is>
      </c>
      <c r="E742" s="16" t="inlineStr">
        <is>
          <t>会话跟踪</t>
        </is>
      </c>
      <c r="F742" s="16" t="inlineStr">
        <is>
          <t>独立跟踪</t>
        </is>
      </c>
      <c r="G742" s="17" t="inlineStr">
        <is>
          <t xml:space="preserve"> 提供每台RTU独立收发报文/丢包率/时延监控服务</t>
        </is>
      </c>
      <c r="H742" s="18" t="inlineStr">
        <is>
          <t>EI</t>
        </is>
      </c>
      <c r="I742" s="18">
        <f>IF(H742="ILF",10,IF(H742="EIF",7,IF(H742="EI",4,IF(H742="EO",5,IF(H742="EQ",4,"")))))</f>
        <v/>
      </c>
      <c r="J742" s="18" t="inlineStr">
        <is>
          <t>中</t>
        </is>
      </c>
      <c r="K742" s="18">
        <f>IF(J742="高",0.33,IF(J742="中",0.67,IF(J742="低",1,"")))</f>
        <v/>
      </c>
      <c r="L742" s="18" t="inlineStr">
        <is>
          <t>新增</t>
        </is>
      </c>
      <c r="M742" s="18">
        <f>IF(L742="新增",1,IF(L742="修改",0.8,IF(L742="删除",0.2,"")))</f>
        <v/>
      </c>
      <c r="N742" s="18">
        <f>I742*K742*M742</f>
        <v/>
      </c>
    </row>
    <row r="743" ht="14.4" customHeight="1" s="1">
      <c r="B743" s="16" t="n">
        <v>738</v>
      </c>
      <c r="C743" s="16" t="inlineStr">
        <is>
          <t>油气生产运行综合监控与多维数据分析看板服务</t>
        </is>
      </c>
      <c r="D743" s="16" t="inlineStr">
        <is>
          <t>监控大屏服务</t>
        </is>
      </c>
      <c r="E743" s="16" t="inlineStr">
        <is>
          <t>会话跟踪</t>
        </is>
      </c>
      <c r="F743" s="16" t="inlineStr">
        <is>
          <t>三级钻取</t>
        </is>
      </c>
      <c r="G743" s="17" t="inlineStr">
        <is>
          <t xml:space="preserve"> 提供作业区→网关→井号三级下钻访问服务</t>
        </is>
      </c>
      <c r="H743" s="18" t="inlineStr">
        <is>
          <t>EI</t>
        </is>
      </c>
      <c r="I743" s="18">
        <f>IF(H743="ILF",10,IF(H743="EIF",7,IF(H743="EI",4,IF(H743="EO",5,IF(H743="EQ",4,"")))))</f>
        <v/>
      </c>
      <c r="J743" s="18" t="inlineStr">
        <is>
          <t>中</t>
        </is>
      </c>
      <c r="K743" s="18">
        <f>IF(J743="高",0.33,IF(J743="中",0.67,IF(J743="低",1,"")))</f>
        <v/>
      </c>
      <c r="L743" s="18" t="inlineStr">
        <is>
          <t>新增</t>
        </is>
      </c>
      <c r="M743" s="18">
        <f>IF(L743="新增",1,IF(L743="修改",0.8,IF(L743="删除",0.2,"")))</f>
        <v/>
      </c>
      <c r="N743" s="18">
        <f>I743*K743*M743</f>
        <v/>
      </c>
    </row>
    <row r="744" ht="14.4" customHeight="1" s="1">
      <c r="B744" s="16" t="n">
        <v>739</v>
      </c>
      <c r="C744" s="16" t="inlineStr">
        <is>
          <t>油气生产运行综合监控与多维数据分析看板服务</t>
        </is>
      </c>
      <c r="D744" s="16" t="inlineStr">
        <is>
          <t>监控大屏服务</t>
        </is>
      </c>
      <c r="E744" s="16" t="inlineStr">
        <is>
          <t>会话跟踪</t>
        </is>
      </c>
      <c r="F744" s="16" t="inlineStr">
        <is>
          <t>连续失败</t>
        </is>
      </c>
      <c r="G744" s="17" t="inlineStr">
        <is>
          <t xml:space="preserve"> 提供RTU连续3次注册失败触发告警服务</t>
        </is>
      </c>
      <c r="H744" s="18" t="inlineStr">
        <is>
          <t>EI</t>
        </is>
      </c>
      <c r="I744" s="18">
        <f>IF(H744="ILF",10,IF(H744="EIF",7,IF(H744="EI",4,IF(H744="EO",5,IF(H744="EQ",4,"")))))</f>
        <v/>
      </c>
      <c r="J744" s="18" t="inlineStr">
        <is>
          <t>中</t>
        </is>
      </c>
      <c r="K744" s="18">
        <f>IF(J744="高",0.33,IF(J744="中",0.67,IF(J744="低",1,"")))</f>
        <v/>
      </c>
      <c r="L744" s="18" t="inlineStr">
        <is>
          <t>新增</t>
        </is>
      </c>
      <c r="M744" s="18">
        <f>IF(L744="新增",1,IF(L744="修改",0.8,IF(L744="删除",0.2,"")))</f>
        <v/>
      </c>
      <c r="N744" s="18">
        <f>I744*K744*M744</f>
        <v/>
      </c>
    </row>
    <row r="745" ht="14.4" customHeight="1" s="1">
      <c r="B745" s="16" t="n">
        <v>740</v>
      </c>
      <c r="C745" s="16" t="inlineStr">
        <is>
          <t>油气生产运行综合监控与多维数据分析看板服务</t>
        </is>
      </c>
      <c r="D745" s="16" t="inlineStr">
        <is>
          <t>监控大屏服务</t>
        </is>
      </c>
      <c r="E745" s="16" t="inlineStr">
        <is>
          <t>会话跟踪</t>
        </is>
      </c>
      <c r="F745" s="16" t="inlineStr">
        <is>
          <t>时长统计</t>
        </is>
      </c>
      <c r="G745" s="17" t="inlineStr">
        <is>
          <t xml:space="preserve"> 提供设备在线时长/离线时长/重连次数统计服务</t>
        </is>
      </c>
      <c r="H745" s="18" t="inlineStr">
        <is>
          <t>EI</t>
        </is>
      </c>
      <c r="I745" s="18">
        <f>IF(H745="ILF",10,IF(H745="EIF",7,IF(H745="EI",4,IF(H745="EO",5,IF(H745="EQ",4,"")))))</f>
        <v/>
      </c>
      <c r="J745" s="18" t="inlineStr">
        <is>
          <t>中</t>
        </is>
      </c>
      <c r="K745" s="18">
        <f>IF(J745="高",0.33,IF(J745="中",0.67,IF(J745="低",1,"")))</f>
        <v/>
      </c>
      <c r="L745" s="18" t="inlineStr">
        <is>
          <t>新增</t>
        </is>
      </c>
      <c r="M745" s="18">
        <f>IF(L745="新增",1,IF(L745="修改",0.8,IF(L745="删除",0.2,"")))</f>
        <v/>
      </c>
      <c r="N745" s="18">
        <f>I745*K745*M745</f>
        <v/>
      </c>
    </row>
    <row r="746" ht="14.4" customHeight="1" s="1">
      <c r="B746" s="16" t="n">
        <v>741</v>
      </c>
      <c r="C746" s="16" t="inlineStr">
        <is>
          <t>油气生产运行综合监控与多维数据分析看板服务</t>
        </is>
      </c>
      <c r="D746" s="16" t="inlineStr">
        <is>
          <t>监控大屏服务</t>
        </is>
      </c>
      <c r="E746" s="16" t="inlineStr">
        <is>
          <t>会话跟踪</t>
        </is>
      </c>
      <c r="F746" s="16" t="inlineStr">
        <is>
          <t>质量评分</t>
        </is>
      </c>
      <c r="G746" s="17" t="inlineStr">
        <is>
          <t xml:space="preserve"> 提供每台RTU通信质量综合评分服务</t>
        </is>
      </c>
      <c r="H746" s="18" t="inlineStr">
        <is>
          <t>EI</t>
        </is>
      </c>
      <c r="I746" s="18">
        <f>IF(H746="ILF",10,IF(H746="EIF",7,IF(H746="EI",4,IF(H746="EO",5,IF(H746="EQ",4,"")))))</f>
        <v/>
      </c>
      <c r="J746" s="18" t="inlineStr">
        <is>
          <t>中</t>
        </is>
      </c>
      <c r="K746" s="18">
        <f>IF(J746="高",0.33,IF(J746="中",0.67,IF(J746="低",1,"")))</f>
        <v/>
      </c>
      <c r="L746" s="18" t="inlineStr">
        <is>
          <t>新增</t>
        </is>
      </c>
      <c r="M746" s="18">
        <f>IF(L746="新增",1,IF(L746="修改",0.8,IF(L746="删除",0.2,"")))</f>
        <v/>
      </c>
      <c r="N746" s="18">
        <f>I746*K746*M746</f>
        <v/>
      </c>
    </row>
    <row r="747" ht="14.4" customHeight="1" s="1">
      <c r="B747" s="16" t="n">
        <v>742</v>
      </c>
      <c r="C747" s="16" t="inlineStr">
        <is>
          <t>油气生产运行综合监控与多维数据分析看板服务</t>
        </is>
      </c>
      <c r="D747" s="16" t="inlineStr">
        <is>
          <t>监控大屏服务</t>
        </is>
      </c>
      <c r="E747" s="16" t="inlineStr">
        <is>
          <t>会话跟踪</t>
        </is>
      </c>
      <c r="F747" s="16" t="inlineStr">
        <is>
          <t>中断记录</t>
        </is>
      </c>
      <c r="G747" s="17" t="inlineStr">
        <is>
          <t xml:space="preserve"> 提供设备连接中断历史事件记录服务</t>
        </is>
      </c>
      <c r="H747" s="18" t="inlineStr">
        <is>
          <t>EI</t>
        </is>
      </c>
      <c r="I747" s="18">
        <f>IF(H747="ILF",10,IF(H747="EIF",7,IF(H747="EI",4,IF(H747="EO",5,IF(H747="EQ",4,"")))))</f>
        <v/>
      </c>
      <c r="J747" s="18" t="inlineStr">
        <is>
          <t>中</t>
        </is>
      </c>
      <c r="K747" s="18">
        <f>IF(J747="高",0.33,IF(J747="中",0.67,IF(J747="低",1,"")))</f>
        <v/>
      </c>
      <c r="L747" s="18" t="inlineStr">
        <is>
          <t>新增</t>
        </is>
      </c>
      <c r="M747" s="18">
        <f>IF(L747="新增",1,IF(L747="修改",0.8,IF(L747="删除",0.2,"")))</f>
        <v/>
      </c>
      <c r="N747" s="18">
        <f>I747*K747*M747</f>
        <v/>
      </c>
    </row>
    <row r="748" ht="14.4" customHeight="1" s="1">
      <c r="B748" s="16" t="n">
        <v>743</v>
      </c>
      <c r="C748" s="16" t="inlineStr">
        <is>
          <t>油气生产运行综合监控与多维数据分析看板服务</t>
        </is>
      </c>
      <c r="D748" s="16" t="inlineStr">
        <is>
          <t>监控大屏服务</t>
        </is>
      </c>
      <c r="E748" s="16" t="inlineStr">
        <is>
          <t>会话跟踪</t>
        </is>
      </c>
      <c r="F748" s="16" t="inlineStr">
        <is>
          <t>异常告警</t>
        </is>
      </c>
      <c r="G748" s="17" t="inlineStr">
        <is>
          <t xml:space="preserve"> 提供设备会话异常实时告警服务</t>
        </is>
      </c>
      <c r="H748" s="18" t="inlineStr">
        <is>
          <t>EI</t>
        </is>
      </c>
      <c r="I748" s="18">
        <f>IF(H748="ILF",10,IF(H748="EIF",7,IF(H748="EI",4,IF(H748="EO",5,IF(H748="EQ",4,"")))))</f>
        <v/>
      </c>
      <c r="J748" s="18" t="inlineStr">
        <is>
          <t>中</t>
        </is>
      </c>
      <c r="K748" s="18">
        <f>IF(J748="高",0.33,IF(J748="中",0.67,IF(J748="低",1,"")))</f>
        <v/>
      </c>
      <c r="L748" s="18" t="inlineStr">
        <is>
          <t>新增</t>
        </is>
      </c>
      <c r="M748" s="18">
        <f>IF(L748="新增",1,IF(L748="修改",0.8,IF(L748="删除",0.2,"")))</f>
        <v/>
      </c>
      <c r="N748" s="18">
        <f>I748*K748*M748</f>
        <v/>
      </c>
    </row>
    <row r="749" ht="14.4" customHeight="1" s="1">
      <c r="B749" s="16" t="n">
        <v>744</v>
      </c>
      <c r="C749" s="16" t="inlineStr">
        <is>
          <t>油气生产运行综合监控与多维数据分析看板服务</t>
        </is>
      </c>
      <c r="D749" s="16" t="inlineStr">
        <is>
          <t>监控大屏服务</t>
        </is>
      </c>
      <c r="E749" s="16" t="inlineStr">
        <is>
          <t>会话跟踪</t>
        </is>
      </c>
      <c r="F749" s="16" t="inlineStr">
        <is>
          <t>会话查询</t>
        </is>
      </c>
      <c r="G749" s="17" t="inlineStr">
        <is>
          <t xml:space="preserve"> 提供设备会话历史事件查询服务</t>
        </is>
      </c>
      <c r="H749" s="18" t="inlineStr">
        <is>
          <t>EI</t>
        </is>
      </c>
      <c r="I749" s="18">
        <f>IF(H749="ILF",10,IF(H749="EIF",7,IF(H749="EI",4,IF(H749="EO",5,IF(H749="EQ",4,"")))))</f>
        <v/>
      </c>
      <c r="J749" s="18" t="inlineStr">
        <is>
          <t>中</t>
        </is>
      </c>
      <c r="K749" s="18">
        <f>IF(J749="高",0.33,IF(J749="中",0.67,IF(J749="低",1,"")))</f>
        <v/>
      </c>
      <c r="L749" s="18" t="inlineStr">
        <is>
          <t>新增</t>
        </is>
      </c>
      <c r="M749" s="18">
        <f>IF(L749="新增",1,IF(L749="修改",0.8,IF(L749="删除",0.2,"")))</f>
        <v/>
      </c>
      <c r="N749" s="18">
        <f>I749*K749*M749</f>
        <v/>
      </c>
    </row>
    <row r="750" ht="14.4" customHeight="1" s="1">
      <c r="B750" s="16" t="n">
        <v>745</v>
      </c>
      <c r="C750" s="16" t="inlineStr">
        <is>
          <t>油气生产运行综合监控与多维数据分析看板服务</t>
        </is>
      </c>
      <c r="D750" s="16" t="inlineStr">
        <is>
          <t>可视化配置</t>
        </is>
      </c>
      <c r="E750" s="16" t="inlineStr">
        <is>
          <t>拖拽图表</t>
        </is>
      </c>
      <c r="F750" s="16" t="inlineStr">
        <is>
          <t>折线图</t>
        </is>
      </c>
      <c r="G750" s="17" t="inlineStr">
        <is>
          <t xml:space="preserve"> 提供拖拽式折线图数据源和时间范围配置服务</t>
        </is>
      </c>
      <c r="H750" s="18" t="inlineStr">
        <is>
          <t>EI</t>
        </is>
      </c>
      <c r="I750" s="18">
        <f>IF(H750="ILF",10,IF(H750="EIF",7,IF(H750="EI",4,IF(H750="EO",5,IF(H750="EQ",4,"")))))</f>
        <v/>
      </c>
      <c r="J750" s="18" t="inlineStr">
        <is>
          <t>中</t>
        </is>
      </c>
      <c r="K750" s="18">
        <f>IF(J750="高",0.33,IF(J750="中",0.67,IF(J750="低",1,"")))</f>
        <v/>
      </c>
      <c r="L750" s="18" t="inlineStr">
        <is>
          <t>新增</t>
        </is>
      </c>
      <c r="M750" s="18">
        <f>IF(L750="新增",1,IF(L750="修改",0.8,IF(L750="删除",0.2,"")))</f>
        <v/>
      </c>
      <c r="N750" s="18">
        <f>I750*K750*M750</f>
        <v/>
      </c>
    </row>
    <row r="751" ht="14.4" customHeight="1" s="1">
      <c r="B751" s="16" t="n">
        <v>746</v>
      </c>
      <c r="C751" s="16" t="inlineStr">
        <is>
          <t>油气生产运行综合监控与多维数据分析看板服务</t>
        </is>
      </c>
      <c r="D751" s="16" t="inlineStr">
        <is>
          <t>可视化配置</t>
        </is>
      </c>
      <c r="E751" s="16" t="inlineStr">
        <is>
          <t>拖拽图表</t>
        </is>
      </c>
      <c r="F751" s="16" t="inlineStr">
        <is>
          <t>柱状图</t>
        </is>
      </c>
      <c r="G751" s="17" t="inlineStr">
        <is>
          <t xml:space="preserve"> 提供拖拽式柱状图维度和度量配置服务</t>
        </is>
      </c>
      <c r="H751" s="18" t="inlineStr">
        <is>
          <t>EI</t>
        </is>
      </c>
      <c r="I751" s="18">
        <f>IF(H751="ILF",10,IF(H751="EIF",7,IF(H751="EI",4,IF(H751="EO",5,IF(H751="EQ",4,"")))))</f>
        <v/>
      </c>
      <c r="J751" s="18" t="inlineStr">
        <is>
          <t>中</t>
        </is>
      </c>
      <c r="K751" s="18">
        <f>IF(J751="高",0.33,IF(J751="中",0.67,IF(J751="低",1,"")))</f>
        <v/>
      </c>
      <c r="L751" s="18" t="inlineStr">
        <is>
          <t>新增</t>
        </is>
      </c>
      <c r="M751" s="18">
        <f>IF(L751="新增",1,IF(L751="修改",0.8,IF(L751="删除",0.2,"")))</f>
        <v/>
      </c>
      <c r="N751" s="18">
        <f>I751*K751*M751</f>
        <v/>
      </c>
    </row>
    <row r="752" ht="14.4" customHeight="1" s="1">
      <c r="B752" s="16" t="n">
        <v>747</v>
      </c>
      <c r="C752" s="16" t="inlineStr">
        <is>
          <t>油气生产运行综合监控与多维数据分析看板服务</t>
        </is>
      </c>
      <c r="D752" s="16" t="inlineStr">
        <is>
          <t>可视化配置</t>
        </is>
      </c>
      <c r="E752" s="16" t="inlineStr">
        <is>
          <t>拖拽图表</t>
        </is>
      </c>
      <c r="F752" s="16" t="inlineStr">
        <is>
          <t>饼图</t>
        </is>
      </c>
      <c r="G752" s="17" t="inlineStr">
        <is>
          <t xml:space="preserve"> 提供拖拽式饼图分类和数值配置服务</t>
        </is>
      </c>
      <c r="H752" s="18" t="inlineStr">
        <is>
          <t>EI</t>
        </is>
      </c>
      <c r="I752" s="18">
        <f>IF(H752="ILF",10,IF(H752="EIF",7,IF(H752="EI",4,IF(H752="EO",5,IF(H752="EQ",4,"")))))</f>
        <v/>
      </c>
      <c r="J752" s="18" t="inlineStr">
        <is>
          <t>中</t>
        </is>
      </c>
      <c r="K752" s="18">
        <f>IF(J752="高",0.33,IF(J752="中",0.67,IF(J752="低",1,"")))</f>
        <v/>
      </c>
      <c r="L752" s="18" t="inlineStr">
        <is>
          <t>新增</t>
        </is>
      </c>
      <c r="M752" s="18">
        <f>IF(L752="新增",1,IF(L752="修改",0.8,IF(L752="删除",0.2,"")))</f>
        <v/>
      </c>
      <c r="N752" s="18">
        <f>I752*K752*M752</f>
        <v/>
      </c>
    </row>
    <row r="753" ht="14.4" customHeight="1" s="1">
      <c r="B753" s="16" t="n">
        <v>748</v>
      </c>
      <c r="C753" s="16" t="inlineStr">
        <is>
          <t>油气生产运行综合监控与多维数据分析看板服务</t>
        </is>
      </c>
      <c r="D753" s="16" t="inlineStr">
        <is>
          <t>可视化配置</t>
        </is>
      </c>
      <c r="E753" s="16" t="inlineStr">
        <is>
          <t>拖拽图表</t>
        </is>
      </c>
      <c r="F753" s="16" t="inlineStr">
        <is>
          <t>仪表盘</t>
        </is>
      </c>
      <c r="G753" s="17" t="inlineStr">
        <is>
          <t xml:space="preserve"> 提供拖拽式仪表盘目标值和当前值配置服务</t>
        </is>
      </c>
      <c r="H753" s="18" t="inlineStr">
        <is>
          <t>EI</t>
        </is>
      </c>
      <c r="I753" s="18">
        <f>IF(H753="ILF",10,IF(H753="EIF",7,IF(H753="EI",4,IF(H753="EO",5,IF(H753="EQ",4,"")))))</f>
        <v/>
      </c>
      <c r="J753" s="18" t="inlineStr">
        <is>
          <t>中</t>
        </is>
      </c>
      <c r="K753" s="18">
        <f>IF(J753="高",0.33,IF(J753="中",0.67,IF(J753="低",1,"")))</f>
        <v/>
      </c>
      <c r="L753" s="18" t="inlineStr">
        <is>
          <t>新增</t>
        </is>
      </c>
      <c r="M753" s="18">
        <f>IF(L753="新增",1,IF(L753="修改",0.8,IF(L753="删除",0.2,"")))</f>
        <v/>
      </c>
      <c r="N753" s="18">
        <f>I753*K753*M753</f>
        <v/>
      </c>
    </row>
    <row r="754" ht="14.4" customHeight="1" s="1">
      <c r="B754" s="16" t="n">
        <v>749</v>
      </c>
      <c r="C754" s="16" t="inlineStr">
        <is>
          <t>油气生产运行综合监控与多维数据分析看板服务</t>
        </is>
      </c>
      <c r="D754" s="16" t="inlineStr">
        <is>
          <t>可视化配置</t>
        </is>
      </c>
      <c r="E754" s="16" t="inlineStr">
        <is>
          <t>拖拽图表</t>
        </is>
      </c>
      <c r="F754" s="16" t="inlineStr">
        <is>
          <t>地图</t>
        </is>
      </c>
      <c r="G754" s="17" t="inlineStr">
        <is>
          <t xml:space="preserve"> 提供拖拽式地理地图设备分布展示配置服务</t>
        </is>
      </c>
      <c r="H754" s="18" t="inlineStr">
        <is>
          <t>EI</t>
        </is>
      </c>
      <c r="I754" s="18">
        <f>IF(H754="ILF",10,IF(H754="EIF",7,IF(H754="EI",4,IF(H754="EO",5,IF(H754="EQ",4,"")))))</f>
        <v/>
      </c>
      <c r="J754" s="18" t="inlineStr">
        <is>
          <t>中</t>
        </is>
      </c>
      <c r="K754" s="18">
        <f>IF(J754="高",0.33,IF(J754="中",0.67,IF(J754="低",1,"")))</f>
        <v/>
      </c>
      <c r="L754" s="18" t="inlineStr">
        <is>
          <t>新增</t>
        </is>
      </c>
      <c r="M754" s="18">
        <f>IF(L754="新增",1,IF(L754="修改",0.8,IF(L754="删除",0.2,"")))</f>
        <v/>
      </c>
      <c r="N754" s="18">
        <f>I754*K754*M754</f>
        <v/>
      </c>
    </row>
    <row r="755" ht="14.4" customHeight="1" s="1">
      <c r="B755" s="16" t="n">
        <v>750</v>
      </c>
      <c r="C755" s="16" t="inlineStr">
        <is>
          <t>油气生产运行综合监控与多维数据分析看板服务</t>
        </is>
      </c>
      <c r="D755" s="16" t="inlineStr">
        <is>
          <t>可视化配置</t>
        </is>
      </c>
      <c r="E755" s="16" t="inlineStr">
        <is>
          <t>拖拽图表</t>
        </is>
      </c>
      <c r="F755" s="16" t="inlineStr">
        <is>
          <t>数据表格</t>
        </is>
      </c>
      <c r="G755" s="17" t="inlineStr">
        <is>
          <t xml:space="preserve"> 提供拖拽式数据表格列和过滤配置服务</t>
        </is>
      </c>
      <c r="H755" s="18" t="inlineStr">
        <is>
          <t>EI</t>
        </is>
      </c>
      <c r="I755" s="18">
        <f>IF(H755="ILF",10,IF(H755="EIF",7,IF(H755="EI",4,IF(H755="EO",5,IF(H755="EQ",4,"")))))</f>
        <v/>
      </c>
      <c r="J755" s="18" t="inlineStr">
        <is>
          <t>中</t>
        </is>
      </c>
      <c r="K755" s="18">
        <f>IF(J755="高",0.33,IF(J755="中",0.67,IF(J755="低",1,"")))</f>
        <v/>
      </c>
      <c r="L755" s="18" t="inlineStr">
        <is>
          <t>新增</t>
        </is>
      </c>
      <c r="M755" s="18">
        <f>IF(L755="新增",1,IF(L755="修改",0.8,IF(L755="删除",0.2,"")))</f>
        <v/>
      </c>
      <c r="N755" s="18">
        <f>I755*K755*M755</f>
        <v/>
      </c>
    </row>
    <row r="756" ht="14.4" customHeight="1" s="1">
      <c r="B756" s="16" t="n">
        <v>751</v>
      </c>
      <c r="C756" s="16" t="inlineStr">
        <is>
          <t>油气生产运行综合监控与多维数据分析看板服务</t>
        </is>
      </c>
      <c r="D756" s="16" t="inlineStr">
        <is>
          <t>可视化配置</t>
        </is>
      </c>
      <c r="E756" s="16" t="inlineStr">
        <is>
          <t>拖拽图表</t>
        </is>
      </c>
      <c r="F756" s="16" t="inlineStr">
        <is>
          <t>散点图</t>
        </is>
      </c>
      <c r="G756" s="17" t="inlineStr">
        <is>
          <t xml:space="preserve"> 提供拖拽式散点图维度配置服务</t>
        </is>
      </c>
      <c r="H756" s="18" t="inlineStr">
        <is>
          <t>EI</t>
        </is>
      </c>
      <c r="I756" s="18">
        <f>IF(H756="ILF",10,IF(H756="EIF",7,IF(H756="EI",4,IF(H756="EO",5,IF(H756="EQ",4,"")))))</f>
        <v/>
      </c>
      <c r="J756" s="18" t="inlineStr">
        <is>
          <t>中</t>
        </is>
      </c>
      <c r="K756" s="18">
        <f>IF(J756="高",0.33,IF(J756="中",0.67,IF(J756="低",1,"")))</f>
        <v/>
      </c>
      <c r="L756" s="18" t="inlineStr">
        <is>
          <t>新增</t>
        </is>
      </c>
      <c r="M756" s="18">
        <f>IF(L756="新增",1,IF(L756="修改",0.8,IF(L756="删除",0.2,"")))</f>
        <v/>
      </c>
      <c r="N756" s="18">
        <f>I756*K756*M756</f>
        <v/>
      </c>
    </row>
    <row r="757" ht="14.4" customHeight="1" s="1">
      <c r="B757" s="16" t="n">
        <v>752</v>
      </c>
      <c r="C757" s="16" t="inlineStr">
        <is>
          <t>油气生产运行综合监控与多维数据分析看板服务</t>
        </is>
      </c>
      <c r="D757" s="16" t="inlineStr">
        <is>
          <t>可视化配置</t>
        </is>
      </c>
      <c r="E757" s="16" t="inlineStr">
        <is>
          <t>拖拽图表</t>
        </is>
      </c>
      <c r="F757" s="16" t="inlineStr">
        <is>
          <t>热力图</t>
        </is>
      </c>
      <c r="G757" s="17" t="inlineStr">
        <is>
          <t xml:space="preserve"> 提供拖拽式热力图颜色和维度配置服务</t>
        </is>
      </c>
      <c r="H757" s="18" t="inlineStr">
        <is>
          <t>EI</t>
        </is>
      </c>
      <c r="I757" s="18">
        <f>IF(H757="ILF",10,IF(H757="EIF",7,IF(H757="EI",4,IF(H757="EO",5,IF(H757="EQ",4,"")))))</f>
        <v/>
      </c>
      <c r="J757" s="18" t="inlineStr">
        <is>
          <t>中</t>
        </is>
      </c>
      <c r="K757" s="18">
        <f>IF(J757="高",0.33,IF(J757="中",0.67,IF(J757="低",1,"")))</f>
        <v/>
      </c>
      <c r="L757" s="18" t="inlineStr">
        <is>
          <t>新增</t>
        </is>
      </c>
      <c r="M757" s="18">
        <f>IF(L757="新增",1,IF(L757="修改",0.8,IF(L757="删除",0.2,"")))</f>
        <v/>
      </c>
      <c r="N757" s="18">
        <f>I757*K757*M757</f>
        <v/>
      </c>
    </row>
    <row r="758" ht="14.4" customHeight="1" s="1">
      <c r="B758" s="16" t="n">
        <v>753</v>
      </c>
      <c r="C758" s="16" t="inlineStr">
        <is>
          <t>油气生产运行综合监控与多维数据分析看板服务</t>
        </is>
      </c>
      <c r="D758" s="16" t="inlineStr">
        <is>
          <t>可视化配置</t>
        </is>
      </c>
      <c r="E758" s="16" t="inlineStr">
        <is>
          <t>拖拽图表</t>
        </is>
      </c>
      <c r="F758" s="16" t="inlineStr">
        <is>
          <t>面积图</t>
        </is>
      </c>
      <c r="G758" s="17" t="inlineStr">
        <is>
          <t xml:space="preserve"> 提供拖拽式面积图维度配置服务</t>
        </is>
      </c>
      <c r="H758" s="18" t="inlineStr">
        <is>
          <t>EI</t>
        </is>
      </c>
      <c r="I758" s="18">
        <f>IF(H758="ILF",10,IF(H758="EIF",7,IF(H758="EI",4,IF(H758="EO",5,IF(H758="EQ",4,"")))))</f>
        <v/>
      </c>
      <c r="J758" s="18" t="inlineStr">
        <is>
          <t>中</t>
        </is>
      </c>
      <c r="K758" s="18">
        <f>IF(J758="高",0.33,IF(J758="中",0.67,IF(J758="低",1,"")))</f>
        <v/>
      </c>
      <c r="L758" s="18" t="inlineStr">
        <is>
          <t>新增</t>
        </is>
      </c>
      <c r="M758" s="18">
        <f>IF(L758="新增",1,IF(L758="修改",0.8,IF(L758="删除",0.2,"")))</f>
        <v/>
      </c>
      <c r="N758" s="18">
        <f>I758*K758*M758</f>
        <v/>
      </c>
    </row>
    <row r="759" ht="14.4" customHeight="1" s="1">
      <c r="B759" s="16" t="n">
        <v>754</v>
      </c>
      <c r="C759" s="16" t="inlineStr">
        <is>
          <t>油气生产运行综合监控与多维数据分析看板服务</t>
        </is>
      </c>
      <c r="D759" s="16" t="inlineStr">
        <is>
          <t>可视化配置</t>
        </is>
      </c>
      <c r="E759" s="16" t="inlineStr">
        <is>
          <t>拖拽图表</t>
        </is>
      </c>
      <c r="F759" s="16" t="inlineStr">
        <is>
          <t>雷达图</t>
        </is>
      </c>
      <c r="G759" s="17" t="inlineStr">
        <is>
          <t xml:space="preserve"> 提供拖拽式雷达图维度配置服务</t>
        </is>
      </c>
      <c r="H759" s="18" t="inlineStr">
        <is>
          <t>EI</t>
        </is>
      </c>
      <c r="I759" s="18">
        <f>IF(H759="ILF",10,IF(H759="EIF",7,IF(H759="EI",4,IF(H759="EO",5,IF(H759="EQ",4,"")))))</f>
        <v/>
      </c>
      <c r="J759" s="18" t="inlineStr">
        <is>
          <t>中</t>
        </is>
      </c>
      <c r="K759" s="18">
        <f>IF(J759="高",0.33,IF(J759="中",0.67,IF(J759="低",1,"")))</f>
        <v/>
      </c>
      <c r="L759" s="18" t="inlineStr">
        <is>
          <t>新增</t>
        </is>
      </c>
      <c r="M759" s="18">
        <f>IF(L759="新增",1,IF(L759="修改",0.8,IF(L759="删除",0.2,"")))</f>
        <v/>
      </c>
      <c r="N759" s="18">
        <f>I759*K759*M759</f>
        <v/>
      </c>
    </row>
    <row r="760" ht="14.4" customHeight="1" s="1">
      <c r="B760" s="16" t="n">
        <v>755</v>
      </c>
      <c r="C760" s="16" t="inlineStr">
        <is>
          <t>油气生产运行综合监控与多维数据分析看板服务</t>
        </is>
      </c>
      <c r="D760" s="16" t="inlineStr">
        <is>
          <t>可视化配置</t>
        </is>
      </c>
      <c r="E760" s="16" t="inlineStr">
        <is>
          <t>拖拽图表</t>
        </is>
      </c>
      <c r="F760" s="16" t="inlineStr">
        <is>
          <t>混合查询</t>
        </is>
      </c>
      <c r="G760" s="17" t="inlineStr">
        <is>
          <t xml:space="preserve"> 提供TDengine+达梦数据源混合查询配置服务</t>
        </is>
      </c>
      <c r="H760" s="18" t="inlineStr">
        <is>
          <t>EI</t>
        </is>
      </c>
      <c r="I760" s="18">
        <f>IF(H760="ILF",10,IF(H760="EIF",7,IF(H760="EI",4,IF(H760="EO",5,IF(H760="EQ",4,"")))))</f>
        <v/>
      </c>
      <c r="J760" s="18" t="inlineStr">
        <is>
          <t>中</t>
        </is>
      </c>
      <c r="K760" s="18">
        <f>IF(J760="高",0.33,IF(J760="中",0.67,IF(J760="低",1,"")))</f>
        <v/>
      </c>
      <c r="L760" s="18" t="inlineStr">
        <is>
          <t>新增</t>
        </is>
      </c>
      <c r="M760" s="18">
        <f>IF(L760="新增",1,IF(L760="修改",0.8,IF(L760="删除",0.2,"")))</f>
        <v/>
      </c>
      <c r="N760" s="18">
        <f>I760*K760*M760</f>
        <v/>
      </c>
    </row>
    <row r="761" ht="14.4" customHeight="1" s="1">
      <c r="B761" s="16" t="n">
        <v>756</v>
      </c>
      <c r="C761" s="16" t="inlineStr">
        <is>
          <t>油气生产运行综合监控与多维数据分析看板服务</t>
        </is>
      </c>
      <c r="D761" s="16" t="inlineStr">
        <is>
          <t>可视化配置</t>
        </is>
      </c>
      <c r="E761" s="16" t="inlineStr">
        <is>
          <t>拖拽图表</t>
        </is>
      </c>
      <c r="F761" s="16" t="inlineStr">
        <is>
          <t>刷新频率</t>
        </is>
      </c>
      <c r="G761" s="17" t="inlineStr">
        <is>
          <t xml:space="preserve"> 提供图表数据自动刷新频率配置服务</t>
        </is>
      </c>
      <c r="H761" s="18" t="inlineStr">
        <is>
          <t>EI</t>
        </is>
      </c>
      <c r="I761" s="18">
        <f>IF(H761="ILF",10,IF(H761="EIF",7,IF(H761="EI",4,IF(H761="EO",5,IF(H761="EQ",4,"")))))</f>
        <v/>
      </c>
      <c r="J761" s="18" t="inlineStr">
        <is>
          <t>中</t>
        </is>
      </c>
      <c r="K761" s="18">
        <f>IF(J761="高",0.33,IF(J761="中",0.67,IF(J761="低",1,"")))</f>
        <v/>
      </c>
      <c r="L761" s="18" t="inlineStr">
        <is>
          <t>新增</t>
        </is>
      </c>
      <c r="M761" s="18">
        <f>IF(L761="新增",1,IF(L761="修改",0.8,IF(L761="删除",0.2,"")))</f>
        <v/>
      </c>
      <c r="N761" s="18">
        <f>I761*K761*M761</f>
        <v/>
      </c>
    </row>
    <row r="762" ht="14.4" customHeight="1" s="1">
      <c r="B762" s="16" t="n">
        <v>757</v>
      </c>
      <c r="C762" s="16" t="inlineStr">
        <is>
          <t>油气生产运行综合监控与多维数据分析看板服务</t>
        </is>
      </c>
      <c r="D762" s="16" t="inlineStr">
        <is>
          <t>可视化配置</t>
        </is>
      </c>
      <c r="E762" s="16" t="inlineStr">
        <is>
          <t>模板联动</t>
        </is>
      </c>
      <c r="F762" s="16" t="inlineStr">
        <is>
          <t>模板创建</t>
        </is>
      </c>
      <c r="G762" s="17" t="inlineStr">
        <is>
          <t xml:space="preserve"> 提供图表配置模板创建服务</t>
        </is>
      </c>
      <c r="H762" s="18" t="inlineStr">
        <is>
          <t>EI</t>
        </is>
      </c>
      <c r="I762" s="18">
        <f>IF(H762="ILF",10,IF(H762="EIF",7,IF(H762="EI",4,IF(H762="EO",5,IF(H762="EQ",4,"")))))</f>
        <v/>
      </c>
      <c r="J762" s="18" t="inlineStr">
        <is>
          <t>中</t>
        </is>
      </c>
      <c r="K762" s="18">
        <f>IF(J762="高",0.33,IF(J762="中",0.67,IF(J762="低",1,"")))</f>
        <v/>
      </c>
      <c r="L762" s="18" t="inlineStr">
        <is>
          <t>新增</t>
        </is>
      </c>
      <c r="M762" s="18">
        <f>IF(L762="新增",1,IF(L762="修改",0.8,IF(L762="删除",0.2,"")))</f>
        <v/>
      </c>
      <c r="N762" s="18">
        <f>I762*K762*M762</f>
        <v/>
      </c>
    </row>
    <row r="763" ht="14.4" customHeight="1" s="1">
      <c r="B763" s="16" t="n">
        <v>758</v>
      </c>
      <c r="C763" s="16" t="inlineStr">
        <is>
          <t>油气生产运行综合监控与多维数据分析看板服务</t>
        </is>
      </c>
      <c r="D763" s="16" t="inlineStr">
        <is>
          <t>可视化配置</t>
        </is>
      </c>
      <c r="E763" s="16" t="inlineStr">
        <is>
          <t>模板联动</t>
        </is>
      </c>
      <c r="F763" s="16" t="inlineStr">
        <is>
          <t>模板分享</t>
        </is>
      </c>
      <c r="G763" s="17" t="inlineStr">
        <is>
          <t xml:space="preserve"> 提供图表配置模板分享服务</t>
        </is>
      </c>
      <c r="H763" s="18" t="inlineStr">
        <is>
          <t>EI</t>
        </is>
      </c>
      <c r="I763" s="18">
        <f>IF(H763="ILF",10,IF(H763="EIF",7,IF(H763="EI",4,IF(H763="EO",5,IF(H763="EQ",4,"")))))</f>
        <v/>
      </c>
      <c r="J763" s="18" t="inlineStr">
        <is>
          <t>中</t>
        </is>
      </c>
      <c r="K763" s="18">
        <f>IF(J763="高",0.33,IF(J763="中",0.67,IF(J763="低",1,"")))</f>
        <v/>
      </c>
      <c r="L763" s="18" t="inlineStr">
        <is>
          <t>新增</t>
        </is>
      </c>
      <c r="M763" s="18">
        <f>IF(L763="新增",1,IF(L763="修改",0.8,IF(L763="删除",0.2,"")))</f>
        <v/>
      </c>
      <c r="N763" s="18">
        <f>I763*K763*M763</f>
        <v/>
      </c>
    </row>
    <row r="764" ht="14.4" customHeight="1" s="1">
      <c r="B764" s="16" t="n">
        <v>759</v>
      </c>
      <c r="C764" s="16" t="inlineStr">
        <is>
          <t>油气生产运行综合监控与多维数据分析看板服务</t>
        </is>
      </c>
      <c r="D764" s="16" t="inlineStr">
        <is>
          <t>可视化配置</t>
        </is>
      </c>
      <c r="E764" s="16" t="inlineStr">
        <is>
          <t>模板联动</t>
        </is>
      </c>
      <c r="F764" s="16" t="inlineStr">
        <is>
          <t>模板复用</t>
        </is>
      </c>
      <c r="G764" s="17" t="inlineStr">
        <is>
          <t xml:space="preserve"> 提供图表配置模板复用到其他设备组服务</t>
        </is>
      </c>
      <c r="H764" s="18" t="inlineStr">
        <is>
          <t>EI</t>
        </is>
      </c>
      <c r="I764" s="18">
        <f>IF(H764="ILF",10,IF(H764="EIF",7,IF(H764="EI",4,IF(H764="EO",5,IF(H764="EQ",4,"")))))</f>
        <v/>
      </c>
      <c r="J764" s="18" t="inlineStr">
        <is>
          <t>中</t>
        </is>
      </c>
      <c r="K764" s="18">
        <f>IF(J764="高",0.33,IF(J764="中",0.67,IF(J764="低",1,"")))</f>
        <v/>
      </c>
      <c r="L764" s="18" t="inlineStr">
        <is>
          <t>新增</t>
        </is>
      </c>
      <c r="M764" s="18">
        <f>IF(L764="新增",1,IF(L764="修改",0.8,IF(L764="删除",0.2,"")))</f>
        <v/>
      </c>
      <c r="N764" s="18">
        <f>I764*K764*M764</f>
        <v/>
      </c>
    </row>
    <row r="765" ht="14.4" customHeight="1" s="1">
      <c r="B765" s="16" t="n">
        <v>760</v>
      </c>
      <c r="C765" s="16" t="inlineStr">
        <is>
          <t>油气生产运行综合监控与多维数据分析看板服务</t>
        </is>
      </c>
      <c r="D765" s="16" t="inlineStr">
        <is>
          <t>可视化配置</t>
        </is>
      </c>
      <c r="E765" s="16" t="inlineStr">
        <is>
          <t>模板联动</t>
        </is>
      </c>
      <c r="F765" s="16" t="inlineStr">
        <is>
          <t>告警联动</t>
        </is>
      </c>
      <c r="G765" s="17" t="inlineStr">
        <is>
          <t xml:space="preserve"> 提供面板选中异常点一键创建告警规则服务</t>
        </is>
      </c>
      <c r="H765" s="18" t="inlineStr">
        <is>
          <t>EI</t>
        </is>
      </c>
      <c r="I765" s="18">
        <f>IF(H765="ILF",10,IF(H765="EIF",7,IF(H765="EI",4,IF(H765="EO",5,IF(H765="EQ",4,"")))))</f>
        <v/>
      </c>
      <c r="J765" s="18" t="inlineStr">
        <is>
          <t>中</t>
        </is>
      </c>
      <c r="K765" s="18">
        <f>IF(J765="高",0.33,IF(J765="中",0.67,IF(J765="低",1,"")))</f>
        <v/>
      </c>
      <c r="L765" s="18" t="inlineStr">
        <is>
          <t>新增</t>
        </is>
      </c>
      <c r="M765" s="18">
        <f>IF(L765="新增",1,IF(L765="修改",0.8,IF(L765="删除",0.2,"")))</f>
        <v/>
      </c>
      <c r="N765" s="18">
        <f>I765*K765*M765</f>
        <v/>
      </c>
    </row>
    <row r="766" ht="14.4" customHeight="1" s="1">
      <c r="B766" s="16" t="n">
        <v>761</v>
      </c>
      <c r="C766" s="16" t="inlineStr">
        <is>
          <t>油气生产运行综合监控与多维数据分析看板服务</t>
        </is>
      </c>
      <c r="D766" s="16" t="inlineStr">
        <is>
          <t>可视化配置</t>
        </is>
      </c>
      <c r="E766" s="16" t="inlineStr">
        <is>
          <t>模板联动</t>
        </is>
      </c>
      <c r="F766" s="16" t="inlineStr">
        <is>
          <t>数据源联动</t>
        </is>
      </c>
      <c r="G766" s="17" t="inlineStr">
        <is>
          <t xml:space="preserve"> 提供图表数据源切换联动配置服务</t>
        </is>
      </c>
      <c r="H766" s="18" t="inlineStr">
        <is>
          <t>EI</t>
        </is>
      </c>
      <c r="I766" s="18">
        <f>IF(H766="ILF",10,IF(H766="EIF",7,IF(H766="EI",4,IF(H766="EO",5,IF(H766="EQ",4,"")))))</f>
        <v/>
      </c>
      <c r="J766" s="18" t="inlineStr">
        <is>
          <t>中</t>
        </is>
      </c>
      <c r="K766" s="18">
        <f>IF(J766="高",0.33,IF(J766="中",0.67,IF(J766="低",1,"")))</f>
        <v/>
      </c>
      <c r="L766" s="18" t="inlineStr">
        <is>
          <t>新增</t>
        </is>
      </c>
      <c r="M766" s="18">
        <f>IF(L766="新增",1,IF(L766="修改",0.8,IF(L766="删除",0.2,"")))</f>
        <v/>
      </c>
      <c r="N766" s="18">
        <f>I766*K766*M766</f>
        <v/>
      </c>
    </row>
    <row r="767" ht="14.4" customHeight="1" s="1">
      <c r="B767" s="16" t="n">
        <v>762</v>
      </c>
      <c r="C767" s="16" t="inlineStr">
        <is>
          <t>油气生产运行综合监控与多维数据分析看板服务</t>
        </is>
      </c>
      <c r="D767" s="16" t="inlineStr">
        <is>
          <t>可视化配置</t>
        </is>
      </c>
      <c r="E767" s="16" t="inlineStr">
        <is>
          <t>模板联动</t>
        </is>
      </c>
      <c r="F767" s="16" t="inlineStr">
        <is>
          <t>下钻联动</t>
        </is>
      </c>
      <c r="G767" s="17" t="inlineStr">
        <is>
          <t xml:space="preserve"> 提供图表下钻层级联动配置服务</t>
        </is>
      </c>
      <c r="H767" s="18" t="inlineStr">
        <is>
          <t>EI</t>
        </is>
      </c>
      <c r="I767" s="18">
        <f>IF(H767="ILF",10,IF(H767="EIF",7,IF(H767="EI",4,IF(H767="EO",5,IF(H767="EQ",4,"")))))</f>
        <v/>
      </c>
      <c r="J767" s="18" t="inlineStr">
        <is>
          <t>中</t>
        </is>
      </c>
      <c r="K767" s="18">
        <f>IF(J767="高",0.33,IF(J767="中",0.67,IF(J767="低",1,"")))</f>
        <v/>
      </c>
      <c r="L767" s="18" t="inlineStr">
        <is>
          <t>新增</t>
        </is>
      </c>
      <c r="M767" s="18">
        <f>IF(L767="新增",1,IF(L767="修改",0.8,IF(L767="删除",0.2,"")))</f>
        <v/>
      </c>
      <c r="N767" s="18">
        <f>I767*K767*M767</f>
        <v/>
      </c>
    </row>
    <row r="768" ht="14.4" customHeight="1" s="1">
      <c r="B768" s="16" t="n">
        <v>763</v>
      </c>
      <c r="C768" s="16" t="inlineStr">
        <is>
          <t>油气生产运行综合监控与多维数据分析看板服务</t>
        </is>
      </c>
      <c r="D768" s="16" t="inlineStr">
        <is>
          <t>可视化配置</t>
        </is>
      </c>
      <c r="E768" s="16" t="inlineStr">
        <is>
          <t>模板联动</t>
        </is>
      </c>
      <c r="F768" s="16" t="inlineStr">
        <is>
          <t>过滤联动</t>
        </is>
      </c>
      <c r="G768" s="17" t="inlineStr">
        <is>
          <t xml:space="preserve"> 提供图表间过滤条件联动配置服务</t>
        </is>
      </c>
      <c r="H768" s="18" t="inlineStr">
        <is>
          <t>EI</t>
        </is>
      </c>
      <c r="I768" s="18">
        <f>IF(H768="ILF",10,IF(H768="EIF",7,IF(H768="EI",4,IF(H768="EO",5,IF(H768="EQ",4,"")))))</f>
        <v/>
      </c>
      <c r="J768" s="18" t="inlineStr">
        <is>
          <t>中</t>
        </is>
      </c>
      <c r="K768" s="18">
        <f>IF(J768="高",0.33,IF(J768="中",0.67,IF(J768="低",1,"")))</f>
        <v/>
      </c>
      <c r="L768" s="18" t="inlineStr">
        <is>
          <t>新增</t>
        </is>
      </c>
      <c r="M768" s="18">
        <f>IF(L768="新增",1,IF(L768="修改",0.8,IF(L768="删除",0.2,"")))</f>
        <v/>
      </c>
      <c r="N768" s="18">
        <f>I768*K768*M768</f>
        <v/>
      </c>
    </row>
    <row r="769" ht="14.4" customHeight="1" s="1">
      <c r="B769" s="16" t="n">
        <v>764</v>
      </c>
      <c r="C769" s="16" t="inlineStr">
        <is>
          <t>油气生产运行综合监控与多维数据分析看板服务</t>
        </is>
      </c>
      <c r="D769" s="16" t="inlineStr">
        <is>
          <t>管理驾驶舱</t>
        </is>
      </c>
      <c r="E769" s="16" t="inlineStr">
        <is>
          <t>KPI指标</t>
        </is>
      </c>
      <c r="F769" s="16" t="inlineStr">
        <is>
          <t>设备在线率</t>
        </is>
      </c>
      <c r="G769" s="17" t="inlineStr">
        <is>
          <t xml:space="preserve"> 提供全厂设备在线率≥95%实时展示服务</t>
        </is>
      </c>
      <c r="H769" s="18" t="inlineStr">
        <is>
          <t>EI</t>
        </is>
      </c>
      <c r="I769" s="18">
        <f>IF(H769="ILF",10,IF(H769="EIF",7,IF(H769="EI",4,IF(H769="EO",5,IF(H769="EQ",4,"")))))</f>
        <v/>
      </c>
      <c r="J769" s="18" t="inlineStr">
        <is>
          <t>中</t>
        </is>
      </c>
      <c r="K769" s="18">
        <f>IF(J769="高",0.33,IF(J769="中",0.67,IF(J769="低",1,"")))</f>
        <v/>
      </c>
      <c r="L769" s="18" t="inlineStr">
        <is>
          <t>新增</t>
        </is>
      </c>
      <c r="M769" s="18">
        <f>IF(L769="新增",1,IF(L769="修改",0.8,IF(L769="删除",0.2,"")))</f>
        <v/>
      </c>
      <c r="N769" s="18">
        <f>I769*K769*M769</f>
        <v/>
      </c>
    </row>
    <row r="770" ht="14.4" customHeight="1" s="1">
      <c r="B770" s="16" t="n">
        <v>765</v>
      </c>
      <c r="C770" s="16" t="inlineStr">
        <is>
          <t>油气生产运行综合监控与多维数据分析看板服务</t>
        </is>
      </c>
      <c r="D770" s="16" t="inlineStr">
        <is>
          <t>管理驾驶舱</t>
        </is>
      </c>
      <c r="E770" s="16" t="inlineStr">
        <is>
          <t>KPI指标</t>
        </is>
      </c>
      <c r="F770" s="16" t="inlineStr">
        <is>
          <t>采集成功率</t>
        </is>
      </c>
      <c r="G770" s="17" t="inlineStr">
        <is>
          <t xml:space="preserve"> 提供全厂采集成功率≥99.9%实时展示服务</t>
        </is>
      </c>
      <c r="H770" s="18" t="inlineStr">
        <is>
          <t>EI</t>
        </is>
      </c>
      <c r="I770" s="18">
        <f>IF(H770="ILF",10,IF(H770="EIF",7,IF(H770="EI",4,IF(H770="EO",5,IF(H770="EQ",4,"")))))</f>
        <v/>
      </c>
      <c r="J770" s="18" t="inlineStr">
        <is>
          <t>中</t>
        </is>
      </c>
      <c r="K770" s="18">
        <f>IF(J770="高",0.33,IF(J770="中",0.67,IF(J770="低",1,"")))</f>
        <v/>
      </c>
      <c r="L770" s="18" t="inlineStr">
        <is>
          <t>新增</t>
        </is>
      </c>
      <c r="M770" s="18">
        <f>IF(L770="新增",1,IF(L770="修改",0.8,IF(L770="删除",0.2,"")))</f>
        <v/>
      </c>
      <c r="N770" s="18">
        <f>I770*K770*M770</f>
        <v/>
      </c>
    </row>
    <row r="771" ht="14.4" customHeight="1" s="1">
      <c r="B771" s="16" t="n">
        <v>766</v>
      </c>
      <c r="C771" s="16" t="inlineStr">
        <is>
          <t>油气生产运行综合监控与多维数据分析看板服务</t>
        </is>
      </c>
      <c r="D771" s="16" t="inlineStr">
        <is>
          <t>管理驾驶舱</t>
        </is>
      </c>
      <c r="E771" s="16" t="inlineStr">
        <is>
          <t>KPI指标</t>
        </is>
      </c>
      <c r="F771" s="16" t="inlineStr">
        <is>
          <t>告警达标率</t>
        </is>
      </c>
      <c r="G771" s="17" t="inlineStr">
        <is>
          <t xml:space="preserve"> 提供告警响应达标率统计展示服务</t>
        </is>
      </c>
      <c r="H771" s="18" t="inlineStr">
        <is>
          <t>EI</t>
        </is>
      </c>
      <c r="I771" s="18">
        <f>IF(H771="ILF",10,IF(H771="EIF",7,IF(H771="EI",4,IF(H771="EO",5,IF(H771="EQ",4,"")))))</f>
        <v/>
      </c>
      <c r="J771" s="18" t="inlineStr">
        <is>
          <t>中</t>
        </is>
      </c>
      <c r="K771" s="18">
        <f>IF(J771="高",0.33,IF(J771="中",0.67,IF(J771="低",1,"")))</f>
        <v/>
      </c>
      <c r="L771" s="18" t="inlineStr">
        <is>
          <t>新增</t>
        </is>
      </c>
      <c r="M771" s="18">
        <f>IF(L771="新增",1,IF(L771="修改",0.8,IF(L771="删除",0.2,"")))</f>
        <v/>
      </c>
      <c r="N771" s="18">
        <f>I771*K771*M771</f>
        <v/>
      </c>
    </row>
    <row r="772" ht="14.4" customHeight="1" s="1">
      <c r="B772" s="16" t="n">
        <v>767</v>
      </c>
      <c r="C772" s="16" t="inlineStr">
        <is>
          <t>油气生产运行综合监控与多维数据分析看板服务</t>
        </is>
      </c>
      <c r="D772" s="16" t="inlineStr">
        <is>
          <t>管理驾驶舱</t>
        </is>
      </c>
      <c r="E772" s="16" t="inlineStr">
        <is>
          <t>KPI指标</t>
        </is>
      </c>
      <c r="F772" s="16" t="inlineStr">
        <is>
          <t>数据完整率</t>
        </is>
      </c>
      <c r="G772" s="17" t="inlineStr">
        <is>
          <t xml:space="preserve"> 提供数据完整率≥99.9%实时展示服务</t>
        </is>
      </c>
      <c r="H772" s="18" t="inlineStr">
        <is>
          <t>EI</t>
        </is>
      </c>
      <c r="I772" s="18">
        <f>IF(H772="ILF",10,IF(H772="EIF",7,IF(H772="EI",4,IF(H772="EO",5,IF(H772="EQ",4,"")))))</f>
        <v/>
      </c>
      <c r="J772" s="18" t="inlineStr">
        <is>
          <t>中</t>
        </is>
      </c>
      <c r="K772" s="18">
        <f>IF(J772="高",0.33,IF(J772="中",0.67,IF(J772="低",1,"")))</f>
        <v/>
      </c>
      <c r="L772" s="18" t="inlineStr">
        <is>
          <t>新增</t>
        </is>
      </c>
      <c r="M772" s="18">
        <f>IF(L772="新增",1,IF(L772="修改",0.8,IF(L772="删除",0.2,"")))</f>
        <v/>
      </c>
      <c r="N772" s="18">
        <f>I772*K772*M772</f>
        <v/>
      </c>
    </row>
    <row r="773" ht="14.4" customHeight="1" s="1">
      <c r="B773" s="16" t="n">
        <v>768</v>
      </c>
      <c r="C773" s="16" t="inlineStr">
        <is>
          <t>油气生产运行综合监控与多维数据分析看板服务</t>
        </is>
      </c>
      <c r="D773" s="16" t="inlineStr">
        <is>
          <t>管理驾驶舱</t>
        </is>
      </c>
      <c r="E773" s="16" t="inlineStr">
        <is>
          <t>KPI指标</t>
        </is>
      </c>
      <c r="F773" s="16" t="inlineStr">
        <is>
          <t>数据完整率</t>
        </is>
      </c>
      <c r="G773" s="17" t="inlineStr">
        <is>
          <t xml:space="preserve"> 提供数据完整率≥99.9%实时展示服务</t>
        </is>
      </c>
      <c r="H773" s="18" t="inlineStr">
        <is>
          <t>EI</t>
        </is>
      </c>
      <c r="I773" s="18">
        <f>IF(H773="ILF",10,IF(H773="EIF",7,IF(H773="EI",4,IF(H773="EO",5,IF(H773="EQ",4,"")))))</f>
        <v/>
      </c>
      <c r="J773" s="18" t="inlineStr">
        <is>
          <t>中</t>
        </is>
      </c>
      <c r="K773" s="18">
        <f>IF(J773="高",0.33,IF(J773="中",0.67,IF(J773="低",1,"")))</f>
        <v/>
      </c>
      <c r="L773" s="18" t="inlineStr">
        <is>
          <t>新增</t>
        </is>
      </c>
      <c r="M773" s="18">
        <f>IF(L773="新增",1,IF(L773="修改",0.8,IF(L773="删除",0.2,"")))</f>
        <v/>
      </c>
      <c r="N773" s="18">
        <f>I773*K773*M773</f>
        <v/>
      </c>
    </row>
    <row r="774" ht="14.4" customHeight="1" s="1">
      <c r="B774" s="16" t="n">
        <v>769</v>
      </c>
      <c r="C774" s="16" t="inlineStr">
        <is>
          <t>油气生产运行综合监控与多维数据分析看板服务</t>
        </is>
      </c>
      <c r="D774" s="16" t="inlineStr">
        <is>
          <t>管理驾驶舱</t>
        </is>
      </c>
      <c r="E774" s="16" t="inlineStr">
        <is>
          <t>KPI指标</t>
        </is>
      </c>
      <c r="F774" s="16" t="inlineStr">
        <is>
          <t>存储趋势</t>
        </is>
      </c>
      <c r="G774" s="17" t="inlineStr">
        <is>
          <t xml:space="preserve"> 提供各存储介质空间使用趋势展示服务</t>
        </is>
      </c>
      <c r="H774" s="18" t="inlineStr">
        <is>
          <t>EI</t>
        </is>
      </c>
      <c r="I774" s="18">
        <f>IF(H774="ILF",10,IF(H774="EIF",7,IF(H774="EI",4,IF(H774="EO",5,IF(H774="EQ",4,"")))))</f>
        <v/>
      </c>
      <c r="J774" s="18" t="inlineStr">
        <is>
          <t>中</t>
        </is>
      </c>
      <c r="K774" s="18">
        <f>IF(J774="高",0.33,IF(J774="中",0.67,IF(J774="低",1,"")))</f>
        <v/>
      </c>
      <c r="L774" s="18" t="inlineStr">
        <is>
          <t>新增</t>
        </is>
      </c>
      <c r="M774" s="18">
        <f>IF(L774="新增",1,IF(L774="修改",0.8,IF(L774="删除",0.2,"")))</f>
        <v/>
      </c>
      <c r="N774" s="18">
        <f>I774*K774*M774</f>
        <v/>
      </c>
    </row>
    <row r="775" ht="14.4" customHeight="1" s="1">
      <c r="B775" s="16" t="n">
        <v>770</v>
      </c>
      <c r="C775" s="16" t="inlineStr">
        <is>
          <t>油气生产运行综合监控与多维数据分析看板服务</t>
        </is>
      </c>
      <c r="D775" s="16" t="inlineStr">
        <is>
          <t>管理驾驶舱</t>
        </is>
      </c>
      <c r="E775" s="16" t="inlineStr">
        <is>
          <t>KPI指标</t>
        </is>
      </c>
      <c r="F775" s="16" t="inlineStr">
        <is>
          <t>迁移进度</t>
        </is>
      </c>
      <c r="G775" s="17" t="inlineStr">
        <is>
          <t xml:space="preserve"> 提供网关迁移灰度百分比展示服务</t>
        </is>
      </c>
      <c r="H775" s="18" t="inlineStr">
        <is>
          <t>EI</t>
        </is>
      </c>
      <c r="I775" s="18">
        <f>IF(H775="ILF",10,IF(H775="EIF",7,IF(H775="EI",4,IF(H775="EO",5,IF(H775="EQ",4,"")))))</f>
        <v/>
      </c>
      <c r="J775" s="18" t="inlineStr">
        <is>
          <t>中</t>
        </is>
      </c>
      <c r="K775" s="18">
        <f>IF(J775="高",0.33,IF(J775="中",0.67,IF(J775="低",1,"")))</f>
        <v/>
      </c>
      <c r="L775" s="18" t="inlineStr">
        <is>
          <t>新增</t>
        </is>
      </c>
      <c r="M775" s="18">
        <f>IF(L775="新增",1,IF(L775="修改",0.8,IF(L775="删除",0.2,"")))</f>
        <v/>
      </c>
      <c r="N775" s="18">
        <f>I775*K775*M775</f>
        <v/>
      </c>
    </row>
    <row r="776" ht="14.4" customHeight="1" s="1">
      <c r="B776" s="16" t="n">
        <v>771</v>
      </c>
      <c r="C776" s="16" t="inlineStr">
        <is>
          <t>油气生产运行综合监控与多维数据分析看板服务</t>
        </is>
      </c>
      <c r="D776" s="16" t="inlineStr">
        <is>
          <t>管理驾驶舱</t>
        </is>
      </c>
      <c r="E776" s="16" t="inlineStr">
        <is>
          <t>KPI指标</t>
        </is>
      </c>
      <c r="F776" s="16" t="inlineStr">
        <is>
          <t>今日采集</t>
        </is>
      </c>
      <c r="G776" s="17" t="inlineStr">
        <is>
          <t xml:space="preserve"> 提供当日数据采集总量实时统计展示服务</t>
        </is>
      </c>
      <c r="H776" s="18" t="inlineStr">
        <is>
          <t>EI</t>
        </is>
      </c>
      <c r="I776" s="18">
        <f>IF(H776="ILF",10,IF(H776="EIF",7,IF(H776="EI",4,IF(H776="EO",5,IF(H776="EQ",4,"")))))</f>
        <v/>
      </c>
      <c r="J776" s="18" t="inlineStr">
        <is>
          <t>中</t>
        </is>
      </c>
      <c r="K776" s="18">
        <f>IF(J776="高",0.33,IF(J776="中",0.67,IF(J776="低",1,"")))</f>
        <v/>
      </c>
      <c r="L776" s="18" t="inlineStr">
        <is>
          <t>新增</t>
        </is>
      </c>
      <c r="M776" s="18">
        <f>IF(L776="新增",1,IF(L776="修改",0.8,IF(L776="删除",0.2,"")))</f>
        <v/>
      </c>
      <c r="N776" s="18">
        <f>I776*K776*M776</f>
        <v/>
      </c>
    </row>
    <row r="777" ht="14.4" customHeight="1" s="1">
      <c r="B777" s="16" t="n">
        <v>772</v>
      </c>
      <c r="C777" s="16" t="inlineStr">
        <is>
          <t>油气生产运行综合监控与多维数据分析看板服务</t>
        </is>
      </c>
      <c r="D777" s="16" t="inlineStr">
        <is>
          <t>管理驾驶舱</t>
        </is>
      </c>
      <c r="E777" s="16" t="inlineStr">
        <is>
          <t>KPI指标</t>
        </is>
      </c>
      <c r="F777" s="16" t="inlineStr">
        <is>
          <t>今日告警</t>
        </is>
      </c>
      <c r="G777" s="17" t="inlineStr">
        <is>
          <t xml:space="preserve"> 提供当日告警总数和级别分布展示服务</t>
        </is>
      </c>
      <c r="H777" s="18" t="inlineStr">
        <is>
          <t>EI</t>
        </is>
      </c>
      <c r="I777" s="18">
        <f>IF(H777="ILF",10,IF(H777="EIF",7,IF(H777="EI",4,IF(H777="EO",5,IF(H777="EQ",4,"")))))</f>
        <v/>
      </c>
      <c r="J777" s="18" t="inlineStr">
        <is>
          <t>中</t>
        </is>
      </c>
      <c r="K777" s="18">
        <f>IF(J777="高",0.33,IF(J777="中",0.67,IF(J777="低",1,"")))</f>
        <v/>
      </c>
      <c r="L777" s="18" t="inlineStr">
        <is>
          <t>新增</t>
        </is>
      </c>
      <c r="M777" s="18">
        <f>IF(L777="新增",1,IF(L777="修改",0.8,IF(L777="删除",0.2,"")))</f>
        <v/>
      </c>
      <c r="N777" s="18">
        <f>I777*K777*M777</f>
        <v/>
      </c>
    </row>
    <row r="778" ht="14.4" customHeight="1" s="1">
      <c r="B778" s="16" t="n">
        <v>773</v>
      </c>
      <c r="C778" s="16" t="inlineStr">
        <is>
          <t>油气生产运行综合监控与多维数据分析看板服务</t>
        </is>
      </c>
      <c r="D778" s="16" t="inlineStr">
        <is>
          <t>管理驾驶舱</t>
        </is>
      </c>
      <c r="E778" s="16" t="inlineStr">
        <is>
          <t>KPI指标</t>
        </is>
      </c>
      <c r="F778" s="16" t="inlineStr">
        <is>
          <t>待办工单</t>
        </is>
      </c>
      <c r="G778" s="17" t="inlineStr">
        <is>
          <t xml:space="preserve"> 提供未处置工单数量展示服务</t>
        </is>
      </c>
      <c r="H778" s="18" t="inlineStr">
        <is>
          <t>EI</t>
        </is>
      </c>
      <c r="I778" s="18">
        <f>IF(H778="ILF",10,IF(H778="EIF",7,IF(H778="EI",4,IF(H778="EO",5,IF(H778="EQ",4,"")))))</f>
        <v/>
      </c>
      <c r="J778" s="18" t="inlineStr">
        <is>
          <t>中</t>
        </is>
      </c>
      <c r="K778" s="18">
        <f>IF(J778="高",0.33,IF(J778="中",0.67,IF(J778="低",1,"")))</f>
        <v/>
      </c>
      <c r="L778" s="18" t="inlineStr">
        <is>
          <t>新增</t>
        </is>
      </c>
      <c r="M778" s="18">
        <f>IF(L778="新增",1,IF(L778="修改",0.8,IF(L778="删除",0.2,"")))</f>
        <v/>
      </c>
      <c r="N778" s="18">
        <f>I778*K778*M778</f>
        <v/>
      </c>
    </row>
    <row r="779" ht="14.4" customHeight="1" s="1">
      <c r="B779" s="16" t="n">
        <v>774</v>
      </c>
      <c r="C779" s="16" t="inlineStr">
        <is>
          <t>油气生产运行综合监控与多维数据分析看板服务</t>
        </is>
      </c>
      <c r="D779" s="16" t="inlineStr">
        <is>
          <t>管理驾驶舱</t>
        </is>
      </c>
      <c r="E779" s="16" t="inlineStr">
        <is>
          <t>KPI指标</t>
        </is>
      </c>
      <c r="F779" s="16" t="inlineStr">
        <is>
          <t>系统健康</t>
        </is>
      </c>
      <c r="G779" s="17" t="inlineStr">
        <is>
          <t xml:space="preserve"> 提供系统整体健康度综合评分展示服务</t>
        </is>
      </c>
      <c r="H779" s="18" t="inlineStr">
        <is>
          <t>EI</t>
        </is>
      </c>
      <c r="I779" s="18">
        <f>IF(H779="ILF",10,IF(H779="EIF",7,IF(H779="EI",4,IF(H779="EO",5,IF(H779="EQ",4,"")))))</f>
        <v/>
      </c>
      <c r="J779" s="18" t="inlineStr">
        <is>
          <t>中</t>
        </is>
      </c>
      <c r="K779" s="18">
        <f>IF(J779="高",0.33,IF(J779="中",0.67,IF(J779="低",1,"")))</f>
        <v/>
      </c>
      <c r="L779" s="18" t="inlineStr">
        <is>
          <t>新增</t>
        </is>
      </c>
      <c r="M779" s="18">
        <f>IF(L779="新增",1,IF(L779="修改",0.8,IF(L779="删除",0.2,"")))</f>
        <v/>
      </c>
      <c r="N779" s="18">
        <f>I779*K779*M779</f>
        <v/>
      </c>
    </row>
    <row r="780" ht="14.4" customHeight="1" s="1">
      <c r="B780" s="16" t="n">
        <v>775</v>
      </c>
      <c r="C780" s="16" t="inlineStr">
        <is>
          <t>油气生产运行综合监控与多维数据分析看板服务</t>
        </is>
      </c>
      <c r="D780" s="16" t="inlineStr">
        <is>
          <t>管理驾驶舱</t>
        </is>
      </c>
      <c r="E780" s="16" t="inlineStr">
        <is>
          <t>报表</t>
        </is>
      </c>
      <c r="F780" s="16" t="inlineStr">
        <is>
          <t>日报</t>
        </is>
      </c>
      <c r="G780" s="17" t="inlineStr">
        <is>
          <t xml:space="preserve"> 提供运行日报定时自动生成和分发服务</t>
        </is>
      </c>
      <c r="H780" s="18" t="inlineStr">
        <is>
          <t>EI</t>
        </is>
      </c>
      <c r="I780" s="18">
        <f>IF(H780="ILF",10,IF(H780="EIF",7,IF(H780="EI",4,IF(H780="EO",5,IF(H780="EQ",4,"")))))</f>
        <v/>
      </c>
      <c r="J780" s="18" t="inlineStr">
        <is>
          <t>中</t>
        </is>
      </c>
      <c r="K780" s="18">
        <f>IF(J780="高",0.33,IF(J780="中",0.67,IF(J780="低",1,"")))</f>
        <v/>
      </c>
      <c r="L780" s="18" t="inlineStr">
        <is>
          <t>新增</t>
        </is>
      </c>
      <c r="M780" s="18">
        <f>IF(L780="新增",1,IF(L780="修改",0.8,IF(L780="删除",0.2,"")))</f>
        <v/>
      </c>
      <c r="N780" s="18">
        <f>I780*K780*M780</f>
        <v/>
      </c>
    </row>
    <row r="781" ht="14.4" customHeight="1" s="1">
      <c r="B781" s="16" t="n">
        <v>776</v>
      </c>
      <c r="C781" s="16" t="inlineStr">
        <is>
          <t>油气生产运行综合监控与多维数据分析看板服务</t>
        </is>
      </c>
      <c r="D781" s="16" t="inlineStr">
        <is>
          <t>管理驾驶舱</t>
        </is>
      </c>
      <c r="E781" s="16" t="inlineStr">
        <is>
          <t>报表</t>
        </is>
      </c>
      <c r="F781" s="16" t="inlineStr">
        <is>
          <t>周报</t>
        </is>
      </c>
      <c r="G781" s="17" t="inlineStr">
        <is>
          <t xml:space="preserve"> 提供运行周报定时自动生成和分发服务</t>
        </is>
      </c>
      <c r="H781" s="18" t="inlineStr">
        <is>
          <t>EI</t>
        </is>
      </c>
      <c r="I781" s="18">
        <f>IF(H781="ILF",10,IF(H781="EIF",7,IF(H781="EI",4,IF(H781="EO",5,IF(H781="EQ",4,"")))))</f>
        <v/>
      </c>
      <c r="J781" s="18" t="inlineStr">
        <is>
          <t>高</t>
        </is>
      </c>
      <c r="K781" s="18">
        <f>IF(J781="高",0.33,IF(J781="中",0.67,IF(J781="低",1,"")))</f>
        <v/>
      </c>
      <c r="L781" s="18" t="inlineStr">
        <is>
          <t>新增</t>
        </is>
      </c>
      <c r="M781" s="18">
        <f>IF(L781="新增",1,IF(L781="修改",0.8,IF(L781="删除",0.2,"")))</f>
        <v/>
      </c>
      <c r="N781" s="18">
        <f>I781*K781*M781</f>
        <v/>
      </c>
    </row>
    <row r="782" ht="14.4" customHeight="1" s="1">
      <c r="B782" s="16" t="n">
        <v>777</v>
      </c>
      <c r="C782" s="16" t="inlineStr">
        <is>
          <t>油气生产运行综合监控与多维数据分析看板服务</t>
        </is>
      </c>
      <c r="D782" s="16" t="inlineStr">
        <is>
          <t>管理驾驶舱</t>
        </is>
      </c>
      <c r="E782" s="16" t="inlineStr">
        <is>
          <t>报表</t>
        </is>
      </c>
      <c r="F782" s="16" t="inlineStr">
        <is>
          <t>月报</t>
        </is>
      </c>
      <c r="G782" s="17" t="inlineStr">
        <is>
          <t xml:space="preserve"> 提供运行月报定时自动生成和分发服务</t>
        </is>
      </c>
      <c r="H782" s="18" t="inlineStr">
        <is>
          <t>EO</t>
        </is>
      </c>
      <c r="I782" s="18">
        <f>IF(H782="ILF",10,IF(H782="EIF",7,IF(H782="EI",4,IF(H782="EO",5,IF(H782="EQ",4,"")))))</f>
        <v/>
      </c>
      <c r="J782" s="18" t="inlineStr">
        <is>
          <t>低</t>
        </is>
      </c>
      <c r="K782" s="18">
        <f>IF(J782="高",0.33,IF(J782="中",0.67,IF(J782="低",1,"")))</f>
        <v/>
      </c>
      <c r="L782" s="18" t="inlineStr">
        <is>
          <t>新增</t>
        </is>
      </c>
      <c r="M782" s="18">
        <f>IF(L782="新增",1,IF(L782="修改",0.8,IF(L782="删除",0.2,"")))</f>
        <v/>
      </c>
      <c r="N782" s="18">
        <f>I782*K782*M782</f>
        <v/>
      </c>
    </row>
    <row r="783" ht="14.4" customHeight="1" s="1">
      <c r="B783" s="16" t="n">
        <v>778</v>
      </c>
      <c r="C783" s="16" t="inlineStr">
        <is>
          <t>油气生产运行综合监控与多维数据分析看板服务</t>
        </is>
      </c>
      <c r="D783" s="16" t="inlineStr">
        <is>
          <t>管理驾驶舱</t>
        </is>
      </c>
      <c r="E783" s="16" t="inlineStr">
        <is>
          <t>报表</t>
        </is>
      </c>
      <c r="F783" s="16" t="inlineStr">
        <is>
          <t>邮件分发</t>
        </is>
      </c>
      <c r="G783" s="17" t="inlineStr">
        <is>
          <t xml:space="preserve"> 提供报表通过邮件自动分发服务</t>
        </is>
      </c>
      <c r="H783" s="18" t="inlineStr">
        <is>
          <t>EO</t>
        </is>
      </c>
      <c r="I783" s="18">
        <f>IF(H783="ILF",10,IF(H783="EIF",7,IF(H783="EI",4,IF(H783="EO",5,IF(H783="EQ",4,"")))))</f>
        <v/>
      </c>
      <c r="J783" s="18" t="inlineStr">
        <is>
          <t>低</t>
        </is>
      </c>
      <c r="K783" s="18">
        <f>IF(J783="高",0.33,IF(J783="中",0.67,IF(J783="低",1,"")))</f>
        <v/>
      </c>
      <c r="L783" s="18" t="inlineStr">
        <is>
          <t>新增</t>
        </is>
      </c>
      <c r="M783" s="18">
        <f>IF(L783="新增",1,IF(L783="修改",0.8,IF(L783="删除",0.2,"")))</f>
        <v/>
      </c>
      <c r="N783" s="18">
        <f>I783*K783*M783</f>
        <v/>
      </c>
    </row>
    <row r="784" ht="14.4" customHeight="1" s="1">
      <c r="B784" s="16" t="n">
        <v>779</v>
      </c>
      <c r="C784" s="16" t="inlineStr">
        <is>
          <t>油气生产运行综合监控与多维数据分析看板服务</t>
        </is>
      </c>
      <c r="D784" s="16" t="inlineStr">
        <is>
          <t>管理驾驶舱</t>
        </is>
      </c>
      <c r="E784" s="16" t="inlineStr">
        <is>
          <t>报表</t>
        </is>
      </c>
      <c r="F784" s="16" t="inlineStr">
        <is>
          <t>企微分发</t>
        </is>
      </c>
      <c r="G784" s="17" t="inlineStr">
        <is>
          <t xml:space="preserve"> 提供报表通过企业微信分发服务</t>
        </is>
      </c>
      <c r="H784" s="18" t="inlineStr">
        <is>
          <t>EO</t>
        </is>
      </c>
      <c r="I784" s="18">
        <f>IF(H784="ILF",10,IF(H784="EIF",7,IF(H784="EI",4,IF(H784="EO",5,IF(H784="EQ",4,"")))))</f>
        <v/>
      </c>
      <c r="J784" s="18" t="inlineStr">
        <is>
          <t>中</t>
        </is>
      </c>
      <c r="K784" s="18">
        <f>IF(J784="高",0.33,IF(J784="中",0.67,IF(J784="低",1,"")))</f>
        <v/>
      </c>
      <c r="L784" s="18" t="inlineStr">
        <is>
          <t>新增</t>
        </is>
      </c>
      <c r="M784" s="18">
        <f>IF(L784="新增",1,IF(L784="修改",0.8,IF(L784="删除",0.2,"")))</f>
        <v/>
      </c>
      <c r="N784" s="18">
        <f>I784*K784*M784</f>
        <v/>
      </c>
    </row>
    <row r="785" ht="14.4" customHeight="1" s="1">
      <c r="B785" s="16" t="n">
        <v>780</v>
      </c>
      <c r="C785" s="16" t="inlineStr">
        <is>
          <t>油气生产运行综合监控与多维数据分析看板服务</t>
        </is>
      </c>
      <c r="D785" s="16" t="inlineStr">
        <is>
          <t>管理驾驶舱</t>
        </is>
      </c>
      <c r="E785" s="16" t="inlineStr">
        <is>
          <t>报表</t>
        </is>
      </c>
      <c r="F785" s="16" t="inlineStr">
        <is>
          <t>模板管理</t>
        </is>
      </c>
      <c r="G785" s="17" t="inlineStr">
        <is>
          <t xml:space="preserve"> 提供报表模板自定义创建和管理服务</t>
        </is>
      </c>
      <c r="H785" s="18" t="inlineStr">
        <is>
          <t>EO</t>
        </is>
      </c>
      <c r="I785" s="18">
        <f>IF(H785="ILF",10,IF(H785="EIF",7,IF(H785="EI",4,IF(H785="EO",5,IF(H785="EQ",4,"")))))</f>
        <v/>
      </c>
      <c r="J785" s="18" t="inlineStr">
        <is>
          <t>中</t>
        </is>
      </c>
      <c r="K785" s="18">
        <f>IF(J785="高",0.33,IF(J785="中",0.67,IF(J785="低",1,"")))</f>
        <v/>
      </c>
      <c r="L785" s="18" t="inlineStr">
        <is>
          <t>新增</t>
        </is>
      </c>
      <c r="M785" s="18">
        <f>IF(L785="新增",1,IF(L785="修改",0.8,IF(L785="删除",0.2,"")))</f>
        <v/>
      </c>
      <c r="N785" s="18">
        <f>I785*K785*M785</f>
        <v/>
      </c>
    </row>
    <row r="786" ht="14.4" customHeight="1" s="1">
      <c r="B786" s="16" t="n">
        <v>781</v>
      </c>
      <c r="C786" s="16" t="inlineStr">
        <is>
          <t>油气生产运行综合监控与多维数据分析看板服务</t>
        </is>
      </c>
      <c r="D786" s="16" t="inlineStr">
        <is>
          <t>管理驾驶舱</t>
        </is>
      </c>
      <c r="E786" s="16" t="inlineStr">
        <is>
          <t>报表</t>
        </is>
      </c>
      <c r="F786" s="16" t="inlineStr">
        <is>
          <t>订阅管理</t>
        </is>
      </c>
      <c r="G786" s="17" t="inlineStr">
        <is>
          <t xml:space="preserve"> 提供报表订阅用户和频率管理服务</t>
        </is>
      </c>
      <c r="H786" s="18" t="inlineStr">
        <is>
          <t>EO</t>
        </is>
      </c>
      <c r="I786" s="18">
        <f>IF(H786="ILF",10,IF(H786="EIF",7,IF(H786="EI",4,IF(H786="EO",5,IF(H786="EQ",4,"")))))</f>
        <v/>
      </c>
      <c r="J786" s="18" t="inlineStr">
        <is>
          <t>中</t>
        </is>
      </c>
      <c r="K786" s="18">
        <f>IF(J786="高",0.33,IF(J786="中",0.67,IF(J786="低",1,"")))</f>
        <v/>
      </c>
      <c r="L786" s="18" t="inlineStr">
        <is>
          <t>新增</t>
        </is>
      </c>
      <c r="M786" s="18">
        <f>IF(L786="新增",1,IF(L786="修改",0.8,IF(L786="删除",0.2,"")))</f>
        <v/>
      </c>
      <c r="N786" s="18">
        <f>I786*K786*M786</f>
        <v/>
      </c>
    </row>
    <row r="787" ht="14.4" customHeight="1" s="1">
      <c r="B787" s="16" t="n">
        <v>782</v>
      </c>
      <c r="C787" s="16" t="inlineStr">
        <is>
          <t>油气生产运行综合监控与多维数据分析看板服务</t>
        </is>
      </c>
      <c r="D787" s="16" t="inlineStr">
        <is>
          <t>管理驾驶舱</t>
        </is>
      </c>
      <c r="E787" s="16" t="inlineStr">
        <is>
          <t>报表</t>
        </is>
      </c>
      <c r="F787" s="16" t="inlineStr">
        <is>
          <t>历史查询</t>
        </is>
      </c>
      <c r="G787" s="17" t="inlineStr">
        <is>
          <t xml:space="preserve"> 提供历史报表查询和下载服务</t>
        </is>
      </c>
      <c r="H787" s="18" t="inlineStr">
        <is>
          <t>EO</t>
        </is>
      </c>
      <c r="I787" s="18">
        <f>IF(H787="ILF",10,IF(H787="EIF",7,IF(H787="EI",4,IF(H787="EO",5,IF(H787="EQ",4,"")))))</f>
        <v/>
      </c>
      <c r="J787" s="18" t="inlineStr">
        <is>
          <t>中</t>
        </is>
      </c>
      <c r="K787" s="18">
        <f>IF(J787="高",0.33,IF(J787="中",0.67,IF(J787="低",1,"")))</f>
        <v/>
      </c>
      <c r="L787" s="18" t="inlineStr">
        <is>
          <t>新增</t>
        </is>
      </c>
      <c r="M787" s="18">
        <f>IF(L787="新增",1,IF(L787="修改",0.8,IF(L787="删除",0.2,"")))</f>
        <v/>
      </c>
      <c r="N787" s="18">
        <f>I787*K787*M787</f>
        <v/>
      </c>
    </row>
    <row r="788" ht="14.4" customHeight="1" s="1">
      <c r="B788" s="16" t="n">
        <v>783</v>
      </c>
      <c r="C788" s="16" t="inlineStr">
        <is>
          <t>油气生产运行综合监控与多维数据分析看板服务</t>
        </is>
      </c>
      <c r="D788" s="16" t="inlineStr">
        <is>
          <t>管理驾驶舱</t>
        </is>
      </c>
      <c r="E788" s="16" t="inlineStr">
        <is>
          <t>下钻</t>
        </is>
      </c>
      <c r="F788" s="16" t="inlineStr">
        <is>
          <t>采油厂下钻</t>
        </is>
      </c>
      <c r="G788" s="17" t="inlineStr">
        <is>
          <t xml:space="preserve"> 提供从全局KPI下钻到采油厂级数据服务</t>
        </is>
      </c>
      <c r="H788" s="18" t="inlineStr">
        <is>
          <t>EO</t>
        </is>
      </c>
      <c r="I788" s="18">
        <f>IF(H788="ILF",10,IF(H788="EIF",7,IF(H788="EI",4,IF(H788="EO",5,IF(H788="EQ",4,"")))))</f>
        <v/>
      </c>
      <c r="J788" s="18" t="inlineStr">
        <is>
          <t>中</t>
        </is>
      </c>
      <c r="K788" s="18">
        <f>IF(J788="高",0.33,IF(J788="中",0.67,IF(J788="低",1,"")))</f>
        <v/>
      </c>
      <c r="L788" s="18" t="inlineStr">
        <is>
          <t>新增</t>
        </is>
      </c>
      <c r="M788" s="18">
        <f>IF(L788="新增",1,IF(L788="修改",0.8,IF(L788="删除",0.2,"")))</f>
        <v/>
      </c>
      <c r="N788" s="18">
        <f>I788*K788*M788</f>
        <v/>
      </c>
    </row>
    <row r="789" ht="14.4" customHeight="1" s="1">
      <c r="B789" s="16" t="n">
        <v>784</v>
      </c>
      <c r="C789" s="16" t="inlineStr">
        <is>
          <t>油气生产运行综合监控与多维数据分析看板服务</t>
        </is>
      </c>
      <c r="D789" s="16" t="inlineStr">
        <is>
          <t>管理驾驶舱</t>
        </is>
      </c>
      <c r="E789" s="16" t="inlineStr">
        <is>
          <t>下钻</t>
        </is>
      </c>
      <c r="F789" s="16" t="inlineStr">
        <is>
          <t>作业区下钻</t>
        </is>
      </c>
      <c r="G789" s="17" t="inlineStr">
        <is>
          <t xml:space="preserve"> 提供从采油厂下钻到作业区级数据服务</t>
        </is>
      </c>
      <c r="H789" s="18" t="inlineStr">
        <is>
          <t>EO</t>
        </is>
      </c>
      <c r="I789" s="18">
        <f>IF(H789="ILF",10,IF(H789="EIF",7,IF(H789="EI",4,IF(H789="EO",5,IF(H789="EQ",4,"")))))</f>
        <v/>
      </c>
      <c r="J789" s="18" t="inlineStr">
        <is>
          <t>中</t>
        </is>
      </c>
      <c r="K789" s="18">
        <f>IF(J789="高",0.33,IF(J789="中",0.67,IF(J789="低",1,"")))</f>
        <v/>
      </c>
      <c r="L789" s="18" t="inlineStr">
        <is>
          <t>新增</t>
        </is>
      </c>
      <c r="M789" s="18">
        <f>IF(L789="新增",1,IF(L789="修改",0.8,IF(L789="删除",0.2,"")))</f>
        <v/>
      </c>
      <c r="N789" s="18">
        <f>I789*K789*M789</f>
        <v/>
      </c>
    </row>
    <row r="790" ht="14.4" customHeight="1" s="1">
      <c r="B790" s="16" t="n">
        <v>785</v>
      </c>
      <c r="C790" s="16" t="inlineStr">
        <is>
          <t>油气生产运行综合监控与多维数据分析看板服务</t>
        </is>
      </c>
      <c r="D790" s="16" t="inlineStr">
        <is>
          <t>管理驾驶舱</t>
        </is>
      </c>
      <c r="E790" s="16" t="inlineStr">
        <is>
          <t>下钻</t>
        </is>
      </c>
      <c r="F790" s="16" t="inlineStr">
        <is>
          <t>站库下钻</t>
        </is>
      </c>
      <c r="G790" s="17" t="inlineStr">
        <is>
          <t xml:space="preserve"> 提供从作业区下钻到站库级数据服务</t>
        </is>
      </c>
      <c r="H790" s="18" t="inlineStr">
        <is>
          <t>EQ</t>
        </is>
      </c>
      <c r="I790" s="18">
        <f>IF(H790="ILF",10,IF(H790="EIF",7,IF(H790="EI",4,IF(H790="EO",5,IF(H790="EQ",4,"")))))</f>
        <v/>
      </c>
      <c r="J790" s="18" t="inlineStr">
        <is>
          <t>低</t>
        </is>
      </c>
      <c r="K790" s="18">
        <f>IF(J790="高",0.33,IF(J790="中",0.67,IF(J790="低",1,"")))</f>
        <v/>
      </c>
      <c r="L790" s="18" t="inlineStr">
        <is>
          <t>新增</t>
        </is>
      </c>
      <c r="M790" s="18">
        <f>IF(L790="新增",1,IF(L790="修改",0.8,IF(L790="删除",0.2,"")))</f>
        <v/>
      </c>
      <c r="N790" s="18">
        <f>I790*K790*M790</f>
        <v/>
      </c>
    </row>
    <row r="791" ht="14.4" customHeight="1" s="1">
      <c r="B791" s="16" t="n">
        <v>786</v>
      </c>
      <c r="C791" s="16" t="inlineStr">
        <is>
          <t>油气生产运行综合监控与多维数据分析看板服务</t>
        </is>
      </c>
      <c r="D791" s="16" t="inlineStr">
        <is>
          <t>管理驾驶舱</t>
        </is>
      </c>
      <c r="E791" s="16" t="inlineStr">
        <is>
          <t>下钻</t>
        </is>
      </c>
      <c r="F791" s="16" t="inlineStr">
        <is>
          <t>设备下钻</t>
        </is>
      </c>
      <c r="G791" s="17" t="inlineStr">
        <is>
          <t xml:space="preserve"> 提供从站库下钻到设备级数据服务</t>
        </is>
      </c>
      <c r="H791" s="18" t="inlineStr">
        <is>
          <t>EQ</t>
        </is>
      </c>
      <c r="I791" s="18">
        <f>IF(H791="ILF",10,IF(H791="EIF",7,IF(H791="EI",4,IF(H791="EO",5,IF(H791="EQ",4,"")))))</f>
        <v/>
      </c>
      <c r="J791" s="18" t="inlineStr">
        <is>
          <t>低</t>
        </is>
      </c>
      <c r="K791" s="18">
        <f>IF(J791="高",0.33,IF(J791="中",0.67,IF(J791="低",1,"")))</f>
        <v/>
      </c>
      <c r="L791" s="18" t="inlineStr">
        <is>
          <t>新增</t>
        </is>
      </c>
      <c r="M791" s="18">
        <f>IF(L791="新增",1,IF(L791="修改",0.8,IF(L791="删除",0.2,"")))</f>
        <v/>
      </c>
      <c r="N791" s="18">
        <f>I791*K791*M791</f>
        <v/>
      </c>
    </row>
    <row r="792" ht="14.4" customHeight="1" s="1">
      <c r="B792" s="16" t="n">
        <v>787</v>
      </c>
      <c r="C792" s="16" t="inlineStr">
        <is>
          <t>油气生产运行综合监控与多维数据分析看板服务</t>
        </is>
      </c>
      <c r="D792" s="16" t="inlineStr">
        <is>
          <t>管理驾驶舱</t>
        </is>
      </c>
      <c r="E792" s="16" t="inlineStr">
        <is>
          <t>下钻</t>
        </is>
      </c>
      <c r="F792" s="16" t="inlineStr">
        <is>
          <t>时间下钻</t>
        </is>
      </c>
      <c r="G792" s="17" t="inlineStr">
        <is>
          <t xml:space="preserve"> 提供从月下钻到日/小时/分钟级数据服务</t>
        </is>
      </c>
      <c r="H792" s="18" t="inlineStr">
        <is>
          <t>EQ</t>
        </is>
      </c>
      <c r="I792" s="18">
        <f>IF(H792="ILF",10,IF(H792="EIF",7,IF(H792="EI",4,IF(H792="EO",5,IF(H792="EQ",4,"")))))</f>
        <v/>
      </c>
      <c r="J792" s="18" t="inlineStr">
        <is>
          <t>低</t>
        </is>
      </c>
      <c r="K792" s="18">
        <f>IF(J792="高",0.33,IF(J792="中",0.67,IF(J792="低",1,"")))</f>
        <v/>
      </c>
      <c r="L792" s="18" t="inlineStr">
        <is>
          <t>新增</t>
        </is>
      </c>
      <c r="M792" s="18">
        <f>IF(L792="新增",1,IF(L792="修改",0.8,IF(L792="删除",0.2,"")))</f>
        <v/>
      </c>
      <c r="N792" s="18">
        <f>I792*K792*M792</f>
        <v/>
      </c>
    </row>
    <row r="793" ht="14.4" customHeight="1" s="1">
      <c r="B793" s="16" t="n">
        <v>788</v>
      </c>
      <c r="C793" s="16" t="inlineStr">
        <is>
          <t>油气生产运行综合监控与多维数据分析看板服务</t>
        </is>
      </c>
      <c r="D793" s="16" t="inlineStr">
        <is>
          <t>监控大屏服务</t>
        </is>
      </c>
      <c r="E793" s="16" t="inlineStr">
        <is>
          <t>扩展看板配置</t>
        </is>
      </c>
      <c r="F793" s="16" t="inlineStr">
        <is>
          <t>实时数据看板</t>
        </is>
      </c>
      <c r="G793" s="17" t="inlineStr">
        <is>
          <t xml:space="preserve"> 提供实时数据刷新看板配置服务</t>
        </is>
      </c>
      <c r="H793" s="18" t="inlineStr">
        <is>
          <t>EQ</t>
        </is>
      </c>
      <c r="I793" s="18">
        <f>IF(H793="ILF",10,IF(H793="EIF",7,IF(H793="EI",4,IF(H793="EO",5,IF(H793="EQ",4,"")))))</f>
        <v/>
      </c>
      <c r="J793" s="18" t="inlineStr">
        <is>
          <t>低</t>
        </is>
      </c>
      <c r="K793" s="18">
        <f>IF(J793="高",0.33,IF(J793="中",0.67,IF(J793="低",1,"")))</f>
        <v/>
      </c>
      <c r="L793" s="18" t="inlineStr">
        <is>
          <t>新增</t>
        </is>
      </c>
      <c r="M793" s="18">
        <f>IF(L793="新增",1,IF(L793="修改",0.8,IF(L793="删除",0.2,"")))</f>
        <v/>
      </c>
      <c r="N793" s="18">
        <f>I793*K793*M793</f>
        <v/>
      </c>
    </row>
    <row r="794" ht="14.4" customHeight="1" s="1">
      <c r="B794" s="16" t="n">
        <v>789</v>
      </c>
      <c r="C794" s="16" t="inlineStr">
        <is>
          <t>油气生产运行综合监控与多维数据分析看板服务</t>
        </is>
      </c>
      <c r="D794" s="16" t="inlineStr">
        <is>
          <t>监控大屏服务</t>
        </is>
      </c>
      <c r="E794" s="16" t="inlineStr">
        <is>
          <t>扩展看板配置</t>
        </is>
      </c>
      <c r="F794" s="16" t="inlineStr">
        <is>
          <t>趋势分析看板</t>
        </is>
      </c>
      <c r="G794" s="17" t="inlineStr">
        <is>
          <t xml:space="preserve"> 提供历史趋势分析看板配置服务</t>
        </is>
      </c>
      <c r="H794" s="18" t="inlineStr">
        <is>
          <t>EQ</t>
        </is>
      </c>
      <c r="I794" s="18">
        <f>IF(H794="ILF",10,IF(H794="EIF",7,IF(H794="EI",4,IF(H794="EO",5,IF(H794="EQ",4,"")))))</f>
        <v/>
      </c>
      <c r="J794" s="18" t="inlineStr">
        <is>
          <t>低</t>
        </is>
      </c>
      <c r="K794" s="18">
        <f>IF(J794="高",0.33,IF(J794="中",0.67,IF(J794="低",1,"")))</f>
        <v/>
      </c>
      <c r="L794" s="18" t="inlineStr">
        <is>
          <t>新增</t>
        </is>
      </c>
      <c r="M794" s="18">
        <f>IF(L794="新增",1,IF(L794="修改",0.8,IF(L794="删除",0.2,"")))</f>
        <v/>
      </c>
      <c r="N794" s="18">
        <f>I794*K794*M794</f>
        <v/>
      </c>
    </row>
    <row r="795" ht="14.4" customHeight="1" s="1">
      <c r="B795" s="16" t="n">
        <v>790</v>
      </c>
      <c r="C795" s="16" t="inlineStr">
        <is>
          <t>油气生产运行综合监控与多维数据分析看板服务</t>
        </is>
      </c>
      <c r="D795" s="16" t="inlineStr">
        <is>
          <t>监控大屏服务</t>
        </is>
      </c>
      <c r="E795" s="16" t="inlineStr">
        <is>
          <t>扩展看板配置</t>
        </is>
      </c>
      <c r="F795" s="16" t="inlineStr">
        <is>
          <t>异常检测看板</t>
        </is>
      </c>
      <c r="G795" s="17" t="inlineStr">
        <is>
          <t xml:space="preserve"> 提供异常数据检测看板配置服务</t>
        </is>
      </c>
      <c r="H795" s="18" t="inlineStr">
        <is>
          <t>EQ</t>
        </is>
      </c>
      <c r="I795" s="18">
        <f>IF(H795="ILF",10,IF(H795="EIF",7,IF(H795="EI",4,IF(H795="EO",5,IF(H795="EQ",4,"")))))</f>
        <v/>
      </c>
      <c r="J795" s="18" t="inlineStr">
        <is>
          <t>低</t>
        </is>
      </c>
      <c r="K795" s="18">
        <f>IF(J795="高",0.33,IF(J795="中",0.67,IF(J795="低",1,"")))</f>
        <v/>
      </c>
      <c r="L795" s="18" t="inlineStr">
        <is>
          <t>新增</t>
        </is>
      </c>
      <c r="M795" s="18">
        <f>IF(L795="新增",1,IF(L795="修改",0.8,IF(L795="删除",0.2,"")))</f>
        <v/>
      </c>
      <c r="N795" s="18">
        <f>I795*K795*M795</f>
        <v/>
      </c>
    </row>
    <row r="796" ht="14.4" customHeight="1" s="1">
      <c r="B796" s="16" t="n">
        <v>791</v>
      </c>
      <c r="C796" s="16" t="inlineStr">
        <is>
          <t>油气生产运行综合监控与多维数据分析看板服务</t>
        </is>
      </c>
      <c r="D796" s="16" t="inlineStr">
        <is>
          <t>监控大屏服务</t>
        </is>
      </c>
      <c r="E796" s="16" t="inlineStr">
        <is>
          <t>扩展看板配置</t>
        </is>
      </c>
      <c r="F796" s="16" t="inlineStr">
        <is>
          <t>排行榜看板</t>
        </is>
      </c>
      <c r="G796" s="17" t="inlineStr">
        <is>
          <t xml:space="preserve"> 提供指标排行榜看板配置服务</t>
        </is>
      </c>
      <c r="H796" s="18" t="inlineStr">
        <is>
          <t>EQ</t>
        </is>
      </c>
      <c r="I796" s="18">
        <f>IF(H796="ILF",10,IF(H796="EIF",7,IF(H796="EI",4,IF(H796="EO",5,IF(H796="EQ",4,"")))))</f>
        <v/>
      </c>
      <c r="J796" s="18" t="inlineStr">
        <is>
          <t>中</t>
        </is>
      </c>
      <c r="K796" s="18">
        <f>IF(J796="高",0.33,IF(J796="中",0.67,IF(J796="低",1,"")))</f>
        <v/>
      </c>
      <c r="L796" s="18" t="inlineStr">
        <is>
          <t>新增</t>
        </is>
      </c>
      <c r="M796" s="18">
        <f>IF(L796="新增",1,IF(L796="修改",0.8,IF(L796="删除",0.2,"")))</f>
        <v/>
      </c>
      <c r="N796" s="18">
        <f>I796*K796*M796</f>
        <v/>
      </c>
    </row>
    <row r="797" ht="14.4" customHeight="1" s="1">
      <c r="B797" s="16" t="n">
        <v>792</v>
      </c>
      <c r="C797" s="16" t="inlineStr">
        <is>
          <t>油气生产运行综合监控与多维数据分析看板服务</t>
        </is>
      </c>
      <c r="D797" s="16" t="inlineStr">
        <is>
          <t>监控大屏服务</t>
        </is>
      </c>
      <c r="E797" s="16" t="inlineStr">
        <is>
          <t>扩展看板配置</t>
        </is>
      </c>
      <c r="F797" s="16" t="inlineStr">
        <is>
          <t>预警看板</t>
        </is>
      </c>
      <c r="G797" s="17" t="inlineStr">
        <is>
          <t xml:space="preserve"> 提供预警状态集中展示看板配置服务</t>
        </is>
      </c>
      <c r="H797" s="18" t="inlineStr">
        <is>
          <t>EQ</t>
        </is>
      </c>
      <c r="I797" s="18">
        <f>IF(H797="ILF",10,IF(H797="EIF",7,IF(H797="EI",4,IF(H797="EO",5,IF(H797="EQ",4,"")))))</f>
        <v/>
      </c>
      <c r="J797" s="18" t="inlineStr">
        <is>
          <t>中</t>
        </is>
      </c>
      <c r="K797" s="18">
        <f>IF(J797="高",0.33,IF(J797="中",0.67,IF(J797="低",1,"")))</f>
        <v/>
      </c>
      <c r="L797" s="18" t="inlineStr">
        <is>
          <t>新增</t>
        </is>
      </c>
      <c r="M797" s="18">
        <f>IF(L797="新增",1,IF(L797="修改",0.8,IF(L797="删除",0.2,"")))</f>
        <v/>
      </c>
      <c r="N797" s="18">
        <f>I797*K797*M797</f>
        <v/>
      </c>
    </row>
    <row r="798" ht="14.4" customHeight="1" s="1">
      <c r="B798" s="16" t="n">
        <v>793</v>
      </c>
      <c r="C798" s="16" t="inlineStr">
        <is>
          <t>油气生产运行综合监控与多维数据分析看板服务</t>
        </is>
      </c>
      <c r="D798" s="16" t="inlineStr">
        <is>
          <t>监控大屏服务</t>
        </is>
      </c>
      <c r="E798" s="16" t="inlineStr">
        <is>
          <t>扩展看板配置</t>
        </is>
      </c>
      <c r="F798" s="16" t="inlineStr">
        <is>
          <t>运维看板</t>
        </is>
      </c>
      <c r="G798" s="17" t="inlineStr">
        <is>
          <t xml:space="preserve"> 提供系统运维状态看板配置服务</t>
        </is>
      </c>
      <c r="H798" s="18" t="inlineStr">
        <is>
          <t>EQ</t>
        </is>
      </c>
      <c r="I798" s="18">
        <f>IF(H798="ILF",10,IF(H798="EIF",7,IF(H798="EI",4,IF(H798="EO",5,IF(H798="EQ",4,"")))))</f>
        <v/>
      </c>
      <c r="J798" s="18" t="inlineStr">
        <is>
          <t>中</t>
        </is>
      </c>
      <c r="K798" s="18">
        <f>IF(J798="高",0.33,IF(J798="中",0.67,IF(J798="低",1,"")))</f>
        <v/>
      </c>
      <c r="L798" s="18" t="inlineStr">
        <is>
          <t>新增</t>
        </is>
      </c>
      <c r="M798" s="18">
        <f>IF(L798="新增",1,IF(L798="修改",0.8,IF(L798="删除",0.2,"")))</f>
        <v/>
      </c>
      <c r="N798" s="18">
        <f>I798*K798*M798</f>
        <v/>
      </c>
    </row>
    <row r="799" ht="14.4" customHeight="1" s="1">
      <c r="B799" s="16" t="n">
        <v>794</v>
      </c>
      <c r="C799" s="16" t="inlineStr">
        <is>
          <t>油气生产运行综合监控与多维数据分析看板服务</t>
        </is>
      </c>
      <c r="D799" s="16" t="inlineStr">
        <is>
          <t>监控大屏服务</t>
        </is>
      </c>
      <c r="E799" s="16" t="inlineStr">
        <is>
          <t>扩展看板配置</t>
        </is>
      </c>
      <c r="F799" s="16" t="inlineStr">
        <is>
          <t>安全看板</t>
        </is>
      </c>
      <c r="G799" s="17" t="inlineStr">
        <is>
          <t xml:space="preserve"> 提供安全事件看板配置服务</t>
        </is>
      </c>
      <c r="H799" s="18" t="inlineStr">
        <is>
          <t>EQ</t>
        </is>
      </c>
      <c r="I799" s="18">
        <f>IF(H799="ILF",10,IF(H799="EIF",7,IF(H799="EI",4,IF(H799="EO",5,IF(H799="EQ",4,"")))))</f>
        <v/>
      </c>
      <c r="J799" s="18" t="inlineStr">
        <is>
          <t>中</t>
        </is>
      </c>
      <c r="K799" s="18">
        <f>IF(J799="高",0.33,IF(J799="中",0.67,IF(J799="低",1,"")))</f>
        <v/>
      </c>
      <c r="L799" s="18" t="inlineStr">
        <is>
          <t>新增</t>
        </is>
      </c>
      <c r="M799" s="18">
        <f>IF(L799="新增",1,IF(L799="修改",0.8,IF(L799="删除",0.2,"")))</f>
        <v/>
      </c>
      <c r="N799" s="18">
        <f>I799*K799*M799</f>
        <v/>
      </c>
    </row>
    <row r="800" ht="14.4" customHeight="1" s="1">
      <c r="B800" s="16" t="n">
        <v>795</v>
      </c>
      <c r="C800" s="16" t="inlineStr">
        <is>
          <t>油气生产运行综合监控与多维数据分析看板服务</t>
        </is>
      </c>
      <c r="D800" s="16" t="inlineStr">
        <is>
          <t>监控大屏服务</t>
        </is>
      </c>
      <c r="E800" s="16" t="inlineStr">
        <is>
          <t>扩展看板配置</t>
        </is>
      </c>
      <c r="F800" s="16" t="inlineStr">
        <is>
          <t>大屏模式</t>
        </is>
      </c>
      <c r="G800" s="17" t="inlineStr">
        <is>
          <t xml:space="preserve"> 提供全屏大屏展示模式配置服务</t>
        </is>
      </c>
      <c r="H800" s="18" t="inlineStr">
        <is>
          <t>EQ</t>
        </is>
      </c>
      <c r="I800" s="18">
        <f>IF(H800="ILF",10,IF(H800="EIF",7,IF(H800="EI",4,IF(H800="EO",5,IF(H800="EQ",4,"")))))</f>
        <v/>
      </c>
      <c r="J800" s="18" t="inlineStr">
        <is>
          <t>中</t>
        </is>
      </c>
      <c r="K800" s="18">
        <f>IF(J800="高",0.33,IF(J800="中",0.67,IF(J800="低",1,"")))</f>
        <v/>
      </c>
      <c r="L800" s="18" t="inlineStr">
        <is>
          <t>新增</t>
        </is>
      </c>
      <c r="M800" s="18">
        <f>IF(L800="新增",1,IF(L800="修改",0.8,IF(L800="删除",0.2,"")))</f>
        <v/>
      </c>
      <c r="N800" s="18">
        <f>I800*K800*M800</f>
        <v/>
      </c>
    </row>
    <row r="801" ht="14.4" customHeight="1" s="1">
      <c r="B801" s="16" t="n">
        <v>796</v>
      </c>
      <c r="C801" s="16" t="inlineStr">
        <is>
          <t>油气生产运行综合监控与多维数据分析看板服务</t>
        </is>
      </c>
      <c r="D801" s="16" t="inlineStr">
        <is>
          <t>监控大屏服务</t>
        </is>
      </c>
      <c r="E801" s="16" t="inlineStr">
        <is>
          <t>扩展看板配置</t>
        </is>
      </c>
      <c r="F801" s="16" t="inlineStr">
        <is>
          <t>自动轮播</t>
        </is>
      </c>
      <c r="G801" s="17" t="inlineStr">
        <is>
          <t xml:space="preserve"> 提供大屏自动轮播切换配置服务</t>
        </is>
      </c>
      <c r="H801" s="18" t="inlineStr">
        <is>
          <t>EQ</t>
        </is>
      </c>
      <c r="I801" s="18">
        <f>IF(H801="ILF",10,IF(H801="EIF",7,IF(H801="EI",4,IF(H801="EO",5,IF(H801="EQ",4,"")))))</f>
        <v/>
      </c>
      <c r="J801" s="18" t="inlineStr">
        <is>
          <t>中</t>
        </is>
      </c>
      <c r="K801" s="18">
        <f>IF(J801="高",0.33,IF(J801="中",0.67,IF(J801="低",1,"")))</f>
        <v/>
      </c>
      <c r="L801" s="18" t="inlineStr">
        <is>
          <t>新增</t>
        </is>
      </c>
      <c r="M801" s="18">
        <f>IF(L801="新增",1,IF(L801="修改",0.8,IF(L801="删除",0.2,"")))</f>
        <v/>
      </c>
      <c r="N801" s="18">
        <f>I801*K801*M801</f>
        <v/>
      </c>
    </row>
    <row r="802" ht="14.4" customHeight="1" s="1">
      <c r="B802" s="16" t="n">
        <v>797</v>
      </c>
      <c r="C802" s="16" t="inlineStr">
        <is>
          <t>油气生产运行综合监控与多维数据分析看板服务</t>
        </is>
      </c>
      <c r="D802" s="16" t="inlineStr">
        <is>
          <t>监控大屏服务</t>
        </is>
      </c>
      <c r="E802" s="16" t="inlineStr">
        <is>
          <t>扩展看板配置</t>
        </is>
      </c>
      <c r="F802" s="16" t="inlineStr">
        <is>
          <t>多屏联动</t>
        </is>
      </c>
      <c r="G802" s="17" t="inlineStr">
        <is>
          <t xml:space="preserve"> 提供多屏同步联动展示配置服务</t>
        </is>
      </c>
      <c r="H802" s="18" t="inlineStr">
        <is>
          <t>EQ</t>
        </is>
      </c>
      <c r="I802" s="18">
        <f>IF(H802="ILF",10,IF(H802="EIF",7,IF(H802="EI",4,IF(H802="EO",5,IF(H802="EQ",4,"")))))</f>
        <v/>
      </c>
      <c r="J802" s="18" t="inlineStr">
        <is>
          <t>中</t>
        </is>
      </c>
      <c r="K802" s="18">
        <f>IF(J802="高",0.33,IF(J802="中",0.67,IF(J802="低",1,"")))</f>
        <v/>
      </c>
      <c r="L802" s="18" t="inlineStr">
        <is>
          <t>新增</t>
        </is>
      </c>
      <c r="M802" s="18">
        <f>IF(L802="新增",1,IF(L802="修改",0.8,IF(L802="删除",0.2,"")))</f>
        <v/>
      </c>
      <c r="N802" s="18">
        <f>I802*K802*M802</f>
        <v/>
      </c>
    </row>
    <row r="803" ht="14.4" customHeight="1" s="1">
      <c r="B803" s="16" t="n">
        <v>798</v>
      </c>
      <c r="C803" s="16" t="inlineStr">
        <is>
          <t>油气生产运行综合监控与多维数据分析看板服务</t>
        </is>
      </c>
      <c r="D803" s="16" t="inlineStr">
        <is>
          <t>监控大屏服务</t>
        </is>
      </c>
      <c r="E803" s="16" t="inlineStr">
        <is>
          <t>扩展看板配置</t>
        </is>
      </c>
      <c r="F803" s="16" t="inlineStr">
        <is>
          <t>移动适配</t>
        </is>
      </c>
      <c r="G803" s="17" t="inlineStr">
        <is>
          <t xml:space="preserve"> 提供手机端自适应展示配置服务</t>
        </is>
      </c>
      <c r="H803" s="18" t="inlineStr">
        <is>
          <t>EQ</t>
        </is>
      </c>
      <c r="I803" s="18">
        <f>IF(H803="ILF",10,IF(H803="EIF",7,IF(H803="EI",4,IF(H803="EO",5,IF(H803="EQ",4,"")))))</f>
        <v/>
      </c>
      <c r="J803" s="18" t="inlineStr">
        <is>
          <t>中</t>
        </is>
      </c>
      <c r="K803" s="18">
        <f>IF(J803="高",0.33,IF(J803="中",0.67,IF(J803="低",1,"")))</f>
        <v/>
      </c>
      <c r="L803" s="18" t="inlineStr">
        <is>
          <t>新增</t>
        </is>
      </c>
      <c r="M803" s="18">
        <f>IF(L803="新增",1,IF(L803="修改",0.8,IF(L803="删除",0.2,"")))</f>
        <v/>
      </c>
      <c r="N803" s="18">
        <f>I803*K803*M803</f>
        <v/>
      </c>
    </row>
    <row r="804" ht="14.4" customHeight="1" s="1">
      <c r="B804" s="16" t="n">
        <v>799</v>
      </c>
      <c r="C804" s="16" t="inlineStr">
        <is>
          <t>油气生产运行综合监控与多维数据分析看板服务</t>
        </is>
      </c>
      <c r="D804" s="16" t="inlineStr">
        <is>
          <t>监控大屏服务</t>
        </is>
      </c>
      <c r="E804" s="16" t="inlineStr">
        <is>
          <t>扩展看板配置</t>
        </is>
      </c>
      <c r="F804" s="16" t="inlineStr">
        <is>
          <t>数据预警</t>
        </is>
      </c>
      <c r="G804" s="17" t="inlineStr">
        <is>
          <t xml:space="preserve"> 提供数据预警条件配置服务</t>
        </is>
      </c>
      <c r="H804" s="18" t="inlineStr">
        <is>
          <t>EQ</t>
        </is>
      </c>
      <c r="I804" s="18">
        <f>IF(H804="ILF",10,IF(H804="EIF",7,IF(H804="EI",4,IF(H804="EO",5,IF(H804="EQ",4,"")))))</f>
        <v/>
      </c>
      <c r="J804" s="18" t="inlineStr">
        <is>
          <t>中</t>
        </is>
      </c>
      <c r="K804" s="18">
        <f>IF(J804="高",0.33,IF(J804="中",0.67,IF(J804="低",1,"")))</f>
        <v/>
      </c>
      <c r="L804" s="18" t="inlineStr">
        <is>
          <t>新增</t>
        </is>
      </c>
      <c r="M804" s="18">
        <f>IF(L804="新增",1,IF(L804="修改",0.8,IF(L804="删除",0.2,"")))</f>
        <v/>
      </c>
      <c r="N804" s="18">
        <f>I804*K804*M804</f>
        <v/>
      </c>
    </row>
    <row r="805" ht="14.4" customHeight="1" s="1">
      <c r="B805" s="16" t="n">
        <v>800</v>
      </c>
      <c r="C805" s="16" t="inlineStr">
        <is>
          <t>油气生产运行综合监控与多维数据分析看板服务</t>
        </is>
      </c>
      <c r="D805" s="16" t="inlineStr">
        <is>
          <t>监控大屏服务</t>
        </is>
      </c>
      <c r="E805" s="16" t="inlineStr">
        <is>
          <t>扩展看板配置</t>
        </is>
      </c>
      <c r="F805" s="16" t="inlineStr">
        <is>
          <t>阈值预警</t>
        </is>
      </c>
      <c r="G805" s="17" t="inlineStr">
        <is>
          <t xml:space="preserve"> 提供指标阈值预警配置服务</t>
        </is>
      </c>
      <c r="H805" s="18" t="inlineStr">
        <is>
          <t>EQ</t>
        </is>
      </c>
      <c r="I805" s="18">
        <f>IF(H805="ILF",10,IF(H805="EIF",7,IF(H805="EI",4,IF(H805="EO",5,IF(H805="EQ",4,"")))))</f>
        <v/>
      </c>
      <c r="J805" s="18" t="inlineStr">
        <is>
          <t>中</t>
        </is>
      </c>
      <c r="K805" s="18">
        <f>IF(J805="高",0.33,IF(J805="中",0.67,IF(J805="低",1,"")))</f>
        <v/>
      </c>
      <c r="L805" s="18" t="inlineStr">
        <is>
          <t>新增</t>
        </is>
      </c>
      <c r="M805" s="18">
        <f>IF(L805="新增",1,IF(L805="修改",0.8,IF(L805="删除",0.2,"")))</f>
        <v/>
      </c>
      <c r="N805" s="18">
        <f>I805*K805*M805</f>
        <v/>
      </c>
    </row>
    <row r="806" ht="14.4" customHeight="1" s="1">
      <c r="B806" s="16" t="n">
        <v>801</v>
      </c>
      <c r="C806" s="16" t="inlineStr">
        <is>
          <t>高频时序数据全链路压力测试与性能验证服务</t>
        </is>
      </c>
      <c r="D806" s="16" t="inlineStr">
        <is>
          <t>虚拟设备模拟</t>
        </is>
      </c>
      <c r="E806" s="16" t="inlineStr">
        <is>
          <t>场景配置</t>
        </is>
      </c>
      <c r="F806" s="16" t="inlineStr">
        <is>
          <t>设备故障注入</t>
        </is>
      </c>
      <c r="G806" s="17" t="inlineStr">
        <is>
          <t xml:space="preserve"> 提供模拟设备故障场景服务</t>
        </is>
      </c>
      <c r="H806" s="18" t="inlineStr">
        <is>
          <t>ILF</t>
        </is>
      </c>
      <c r="I806" s="18">
        <f>IF(H806="ILF",10,IF(H806="EIF",7,IF(H806="EI",4,IF(H806="EO",5,IF(H806="EQ",4,"")))))</f>
        <v/>
      </c>
      <c r="J806" s="18" t="inlineStr">
        <is>
          <t>高</t>
        </is>
      </c>
      <c r="K806" s="18">
        <f>IF(J806="高",0.33,IF(J806="中",0.67,IF(J806="低",1,"")))</f>
        <v/>
      </c>
      <c r="L806" s="18" t="inlineStr">
        <is>
          <t>新增</t>
        </is>
      </c>
      <c r="M806" s="18">
        <f>IF(L806="新增",1,IF(L806="修改",0.8,IF(L806="删除",0.2,"")))</f>
        <v/>
      </c>
      <c r="N806" s="18">
        <f>I806*K806*M806</f>
        <v/>
      </c>
    </row>
    <row r="807" ht="14.4" customHeight="1" s="1">
      <c r="B807" s="16" t="n">
        <v>802</v>
      </c>
      <c r="C807" s="16" t="inlineStr">
        <is>
          <t>高频时序数据全链路压力测试与性能验证服务</t>
        </is>
      </c>
      <c r="D807" s="16" t="inlineStr">
        <is>
          <t>虚拟设备模拟</t>
        </is>
      </c>
      <c r="E807" s="16" t="inlineStr">
        <is>
          <t>场景配置</t>
        </is>
      </c>
      <c r="F807" s="16" t="inlineStr">
        <is>
          <t>通信中断模拟</t>
        </is>
      </c>
      <c r="G807" s="17" t="inlineStr">
        <is>
          <t xml:space="preserve"> 提供模拟通信中断场景服务</t>
        </is>
      </c>
      <c r="H807" s="18" t="inlineStr">
        <is>
          <t>ILF</t>
        </is>
      </c>
      <c r="I807" s="18">
        <f>IF(H807="ILF",10,IF(H807="EIF",7,IF(H807="EI",4,IF(H807="EO",5,IF(H807="EQ",4,"")))))</f>
        <v/>
      </c>
      <c r="J807" s="18" t="inlineStr">
        <is>
          <t>高</t>
        </is>
      </c>
      <c r="K807" s="18">
        <f>IF(J807="高",0.33,IF(J807="中",0.67,IF(J807="低",1,"")))</f>
        <v/>
      </c>
      <c r="L807" s="18" t="inlineStr">
        <is>
          <t>新增</t>
        </is>
      </c>
      <c r="M807" s="18">
        <f>IF(L807="新增",1,IF(L807="修改",0.8,IF(L807="删除",0.2,"")))</f>
        <v/>
      </c>
      <c r="N807" s="18">
        <f>I807*K807*M807</f>
        <v/>
      </c>
    </row>
    <row r="808" ht="14.4" customHeight="1" s="1">
      <c r="B808" s="16" t="n">
        <v>803</v>
      </c>
      <c r="C808" s="16" t="inlineStr">
        <is>
          <t>高频时序数据全链路压力测试与性能验证服务</t>
        </is>
      </c>
      <c r="D808" s="16" t="inlineStr">
        <is>
          <t>虚拟设备模拟</t>
        </is>
      </c>
      <c r="E808" s="16" t="inlineStr">
        <is>
          <t>数据生成</t>
        </is>
      </c>
      <c r="F808" s="16" t="inlineStr">
        <is>
          <t>脉冲数据</t>
        </is>
      </c>
      <c r="G808" s="17" t="inlineStr">
        <is>
          <t xml:space="preserve"> 提供模拟瞬时冲击事件脉冲数据生成服务</t>
        </is>
      </c>
      <c r="H808" s="18" t="inlineStr">
        <is>
          <t>ILF</t>
        </is>
      </c>
      <c r="I808" s="18">
        <f>IF(H808="ILF",10,IF(H808="EIF",7,IF(H808="EI",4,IF(H808="EO",5,IF(H808="EQ",4,"")))))</f>
        <v/>
      </c>
      <c r="J808" s="18" t="inlineStr">
        <is>
          <t>高</t>
        </is>
      </c>
      <c r="K808" s="18">
        <f>IF(J808="高",0.33,IF(J808="中",0.67,IF(J808="低",1,"")))</f>
        <v/>
      </c>
      <c r="L808" s="18" t="inlineStr">
        <is>
          <t>新增</t>
        </is>
      </c>
      <c r="M808" s="18">
        <f>IF(L808="新增",1,IF(L808="修改",0.8,IF(L808="删除",0.2,"")))</f>
        <v/>
      </c>
      <c r="N808" s="18">
        <f>I808*K808*M808</f>
        <v/>
      </c>
    </row>
    <row r="809" ht="14.4" customHeight="1" s="1">
      <c r="B809" s="16" t="n">
        <v>804</v>
      </c>
      <c r="C809" s="16" t="inlineStr">
        <is>
          <t>高频时序数据全链路压力测试与性能验证服务</t>
        </is>
      </c>
      <c r="D809" s="16" t="inlineStr">
        <is>
          <t>虚拟设备模拟</t>
        </is>
      </c>
      <c r="E809" s="16" t="inlineStr">
        <is>
          <t>场景编排</t>
        </is>
      </c>
      <c r="F809" s="16" t="inlineStr">
        <is>
          <t>长稳测试</t>
        </is>
      </c>
      <c r="G809" s="17" t="inlineStr">
        <is>
          <t xml:space="preserve"> 提供72小时长稳测试场景编排服务</t>
        </is>
      </c>
      <c r="H809" s="18" t="inlineStr">
        <is>
          <t>ILF</t>
        </is>
      </c>
      <c r="I809" s="18">
        <f>IF(H809="ILF",10,IF(H809="EIF",7,IF(H809="EI",4,IF(H809="EO",5,IF(H809="EQ",4,"")))))</f>
        <v/>
      </c>
      <c r="J809" s="18" t="inlineStr">
        <is>
          <t>高</t>
        </is>
      </c>
      <c r="K809" s="18">
        <f>IF(J809="高",0.33,IF(J809="中",0.67,IF(J809="低",1,"")))</f>
        <v/>
      </c>
      <c r="L809" s="18" t="inlineStr">
        <is>
          <t>新增</t>
        </is>
      </c>
      <c r="M809" s="18">
        <f>IF(L809="新增",1,IF(L809="修改",0.8,IF(L809="删除",0.2,"")))</f>
        <v/>
      </c>
      <c r="N809" s="18">
        <f>I809*K809*M809</f>
        <v/>
      </c>
    </row>
    <row r="810" ht="14.4" customHeight="1" s="1">
      <c r="B810" s="16" t="n">
        <v>805</v>
      </c>
      <c r="C810" s="16" t="inlineStr">
        <is>
          <t>高频时序数据全链路压力测试与性能验证服务</t>
        </is>
      </c>
      <c r="D810" s="16" t="inlineStr">
        <is>
          <t>虚拟设备模拟</t>
        </is>
      </c>
      <c r="E810" s="16" t="inlineStr">
        <is>
          <t>场景编排</t>
        </is>
      </c>
      <c r="F810" s="16" t="inlineStr">
        <is>
          <t>自动执行</t>
        </is>
      </c>
      <c r="G810" s="17" t="inlineStr">
        <is>
          <t xml:space="preserve"> 提供测试场景自动调度执行服务</t>
        </is>
      </c>
      <c r="H810" s="18" t="inlineStr">
        <is>
          <t>ILF</t>
        </is>
      </c>
      <c r="I810" s="18">
        <f>IF(H810="ILF",10,IF(H810="EIF",7,IF(H810="EI",4,IF(H810="EO",5,IF(H810="EQ",4,"")))))</f>
        <v/>
      </c>
      <c r="J810" s="18" t="inlineStr">
        <is>
          <t>高</t>
        </is>
      </c>
      <c r="K810" s="18">
        <f>IF(J810="高",0.33,IF(J810="中",0.67,IF(J810="低",1,"")))</f>
        <v/>
      </c>
      <c r="L810" s="18" t="inlineStr">
        <is>
          <t>新增</t>
        </is>
      </c>
      <c r="M810" s="18">
        <f>IF(L810="新增",1,IF(L810="修改",0.8,IF(L810="删除",0.2,"")))</f>
        <v/>
      </c>
      <c r="N810" s="18">
        <f>I810*K810*M810</f>
        <v/>
      </c>
    </row>
    <row r="811" ht="14.4" customHeight="1" s="1">
      <c r="B811" s="16" t="n">
        <v>806</v>
      </c>
      <c r="C811" s="16" t="inlineStr">
        <is>
          <t>高频时序数据全链路压力测试与性能验证服务</t>
        </is>
      </c>
      <c r="D811" s="16" t="inlineStr">
        <is>
          <t>虚拟设备模拟</t>
        </is>
      </c>
      <c r="E811" s="16" t="inlineStr">
        <is>
          <t>场景编排</t>
        </is>
      </c>
      <c r="F811" s="16" t="inlineStr">
        <is>
          <t>参数配置</t>
        </is>
      </c>
      <c r="G811" s="17" t="inlineStr">
        <is>
          <t xml:space="preserve"> 提供测试场景参数灵活配置服务</t>
        </is>
      </c>
      <c r="H811" s="18" t="inlineStr">
        <is>
          <t>ILF</t>
        </is>
      </c>
      <c r="I811" s="18">
        <f>IF(H811="ILF",10,IF(H811="EIF",7,IF(H811="EI",4,IF(H811="EO",5,IF(H811="EQ",4,"")))))</f>
        <v/>
      </c>
      <c r="J811" s="18" t="inlineStr">
        <is>
          <t>高</t>
        </is>
      </c>
      <c r="K811" s="18">
        <f>IF(J811="高",0.33,IF(J811="中",0.67,IF(J811="低",1,"")))</f>
        <v/>
      </c>
      <c r="L811" s="18" t="inlineStr">
        <is>
          <t>新增</t>
        </is>
      </c>
      <c r="M811" s="18">
        <f>IF(L811="新增",1,IF(L811="修改",0.8,IF(L811="删除",0.2,"")))</f>
        <v/>
      </c>
      <c r="N811" s="18">
        <f>I811*K811*M811</f>
        <v/>
      </c>
    </row>
    <row r="812" ht="14.4" customHeight="1" s="1">
      <c r="B812" s="16" t="n">
        <v>807</v>
      </c>
      <c r="C812" s="16" t="inlineStr">
        <is>
          <t>高频时序数据全链路压力测试与性能验证服务</t>
        </is>
      </c>
      <c r="D812" s="16" t="inlineStr">
        <is>
          <t>虚拟设备模拟</t>
        </is>
      </c>
      <c r="E812" s="16" t="inlineStr">
        <is>
          <t>场景编排</t>
        </is>
      </c>
      <c r="F812" s="16" t="inlineStr">
        <is>
          <t>过程监控</t>
        </is>
      </c>
      <c r="G812" s="17" t="inlineStr">
        <is>
          <t xml:space="preserve"> 提供测试场景执行状态实时监控服务</t>
        </is>
      </c>
      <c r="H812" s="18" t="inlineStr">
        <is>
          <t>ILF</t>
        </is>
      </c>
      <c r="I812" s="18">
        <f>IF(H812="ILF",10,IF(H812="EIF",7,IF(H812="EI",4,IF(H812="EO",5,IF(H812="EQ",4,"")))))</f>
        <v/>
      </c>
      <c r="J812" s="18" t="inlineStr">
        <is>
          <t>高</t>
        </is>
      </c>
      <c r="K812" s="18">
        <f>IF(J812="高",0.33,IF(J812="中",0.67,IF(J812="低",1,"")))</f>
        <v/>
      </c>
      <c r="L812" s="18" t="inlineStr">
        <is>
          <t>新增</t>
        </is>
      </c>
      <c r="M812" s="18">
        <f>IF(L812="新增",1,IF(L812="修改",0.8,IF(L812="删除",0.2,"")))</f>
        <v/>
      </c>
      <c r="N812" s="18">
        <f>I812*K812*M812</f>
        <v/>
      </c>
    </row>
    <row r="813" ht="14.4" customHeight="1" s="1">
      <c r="B813" s="16" t="n">
        <v>808</v>
      </c>
      <c r="C813" s="16" t="inlineStr">
        <is>
          <t>高频时序数据全链路压力测试与性能验证服务</t>
        </is>
      </c>
      <c r="D813" s="16" t="inlineStr">
        <is>
          <t>性能验证</t>
        </is>
      </c>
      <c r="E813" s="16" t="inlineStr">
        <is>
          <t>并发吞吐</t>
        </is>
      </c>
      <c r="F813" s="16" t="inlineStr">
        <is>
          <t>TDengine写入</t>
        </is>
      </c>
      <c r="G813" s="17" t="inlineStr">
        <is>
          <t xml:space="preserve"> 提供验证每秒写入点数/延迟p99/磁盘IOPS服务</t>
        </is>
      </c>
      <c r="H813" s="18" t="inlineStr">
        <is>
          <t>ILF</t>
        </is>
      </c>
      <c r="I813" s="18">
        <f>IF(H813="ILF",10,IF(H813="EIF",7,IF(H813="EI",4,IF(H813="EO",5,IF(H813="EQ",4,"")))))</f>
        <v/>
      </c>
      <c r="J813" s="18" t="inlineStr">
        <is>
          <t>高</t>
        </is>
      </c>
      <c r="K813" s="18">
        <f>IF(J813="高",0.33,IF(J813="中",0.67,IF(J813="低",1,"")))</f>
        <v/>
      </c>
      <c r="L813" s="18" t="inlineStr">
        <is>
          <t>修改</t>
        </is>
      </c>
      <c r="M813" s="18">
        <f>IF(L813="新增",1,IF(L813="修改",0.8,IF(L813="删除",0.2,"")))</f>
        <v/>
      </c>
      <c r="N813" s="18">
        <f>I813*K813*M813</f>
        <v/>
      </c>
    </row>
    <row r="814" ht="14.4" customHeight="1" s="1">
      <c r="B814" s="16" t="n">
        <v>809</v>
      </c>
      <c r="C814" s="16" t="inlineStr">
        <is>
          <t>高频时序数据全链路压力测试与性能验证服务</t>
        </is>
      </c>
      <c r="D814" s="16" t="inlineStr">
        <is>
          <t>性能验证</t>
        </is>
      </c>
      <c r="E814" s="16" t="inlineStr">
        <is>
          <t>并发吞吐</t>
        </is>
      </c>
      <c r="F814" s="16" t="inlineStr">
        <is>
          <t>流式计算</t>
        </is>
      </c>
      <c r="G814" s="17" t="inlineStr">
        <is>
          <t xml:space="preserve"> 提供验证流式计算引擎处理耗时&lt;1ms服务</t>
        </is>
      </c>
      <c r="H814" s="18" t="inlineStr">
        <is>
          <t>EIF</t>
        </is>
      </c>
      <c r="I814" s="18">
        <f>IF(H814="ILF",10,IF(H814="EIF",7,IF(H814="EI",4,IF(H814="EO",5,IF(H814="EQ",4,"")))))</f>
        <v/>
      </c>
      <c r="J814" s="18" t="inlineStr">
        <is>
          <t>中</t>
        </is>
      </c>
      <c r="K814" s="18">
        <f>IF(J814="高",0.33,IF(J814="中",0.67,IF(J814="低",1,"")))</f>
        <v/>
      </c>
      <c r="L814" s="18" t="inlineStr">
        <is>
          <t>新增</t>
        </is>
      </c>
      <c r="M814" s="18">
        <f>IF(L814="新增",1,IF(L814="修改",0.8,IF(L814="删除",0.2,"")))</f>
        <v/>
      </c>
      <c r="N814" s="18">
        <f>I814*K814*M814</f>
        <v/>
      </c>
    </row>
    <row r="815" ht="14.4" customHeight="1" s="1">
      <c r="B815" s="16" t="n">
        <v>810</v>
      </c>
      <c r="C815" s="16" t="inlineStr">
        <is>
          <t>高频时序数据全链路压力测试与性能验证服务</t>
        </is>
      </c>
      <c r="D815" s="16" t="inlineStr">
        <is>
          <t>性能验证</t>
        </is>
      </c>
      <c r="E815" s="16" t="inlineStr">
        <is>
          <t>并发吞吐</t>
        </is>
      </c>
      <c r="F815" s="16" t="inlineStr">
        <is>
          <t>告警命中率</t>
        </is>
      </c>
      <c r="G815" s="17" t="inlineStr">
        <is>
          <t xml:space="preserve"> 提供验证15种预置算法命中率服务</t>
        </is>
      </c>
      <c r="H815" s="18" t="inlineStr">
        <is>
          <t>EI</t>
        </is>
      </c>
      <c r="I815" s="18">
        <f>IF(H815="ILF",10,IF(H815="EIF",7,IF(H815="EI",4,IF(H815="EO",5,IF(H815="EQ",4,"")))))</f>
        <v/>
      </c>
      <c r="J815" s="18" t="inlineStr">
        <is>
          <t>中</t>
        </is>
      </c>
      <c r="K815" s="18">
        <f>IF(J815="高",0.33,IF(J815="中",0.67,IF(J815="低",1,"")))</f>
        <v/>
      </c>
      <c r="L815" s="18" t="inlineStr">
        <is>
          <t>新增</t>
        </is>
      </c>
      <c r="M815" s="18">
        <f>IF(L815="新增",1,IF(L815="修改",0.8,IF(L815="删除",0.2,"")))</f>
        <v/>
      </c>
      <c r="N815" s="18">
        <f>I815*K815*M815</f>
        <v/>
      </c>
    </row>
    <row r="816" ht="14.4" customHeight="1" s="1">
      <c r="B816" s="16" t="n">
        <v>811</v>
      </c>
      <c r="C816" s="16" t="inlineStr">
        <is>
          <t>高频时序数据全链路压力测试与性能验证服务</t>
        </is>
      </c>
      <c r="D816" s="16" t="inlineStr">
        <is>
          <t>性能验证</t>
        </is>
      </c>
      <c r="E816" s="16" t="inlineStr">
        <is>
          <t>并发吞吐</t>
        </is>
      </c>
      <c r="F816" s="16" t="inlineStr">
        <is>
          <t>MQTT推送</t>
        </is>
      </c>
      <c r="G816" s="17" t="inlineStr">
        <is>
          <t xml:space="preserve"> 提供验证MQTT推送吞吐量和延迟服务</t>
        </is>
      </c>
      <c r="H816" s="18" t="inlineStr">
        <is>
          <t>EI</t>
        </is>
      </c>
      <c r="I816" s="18">
        <f>IF(H816="ILF",10,IF(H816="EIF",7,IF(H816="EI",4,IF(H816="EO",5,IF(H816="EQ",4,"")))))</f>
        <v/>
      </c>
      <c r="J816" s="18" t="inlineStr">
        <is>
          <t>中</t>
        </is>
      </c>
      <c r="K816" s="18">
        <f>IF(J816="高",0.33,IF(J816="中",0.67,IF(J816="低",1,"")))</f>
        <v/>
      </c>
      <c r="L816" s="18" t="inlineStr">
        <is>
          <t>新增</t>
        </is>
      </c>
      <c r="M816" s="18">
        <f>IF(L816="新增",1,IF(L816="修改",0.8,IF(L816="删除",0.2,"")))</f>
        <v/>
      </c>
      <c r="N816" s="18">
        <f>I816*K816*M816</f>
        <v/>
      </c>
    </row>
    <row r="817" ht="14.4" customHeight="1" s="1">
      <c r="B817" s="16" t="n">
        <v>812</v>
      </c>
      <c r="C817" s="16" t="inlineStr">
        <is>
          <t>高频时序数据全链路压力测试与性能验证服务</t>
        </is>
      </c>
      <c r="D817" s="16" t="inlineStr">
        <is>
          <t>性能验证</t>
        </is>
      </c>
      <c r="E817" s="16" t="inlineStr">
        <is>
          <t>并发吞吐</t>
        </is>
      </c>
      <c r="F817" s="16" t="inlineStr">
        <is>
          <t>订阅延迟</t>
        </is>
      </c>
      <c r="G817" s="17" t="inlineStr">
        <is>
          <t xml:space="preserve"> 提供验证TDengine数据订阅延迟服务</t>
        </is>
      </c>
      <c r="H817" s="18" t="inlineStr">
        <is>
          <t>EI</t>
        </is>
      </c>
      <c r="I817" s="18">
        <f>IF(H817="ILF",10,IF(H817="EIF",7,IF(H817="EI",4,IF(H817="EO",5,IF(H817="EQ",4,"")))))</f>
        <v/>
      </c>
      <c r="J817" s="18" t="inlineStr">
        <is>
          <t>中</t>
        </is>
      </c>
      <c r="K817" s="18">
        <f>IF(J817="高",0.33,IF(J817="中",0.67,IF(J817="低",1,"")))</f>
        <v/>
      </c>
      <c r="L817" s="18" t="inlineStr">
        <is>
          <t>新增</t>
        </is>
      </c>
      <c r="M817" s="18">
        <f>IF(L817="新增",1,IF(L817="修改",0.8,IF(L817="删除",0.2,"")))</f>
        <v/>
      </c>
      <c r="N817" s="18">
        <f>I817*K817*M817</f>
        <v/>
      </c>
    </row>
    <row r="818" ht="14.4" customHeight="1" s="1">
      <c r="B818" s="16" t="n">
        <v>813</v>
      </c>
      <c r="C818" s="16" t="inlineStr">
        <is>
          <t>高频时序数据全链路压力测试与性能验证服务</t>
        </is>
      </c>
      <c r="D818" s="16" t="inlineStr">
        <is>
          <t>性能验证</t>
        </is>
      </c>
      <c r="E818" s="16" t="inlineStr">
        <is>
          <t>并发吞吐</t>
        </is>
      </c>
      <c r="F818" s="16" t="inlineStr">
        <is>
          <t>并发连接</t>
        </is>
      </c>
      <c r="G818" s="17" t="inlineStr">
        <is>
          <t xml:space="preserve"> 提供验证系统最大并发连接数服务</t>
        </is>
      </c>
      <c r="H818" s="18" t="inlineStr">
        <is>
          <t>EI</t>
        </is>
      </c>
      <c r="I818" s="18">
        <f>IF(H818="ILF",10,IF(H818="EIF",7,IF(H818="EI",4,IF(H818="EO",5,IF(H818="EQ",4,"")))))</f>
        <v/>
      </c>
      <c r="J818" s="18" t="inlineStr">
        <is>
          <t>中</t>
        </is>
      </c>
      <c r="K818" s="18">
        <f>IF(J818="高",0.33,IF(J818="中",0.67,IF(J818="低",1,"")))</f>
        <v/>
      </c>
      <c r="L818" s="18" t="inlineStr">
        <is>
          <t>新增</t>
        </is>
      </c>
      <c r="M818" s="18">
        <f>IF(L818="新增",1,IF(L818="修改",0.8,IF(L818="删除",0.2,"")))</f>
        <v/>
      </c>
      <c r="N818" s="18">
        <f>I818*K818*M818</f>
        <v/>
      </c>
    </row>
    <row r="819" ht="14.4" customHeight="1" s="1">
      <c r="B819" s="16" t="n">
        <v>814</v>
      </c>
      <c r="C819" s="16" t="inlineStr">
        <is>
          <t>高频时序数据全链路压力测试与性能验证服务</t>
        </is>
      </c>
      <c r="D819" s="16" t="inlineStr">
        <is>
          <t>性能验证</t>
        </is>
      </c>
      <c r="E819" s="16" t="inlineStr">
        <is>
          <t>长稳</t>
        </is>
      </c>
      <c r="F819" s="16" t="inlineStr">
        <is>
          <t>72小时运行</t>
        </is>
      </c>
      <c r="G819" s="17" t="inlineStr">
        <is>
          <t xml:space="preserve"> 提供连续72小时模拟生产负载稳定性测试服务</t>
        </is>
      </c>
      <c r="H819" s="18" t="inlineStr">
        <is>
          <t>EI</t>
        </is>
      </c>
      <c r="I819" s="18">
        <f>IF(H819="ILF",10,IF(H819="EIF",7,IF(H819="EI",4,IF(H819="EO",5,IF(H819="EQ",4,"")))))</f>
        <v/>
      </c>
      <c r="J819" s="18" t="inlineStr">
        <is>
          <t>中</t>
        </is>
      </c>
      <c r="K819" s="18">
        <f>IF(J819="高",0.33,IF(J819="中",0.67,IF(J819="低",1,"")))</f>
        <v/>
      </c>
      <c r="L819" s="18" t="inlineStr">
        <is>
          <t>新增</t>
        </is>
      </c>
      <c r="M819" s="18">
        <f>IF(L819="新增",1,IF(L819="修改",0.8,IF(L819="删除",0.2,"")))</f>
        <v/>
      </c>
      <c r="N819" s="18">
        <f>I819*K819*M819</f>
        <v/>
      </c>
    </row>
    <row r="820" ht="14.4" customHeight="1" s="1">
      <c r="B820" s="16" t="n">
        <v>815</v>
      </c>
      <c r="C820" s="16" t="inlineStr">
        <is>
          <t>高频时序数据全链路压力测试与性能验证服务</t>
        </is>
      </c>
      <c r="D820" s="16" t="inlineStr">
        <is>
          <t>性能验证</t>
        </is>
      </c>
      <c r="E820" s="16" t="inlineStr">
        <is>
          <t>长稳</t>
        </is>
      </c>
      <c r="F820" s="16" t="inlineStr">
        <is>
          <t>CPU监控</t>
        </is>
      </c>
      <c r="G820" s="17" t="inlineStr">
        <is>
          <t xml:space="preserve"> 提供72小时长稳中CPU使用率监控服务</t>
        </is>
      </c>
      <c r="H820" s="18" t="inlineStr">
        <is>
          <t>EI</t>
        </is>
      </c>
      <c r="I820" s="18">
        <f>IF(H820="ILF",10,IF(H820="EIF",7,IF(H820="EI",4,IF(H820="EO",5,IF(H820="EQ",4,"")))))</f>
        <v/>
      </c>
      <c r="J820" s="18" t="inlineStr">
        <is>
          <t>中</t>
        </is>
      </c>
      <c r="K820" s="18">
        <f>IF(J820="高",0.33,IF(J820="中",0.67,IF(J820="低",1,"")))</f>
        <v/>
      </c>
      <c r="L820" s="18" t="inlineStr">
        <is>
          <t>新增</t>
        </is>
      </c>
      <c r="M820" s="18">
        <f>IF(L820="新增",1,IF(L820="修改",0.8,IF(L820="删除",0.2,"")))</f>
        <v/>
      </c>
      <c r="N820" s="18">
        <f>I820*K820*M820</f>
        <v/>
      </c>
    </row>
    <row r="821" ht="14.4" customHeight="1" s="1">
      <c r="B821" s="16" t="n">
        <v>816</v>
      </c>
      <c r="C821" s="16" t="inlineStr">
        <is>
          <t>高频时序数据全链路压力测试与性能验证服务</t>
        </is>
      </c>
      <c r="D821" s="16" t="inlineStr">
        <is>
          <t>性能验证</t>
        </is>
      </c>
      <c r="E821" s="16" t="inlineStr">
        <is>
          <t>长稳</t>
        </is>
      </c>
      <c r="F821" s="16" t="inlineStr">
        <is>
          <t>内存监控</t>
        </is>
      </c>
      <c r="G821" s="17" t="inlineStr">
        <is>
          <t xml:space="preserve"> 提供72小时长稳中内存占用和泄漏检测服务</t>
        </is>
      </c>
      <c r="H821" s="18" t="inlineStr">
        <is>
          <t>EI</t>
        </is>
      </c>
      <c r="I821" s="18">
        <f>IF(H821="ILF",10,IF(H821="EIF",7,IF(H821="EI",4,IF(H821="EO",5,IF(H821="EQ",4,"")))))</f>
        <v/>
      </c>
      <c r="J821" s="18" t="inlineStr">
        <is>
          <t>中</t>
        </is>
      </c>
      <c r="K821" s="18">
        <f>IF(J821="高",0.33,IF(J821="中",0.67,IF(J821="低",1,"")))</f>
        <v/>
      </c>
      <c r="L821" s="18" t="inlineStr">
        <is>
          <t>新增</t>
        </is>
      </c>
      <c r="M821" s="18">
        <f>IF(L821="新增",1,IF(L821="修改",0.8,IF(L821="删除",0.2,"")))</f>
        <v/>
      </c>
      <c r="N821" s="18">
        <f>I821*K821*M821</f>
        <v/>
      </c>
    </row>
    <row r="822" ht="14.4" customHeight="1" s="1">
      <c r="B822" s="16" t="n">
        <v>817</v>
      </c>
      <c r="C822" s="16" t="inlineStr">
        <is>
          <t>高频时序数据全链路压力测试与性能验证服务</t>
        </is>
      </c>
      <c r="D822" s="16" t="inlineStr">
        <is>
          <t>性能验证</t>
        </is>
      </c>
      <c r="E822" s="16" t="inlineStr">
        <is>
          <t>长稳</t>
        </is>
      </c>
      <c r="F822" s="16" t="inlineStr">
        <is>
          <t>磁盘监控</t>
        </is>
      </c>
      <c r="G822" s="17" t="inlineStr">
        <is>
          <t xml:space="preserve"> 提供72小时长稳中磁盘IOPS监控服务</t>
        </is>
      </c>
      <c r="H822" s="18" t="inlineStr">
        <is>
          <t>EI</t>
        </is>
      </c>
      <c r="I822" s="18">
        <f>IF(H822="ILF",10,IF(H822="EIF",7,IF(H822="EI",4,IF(H822="EO",5,IF(H822="EQ",4,"")))))</f>
        <v/>
      </c>
      <c r="J822" s="18" t="inlineStr">
        <is>
          <t>中</t>
        </is>
      </c>
      <c r="K822" s="18">
        <f>IF(J822="高",0.33,IF(J822="中",0.67,IF(J822="低",1,"")))</f>
        <v/>
      </c>
      <c r="L822" s="18" t="inlineStr">
        <is>
          <t>新增</t>
        </is>
      </c>
      <c r="M822" s="18">
        <f>IF(L822="新增",1,IF(L822="修改",0.8,IF(L822="删除",0.2,"")))</f>
        <v/>
      </c>
      <c r="N822" s="18">
        <f>I822*K822*M822</f>
        <v/>
      </c>
    </row>
    <row r="823" ht="14.4" customHeight="1" s="1">
      <c r="B823" s="16" t="n">
        <v>818</v>
      </c>
      <c r="C823" s="16" t="inlineStr">
        <is>
          <t>高频时序数据全链路压力测试与性能验证服务</t>
        </is>
      </c>
      <c r="D823" s="16" t="inlineStr">
        <is>
          <t>性能验证</t>
        </is>
      </c>
      <c r="E823" s="16" t="inlineStr">
        <is>
          <t>长稳</t>
        </is>
      </c>
      <c r="F823" s="16" t="inlineStr">
        <is>
          <t>网络监控</t>
        </is>
      </c>
      <c r="G823" s="17" t="inlineStr">
        <is>
          <t xml:space="preserve"> 提供72小时长稳中带宽占用监控服务</t>
        </is>
      </c>
      <c r="H823" s="18" t="inlineStr">
        <is>
          <t>EI</t>
        </is>
      </c>
      <c r="I823" s="18">
        <f>IF(H823="ILF",10,IF(H823="EIF",7,IF(H823="EI",4,IF(H823="EO",5,IF(H823="EQ",4,"")))))</f>
        <v/>
      </c>
      <c r="J823" s="18" t="inlineStr">
        <is>
          <t>中</t>
        </is>
      </c>
      <c r="K823" s="18">
        <f>IF(J823="高",0.33,IF(J823="中",0.67,IF(J823="低",1,"")))</f>
        <v/>
      </c>
      <c r="L823" s="18" t="inlineStr">
        <is>
          <t>新增</t>
        </is>
      </c>
      <c r="M823" s="18">
        <f>IF(L823="新增",1,IF(L823="修改",0.8,IF(L823="删除",0.2,"")))</f>
        <v/>
      </c>
      <c r="N823" s="18">
        <f>I823*K823*M823</f>
        <v/>
      </c>
    </row>
    <row r="824" ht="14.4" customHeight="1" s="1">
      <c r="B824" s="16" t="n">
        <v>819</v>
      </c>
      <c r="C824" s="16" t="inlineStr">
        <is>
          <t>高频时序数据全链路压力测试与性能验证服务</t>
        </is>
      </c>
      <c r="D824" s="16" t="inlineStr">
        <is>
          <t>性能验证</t>
        </is>
      </c>
      <c r="E824" s="16" t="inlineStr">
        <is>
          <t>长稳</t>
        </is>
      </c>
      <c r="F824" s="16" t="inlineStr">
        <is>
          <t>连接数监控</t>
        </is>
      </c>
      <c r="G824" s="17" t="inlineStr">
        <is>
          <t xml:space="preserve"> 提供72小时连接数变化趋势监控服务</t>
        </is>
      </c>
      <c r="H824" s="18" t="inlineStr">
        <is>
          <t>EI</t>
        </is>
      </c>
      <c r="I824" s="18">
        <f>IF(H824="ILF",10,IF(H824="EIF",7,IF(H824="EI",4,IF(H824="EO",5,IF(H824="EQ",4,"")))))</f>
        <v/>
      </c>
      <c r="J824" s="18" t="inlineStr">
        <is>
          <t>中</t>
        </is>
      </c>
      <c r="K824" s="18">
        <f>IF(J824="高",0.33,IF(J824="中",0.67,IF(J824="低",1,"")))</f>
        <v/>
      </c>
      <c r="L824" s="18" t="inlineStr">
        <is>
          <t>新增</t>
        </is>
      </c>
      <c r="M824" s="18">
        <f>IF(L824="新增",1,IF(L824="修改",0.8,IF(L824="删除",0.2,"")))</f>
        <v/>
      </c>
      <c r="N824" s="18">
        <f>I824*K824*M824</f>
        <v/>
      </c>
    </row>
    <row r="825" ht="14.4" customHeight="1" s="1">
      <c r="B825" s="16" t="n">
        <v>820</v>
      </c>
      <c r="C825" s="16" t="inlineStr">
        <is>
          <t>高频时序数据全链路压力测试与性能验证服务</t>
        </is>
      </c>
      <c r="D825" s="16" t="inlineStr">
        <is>
          <t>性能验证</t>
        </is>
      </c>
      <c r="E825" s="16" t="inlineStr">
        <is>
          <t>长稳</t>
        </is>
      </c>
      <c r="F825" s="16" t="inlineStr">
        <is>
          <t>响应趋势</t>
        </is>
      </c>
      <c r="G825" s="17" t="inlineStr">
        <is>
          <t xml:space="preserve"> 提供72小时响应时间变化趋势分析服务</t>
        </is>
      </c>
      <c r="H825" s="18" t="inlineStr">
        <is>
          <t>EI</t>
        </is>
      </c>
      <c r="I825" s="18">
        <f>IF(H825="ILF",10,IF(H825="EIF",7,IF(H825="EI",4,IF(H825="EO",5,IF(H825="EQ",4,"")))))</f>
        <v/>
      </c>
      <c r="J825" s="18" t="inlineStr">
        <is>
          <t>中</t>
        </is>
      </c>
      <c r="K825" s="18">
        <f>IF(J825="高",0.33,IF(J825="中",0.67,IF(J825="低",1,"")))</f>
        <v/>
      </c>
      <c r="L825" s="18" t="inlineStr">
        <is>
          <t>新增</t>
        </is>
      </c>
      <c r="M825" s="18">
        <f>IF(L825="新增",1,IF(L825="修改",0.8,IF(L825="删除",0.2,"")))</f>
        <v/>
      </c>
      <c r="N825" s="18">
        <f>I825*K825*M825</f>
        <v/>
      </c>
    </row>
    <row r="826" ht="14.4" customHeight="1" s="1">
      <c r="B826" s="16" t="n">
        <v>821</v>
      </c>
      <c r="C826" s="16" t="inlineStr">
        <is>
          <t>高频时序数据全链路压力测试与性能验证服务</t>
        </is>
      </c>
      <c r="D826" s="16" t="inlineStr">
        <is>
          <t>性能验证</t>
        </is>
      </c>
      <c r="E826" s="16" t="inlineStr">
        <is>
          <t>长稳</t>
        </is>
      </c>
      <c r="F826" s="16" t="inlineStr">
        <is>
          <t>错误率</t>
        </is>
      </c>
      <c r="G826" s="17" t="inlineStr">
        <is>
          <t xml:space="preserve"> 提供72小时各类型错误率统计服务</t>
        </is>
      </c>
      <c r="H826" s="18" t="inlineStr">
        <is>
          <t>EI</t>
        </is>
      </c>
      <c r="I826" s="18">
        <f>IF(H826="ILF",10,IF(H826="EIF",7,IF(H826="EI",4,IF(H826="EO",5,IF(H826="EQ",4,"")))))</f>
        <v/>
      </c>
      <c r="J826" s="18" t="inlineStr">
        <is>
          <t>高</t>
        </is>
      </c>
      <c r="K826" s="18">
        <f>IF(J826="高",0.33,IF(J826="中",0.67,IF(J826="低",1,"")))</f>
        <v/>
      </c>
      <c r="L826" s="18" t="inlineStr">
        <is>
          <t>新增</t>
        </is>
      </c>
      <c r="M826" s="18">
        <f>IF(L826="新增",1,IF(L826="修改",0.8,IF(L826="删除",0.2,"")))</f>
        <v/>
      </c>
      <c r="N826" s="18">
        <f>I826*K826*M826</f>
        <v/>
      </c>
    </row>
    <row r="827" ht="14.4" customHeight="1" s="1">
      <c r="B827" s="16" t="n">
        <v>822</v>
      </c>
      <c r="C827" s="16" t="inlineStr">
        <is>
          <t>高频时序数据全链路压力测试与性能验证服务</t>
        </is>
      </c>
      <c r="D827" s="16" t="inlineStr">
        <is>
          <t>故障验证</t>
        </is>
      </c>
      <c r="E827" s="16" t="inlineStr">
        <is>
          <t>网络故障</t>
        </is>
      </c>
      <c r="F827" s="16" t="inlineStr">
        <is>
          <t>断开模拟</t>
        </is>
      </c>
      <c r="G827" s="17" t="inlineStr">
        <is>
          <t xml:space="preserve"> 提供随机断开设备连接验证重连能力服务</t>
        </is>
      </c>
      <c r="H827" s="18" t="inlineStr">
        <is>
          <t>EI</t>
        </is>
      </c>
      <c r="I827" s="18">
        <f>IF(H827="ILF",10,IF(H827="EIF",7,IF(H827="EI",4,IF(H827="EO",5,IF(H827="EQ",4,"")))))</f>
        <v/>
      </c>
      <c r="J827" s="18" t="inlineStr">
        <is>
          <t>高</t>
        </is>
      </c>
      <c r="K827" s="18">
        <f>IF(J827="高",0.33,IF(J827="中",0.67,IF(J827="低",1,"")))</f>
        <v/>
      </c>
      <c r="L827" s="18" t="inlineStr">
        <is>
          <t>新增</t>
        </is>
      </c>
      <c r="M827" s="18">
        <f>IF(L827="新增",1,IF(L827="修改",0.8,IF(L827="删除",0.2,"")))</f>
        <v/>
      </c>
      <c r="N827" s="18">
        <f>I827*K827*M827</f>
        <v/>
      </c>
    </row>
    <row r="828" ht="14.4" customHeight="1" s="1">
      <c r="B828" s="16" t="n">
        <v>823</v>
      </c>
      <c r="C828" s="16" t="inlineStr">
        <is>
          <t>高频时序数据全链路压力测试与性能验证服务</t>
        </is>
      </c>
      <c r="D828" s="16" t="inlineStr">
        <is>
          <t>故障验证</t>
        </is>
      </c>
      <c r="E828" s="16" t="inlineStr">
        <is>
          <t>网络故障</t>
        </is>
      </c>
      <c r="F828" s="16" t="inlineStr">
        <is>
          <t>超时模拟</t>
        </is>
      </c>
      <c r="G828" s="17" t="inlineStr">
        <is>
          <t xml:space="preserve"> 提供模拟网关响应超时验证重试机制服务</t>
        </is>
      </c>
      <c r="H828" s="18" t="inlineStr">
        <is>
          <t>EI</t>
        </is>
      </c>
      <c r="I828" s="18">
        <f>IF(H828="ILF",10,IF(H828="EIF",7,IF(H828="EI",4,IF(H828="EO",5,IF(H828="EQ",4,"")))))</f>
        <v/>
      </c>
      <c r="J828" s="18" t="inlineStr">
        <is>
          <t>高</t>
        </is>
      </c>
      <c r="K828" s="18">
        <f>IF(J828="高",0.33,IF(J828="中",0.67,IF(J828="低",1,"")))</f>
        <v/>
      </c>
      <c r="L828" s="18" t="inlineStr">
        <is>
          <t>新增</t>
        </is>
      </c>
      <c r="M828" s="18">
        <f>IF(L828="新增",1,IF(L828="修改",0.8,IF(L828="删除",0.2,"")))</f>
        <v/>
      </c>
      <c r="N828" s="18">
        <f>I828*K828*M828</f>
        <v/>
      </c>
    </row>
    <row r="829" ht="14.4" customHeight="1" s="1">
      <c r="B829" s="16" t="n">
        <v>824</v>
      </c>
      <c r="C829" s="16" t="inlineStr">
        <is>
          <t>高频时序数据全链路压力测试与性能验证服务</t>
        </is>
      </c>
      <c r="D829" s="16" t="inlineStr">
        <is>
          <t>故障验证</t>
        </is>
      </c>
      <c r="E829" s="16" t="inlineStr">
        <is>
          <t>网络故障</t>
        </is>
      </c>
      <c r="F829" s="16" t="inlineStr">
        <is>
          <t>分区模拟</t>
        </is>
      </c>
      <c r="G829" s="17" t="inlineStr">
        <is>
          <t xml:space="preserve"> 提供模拟生产网和办公网中断服务</t>
        </is>
      </c>
      <c r="H829" s="18" t="inlineStr">
        <is>
          <t>EI</t>
        </is>
      </c>
      <c r="I829" s="18">
        <f>IF(H829="ILF",10,IF(H829="EIF",7,IF(H829="EI",4,IF(H829="EO",5,IF(H829="EQ",4,"")))))</f>
        <v/>
      </c>
      <c r="J829" s="18" t="inlineStr">
        <is>
          <t>高</t>
        </is>
      </c>
      <c r="K829" s="18">
        <f>IF(J829="高",0.33,IF(J829="中",0.67,IF(J829="低",1,"")))</f>
        <v/>
      </c>
      <c r="L829" s="18" t="inlineStr">
        <is>
          <t>新增</t>
        </is>
      </c>
      <c r="M829" s="18">
        <f>IF(L829="新增",1,IF(L829="修改",0.8,IF(L829="删除",0.2,"")))</f>
        <v/>
      </c>
      <c r="N829" s="18">
        <f>I829*K829*M829</f>
        <v/>
      </c>
    </row>
    <row r="830" ht="14.4" customHeight="1" s="1">
      <c r="B830" s="16" t="n">
        <v>825</v>
      </c>
      <c r="C830" s="16" t="inlineStr">
        <is>
          <t>高频时序数据全链路压力测试与性能验证服务</t>
        </is>
      </c>
      <c r="D830" s="16" t="inlineStr">
        <is>
          <t>故障验证</t>
        </is>
      </c>
      <c r="E830" s="16" t="inlineStr">
        <is>
          <t>网络故障</t>
        </is>
      </c>
      <c r="F830" s="16" t="inlineStr">
        <is>
          <t>带宽限速</t>
        </is>
      </c>
      <c r="G830" s="17" t="inlineStr">
        <is>
          <t xml:space="preserve"> 提供模拟网络带宽受限场景服务</t>
        </is>
      </c>
      <c r="H830" s="18" t="inlineStr">
        <is>
          <t>EI</t>
        </is>
      </c>
      <c r="I830" s="18">
        <f>IF(H830="ILF",10,IF(H830="EIF",7,IF(H830="EI",4,IF(H830="EO",5,IF(H830="EQ",4,"")))))</f>
        <v/>
      </c>
      <c r="J830" s="18" t="inlineStr">
        <is>
          <t>高</t>
        </is>
      </c>
      <c r="K830" s="18">
        <f>IF(J830="高",0.33,IF(J830="中",0.67,IF(J830="低",1,"")))</f>
        <v/>
      </c>
      <c r="L830" s="18" t="inlineStr">
        <is>
          <t>新增</t>
        </is>
      </c>
      <c r="M830" s="18">
        <f>IF(L830="新增",1,IF(L830="修改",0.8,IF(L830="删除",0.2,"")))</f>
        <v/>
      </c>
      <c r="N830" s="18">
        <f>I830*K830*M830</f>
        <v/>
      </c>
    </row>
    <row r="831" ht="14.4" customHeight="1" s="1">
      <c r="B831" s="16" t="n">
        <v>826</v>
      </c>
      <c r="C831" s="16" t="inlineStr">
        <is>
          <t>高频时序数据全链路压力测试与性能验证服务</t>
        </is>
      </c>
      <c r="D831" s="16" t="inlineStr">
        <is>
          <t>故障验证</t>
        </is>
      </c>
      <c r="E831" s="16" t="inlineStr">
        <is>
          <t>网络故障</t>
        </is>
      </c>
      <c r="F831" s="16" t="inlineStr">
        <is>
          <t>DNS故障</t>
        </is>
      </c>
      <c r="G831" s="17" t="inlineStr">
        <is>
          <t xml:space="preserve"> 提供模拟DNS解析失败场景服务</t>
        </is>
      </c>
      <c r="H831" s="18" t="inlineStr">
        <is>
          <t>EI</t>
        </is>
      </c>
      <c r="I831" s="18">
        <f>IF(H831="ILF",10,IF(H831="EIF",7,IF(H831="EI",4,IF(H831="EO",5,IF(H831="EQ",4,"")))))</f>
        <v/>
      </c>
      <c r="J831" s="18" t="inlineStr">
        <is>
          <t>高</t>
        </is>
      </c>
      <c r="K831" s="18">
        <f>IF(J831="高",0.33,IF(J831="中",0.67,IF(J831="低",1,"")))</f>
        <v/>
      </c>
      <c r="L831" s="18" t="inlineStr">
        <is>
          <t>新增</t>
        </is>
      </c>
      <c r="M831" s="18">
        <f>IF(L831="新增",1,IF(L831="修改",0.8,IF(L831="删除",0.2,"")))</f>
        <v/>
      </c>
      <c r="N831" s="18">
        <f>I831*K831*M831</f>
        <v/>
      </c>
    </row>
    <row r="832" ht="14.4" customHeight="1" s="1">
      <c r="B832" s="16" t="n">
        <v>827</v>
      </c>
      <c r="C832" s="16" t="inlineStr">
        <is>
          <t>高频时序数据全链路压力测试与性能验证服务</t>
        </is>
      </c>
      <c r="D832" s="16" t="inlineStr">
        <is>
          <t>故障验证</t>
        </is>
      </c>
      <c r="E832" s="16" t="inlineStr">
        <is>
          <t>网络故障</t>
        </is>
      </c>
      <c r="F832" s="16" t="inlineStr">
        <is>
          <t>路由中断</t>
        </is>
      </c>
      <c r="G832" s="17" t="inlineStr">
        <is>
          <t xml:space="preserve"> 提供模拟路由中断场景服务</t>
        </is>
      </c>
      <c r="H832" s="18" t="inlineStr">
        <is>
          <t>EI</t>
        </is>
      </c>
      <c r="I832" s="18">
        <f>IF(H832="ILF",10,IF(H832="EIF",7,IF(H832="EI",4,IF(H832="EO",5,IF(H832="EQ",4,"")))))</f>
        <v/>
      </c>
      <c r="J832" s="18" t="inlineStr">
        <is>
          <t>高</t>
        </is>
      </c>
      <c r="K832" s="18">
        <f>IF(J832="高",0.33,IF(J832="中",0.67,IF(J832="低",1,"")))</f>
        <v/>
      </c>
      <c r="L832" s="18" t="inlineStr">
        <is>
          <t>新增</t>
        </is>
      </c>
      <c r="M832" s="18">
        <f>IF(L832="新增",1,IF(L832="修改",0.8,IF(L832="删除",0.2,"")))</f>
        <v/>
      </c>
      <c r="N832" s="18">
        <f>I832*K832*M832</f>
        <v/>
      </c>
    </row>
    <row r="833" ht="14.4" customHeight="1" s="1">
      <c r="B833" s="16" t="n">
        <v>828</v>
      </c>
      <c r="C833" s="16" t="inlineStr">
        <is>
          <t>高频时序数据全链路压力测试与性能验证服务</t>
        </is>
      </c>
      <c r="D833" s="16" t="inlineStr">
        <is>
          <t>故障验证</t>
        </is>
      </c>
      <c r="E833" s="16" t="inlineStr">
        <is>
          <t>网络故障</t>
        </is>
      </c>
      <c r="F833" s="16" t="inlineStr">
        <is>
          <t>防火墙阻断</t>
        </is>
      </c>
      <c r="G833" s="17" t="inlineStr">
        <is>
          <t xml:space="preserve"> 提供模拟防火墙策略阻断场景服务</t>
        </is>
      </c>
      <c r="H833" s="18" t="inlineStr">
        <is>
          <t>EI</t>
        </is>
      </c>
      <c r="I833" s="18">
        <f>IF(H833="ILF",10,IF(H833="EIF",7,IF(H833="EI",4,IF(H833="EO",5,IF(H833="EQ",4,"")))))</f>
        <v/>
      </c>
      <c r="J833" s="18" t="inlineStr">
        <is>
          <t>高</t>
        </is>
      </c>
      <c r="K833" s="18">
        <f>IF(J833="高",0.33,IF(J833="中",0.67,IF(J833="低",1,"")))</f>
        <v/>
      </c>
      <c r="L833" s="18" t="inlineStr">
        <is>
          <t>新增</t>
        </is>
      </c>
      <c r="M833" s="18">
        <f>IF(L833="新增",1,IF(L833="修改",0.8,IF(L833="删除",0.2,"")))</f>
        <v/>
      </c>
      <c r="N833" s="18">
        <f>I833*K833*M833</f>
        <v/>
      </c>
    </row>
    <row r="834" ht="14.4" customHeight="1" s="1">
      <c r="B834" s="16" t="n">
        <v>829</v>
      </c>
      <c r="C834" s="16" t="inlineStr">
        <is>
          <t>高频时序数据全链路压力测试与性能验证服务</t>
        </is>
      </c>
      <c r="D834" s="16" t="inlineStr">
        <is>
          <t>故障验证</t>
        </is>
      </c>
      <c r="E834" s="16" t="inlineStr">
        <is>
          <t>网络故障</t>
        </is>
      </c>
      <c r="F834" s="16" t="inlineStr">
        <is>
          <t>代理故障</t>
        </is>
      </c>
      <c r="G834" s="17" t="inlineStr">
        <is>
          <t xml:space="preserve"> 提供模拟DMZ代理服务故障场景服务</t>
        </is>
      </c>
      <c r="H834" s="18" t="inlineStr">
        <is>
          <t>EI</t>
        </is>
      </c>
      <c r="I834" s="18">
        <f>IF(H834="ILF",10,IF(H834="EIF",7,IF(H834="EI",4,IF(H834="EO",5,IF(H834="EQ",4,"")))))</f>
        <v/>
      </c>
      <c r="J834" s="18" t="inlineStr">
        <is>
          <t>高</t>
        </is>
      </c>
      <c r="K834" s="18">
        <f>IF(J834="高",0.33,IF(J834="中",0.67,IF(J834="低",1,"")))</f>
        <v/>
      </c>
      <c r="L834" s="18" t="inlineStr">
        <is>
          <t>新增</t>
        </is>
      </c>
      <c r="M834" s="18">
        <f>IF(L834="新增",1,IF(L834="修改",0.8,IF(L834="删除",0.2,"")))</f>
        <v/>
      </c>
      <c r="N834" s="18">
        <f>I834*K834*M834</f>
        <v/>
      </c>
    </row>
    <row r="835" ht="14.4" customHeight="1" s="1">
      <c r="B835" s="16" t="n">
        <v>830</v>
      </c>
      <c r="C835" s="16" t="inlineStr">
        <is>
          <t>高频时序数据全链路压力测试与性能验证服务</t>
        </is>
      </c>
      <c r="D835" s="16" t="inlineStr">
        <is>
          <t>故障验证</t>
        </is>
      </c>
      <c r="E835" s="16" t="inlineStr">
        <is>
          <t>数据故障</t>
        </is>
      </c>
      <c r="F835" s="16" t="inlineStr">
        <is>
          <t>异常报文</t>
        </is>
      </c>
      <c r="G835" s="17" t="inlineStr">
        <is>
          <t xml:space="preserve"> 提供写入格式错误Modbus报文验证容错服务</t>
        </is>
      </c>
      <c r="H835" s="18" t="inlineStr">
        <is>
          <t>EI</t>
        </is>
      </c>
      <c r="I835" s="18">
        <f>IF(H835="ILF",10,IF(H835="EIF",7,IF(H835="EI",4,IF(H835="EO",5,IF(H835="EQ",4,"")))))</f>
        <v/>
      </c>
      <c r="J835" s="18" t="inlineStr">
        <is>
          <t>高</t>
        </is>
      </c>
      <c r="K835" s="18">
        <f>IF(J835="高",0.33,IF(J835="中",0.67,IF(J835="低",1,"")))</f>
        <v/>
      </c>
      <c r="L835" s="18" t="inlineStr">
        <is>
          <t>新增</t>
        </is>
      </c>
      <c r="M835" s="18">
        <f>IF(L835="新增",1,IF(L835="修改",0.8,IF(L835="删除",0.2,"")))</f>
        <v/>
      </c>
      <c r="N835" s="18">
        <f>I835*K835*M835</f>
        <v/>
      </c>
    </row>
    <row r="836" ht="14.4" customHeight="1" s="1">
      <c r="B836" s="16" t="n">
        <v>831</v>
      </c>
      <c r="C836" s="16" t="inlineStr">
        <is>
          <t>高频时序数据全链路压力测试与性能验证服务</t>
        </is>
      </c>
      <c r="D836" s="16" t="inlineStr">
        <is>
          <t>故障验证</t>
        </is>
      </c>
      <c r="E836" s="16" t="inlineStr">
        <is>
          <t>数据故障</t>
        </is>
      </c>
      <c r="F836" s="16" t="inlineStr">
        <is>
          <t>格式错误</t>
        </is>
      </c>
      <c r="G836" s="17" t="inlineStr">
        <is>
          <t xml:space="preserve"> 提供模拟数据格式错误场景服务</t>
        </is>
      </c>
      <c r="H836" s="18" t="inlineStr">
        <is>
          <t>EI</t>
        </is>
      </c>
      <c r="I836" s="18">
        <f>IF(H836="ILF",10,IF(H836="EIF",7,IF(H836="EI",4,IF(H836="EO",5,IF(H836="EQ",4,"")))))</f>
        <v/>
      </c>
      <c r="J836" s="18" t="inlineStr">
        <is>
          <t>高</t>
        </is>
      </c>
      <c r="K836" s="18">
        <f>IF(J836="高",0.33,IF(J836="中",0.67,IF(J836="低",1,"")))</f>
        <v/>
      </c>
      <c r="L836" s="18" t="inlineStr">
        <is>
          <t>新增</t>
        </is>
      </c>
      <c r="M836" s="18">
        <f>IF(L836="新增",1,IF(L836="修改",0.8,IF(L836="删除",0.2,"")))</f>
        <v/>
      </c>
      <c r="N836" s="18">
        <f>I836*K836*M836</f>
        <v/>
      </c>
    </row>
    <row r="837" ht="14.4" customHeight="1" s="1">
      <c r="B837" s="16" t="n">
        <v>832</v>
      </c>
      <c r="C837" s="16" t="inlineStr">
        <is>
          <t>高频时序数据全链路压力测试与性能验证服务</t>
        </is>
      </c>
      <c r="D837" s="16" t="inlineStr">
        <is>
          <t>故障验证</t>
        </is>
      </c>
      <c r="E837" s="16" t="inlineStr">
        <is>
          <t>数据故障</t>
        </is>
      </c>
      <c r="F837" s="16" t="inlineStr">
        <is>
          <t>值越界</t>
        </is>
      </c>
      <c r="G837" s="17" t="inlineStr">
        <is>
          <t xml:space="preserve"> 提供模拟数据值超量程场景服务</t>
        </is>
      </c>
      <c r="H837" s="18" t="inlineStr">
        <is>
          <t>EI</t>
        </is>
      </c>
      <c r="I837" s="18">
        <f>IF(H837="ILF",10,IF(H837="EIF",7,IF(H837="EI",4,IF(H837="EO",5,IF(H837="EQ",4,"")))))</f>
        <v/>
      </c>
      <c r="J837" s="18" t="inlineStr">
        <is>
          <t>高</t>
        </is>
      </c>
      <c r="K837" s="18">
        <f>IF(J837="高",0.33,IF(J837="中",0.67,IF(J837="低",1,"")))</f>
        <v/>
      </c>
      <c r="L837" s="18" t="inlineStr">
        <is>
          <t>新增</t>
        </is>
      </c>
      <c r="M837" s="18">
        <f>IF(L837="新增",1,IF(L837="修改",0.8,IF(L837="删除",0.2,"")))</f>
        <v/>
      </c>
      <c r="N837" s="18">
        <f>I837*K837*M837</f>
        <v/>
      </c>
    </row>
    <row r="838" ht="14.4" customHeight="1" s="1">
      <c r="B838" s="16" t="n">
        <v>833</v>
      </c>
      <c r="C838" s="16" t="inlineStr">
        <is>
          <t>高频时序数据全链路压力测试与性能验证服务</t>
        </is>
      </c>
      <c r="D838" s="16" t="inlineStr">
        <is>
          <t>故障验证</t>
        </is>
      </c>
      <c r="E838" s="16" t="inlineStr">
        <is>
          <t>数据故障</t>
        </is>
      </c>
      <c r="F838" s="16" t="inlineStr">
        <is>
          <t>重复写入</t>
        </is>
      </c>
      <c r="G838" s="17" t="inlineStr">
        <is>
          <t xml:space="preserve"> 提供模拟数据重复写入场景服务</t>
        </is>
      </c>
      <c r="H838" s="18" t="inlineStr">
        <is>
          <t>EI</t>
        </is>
      </c>
      <c r="I838" s="18">
        <f>IF(H838="ILF",10,IF(H838="EIF",7,IF(H838="EI",4,IF(H838="EO",5,IF(H838="EQ",4,"")))))</f>
        <v/>
      </c>
      <c r="J838" s="18" t="inlineStr">
        <is>
          <t>高</t>
        </is>
      </c>
      <c r="K838" s="18">
        <f>IF(J838="高",0.33,IF(J838="中",0.67,IF(J838="低",1,"")))</f>
        <v/>
      </c>
      <c r="L838" s="18" t="inlineStr">
        <is>
          <t>新增</t>
        </is>
      </c>
      <c r="M838" s="18">
        <f>IF(L838="新增",1,IF(L838="修改",0.8,IF(L838="删除",0.2,"")))</f>
        <v/>
      </c>
      <c r="N838" s="18">
        <f>I838*K838*M838</f>
        <v/>
      </c>
    </row>
    <row r="839" ht="14.4" customHeight="1" s="1">
      <c r="B839" s="16" t="n">
        <v>834</v>
      </c>
      <c r="C839" s="16" t="inlineStr">
        <is>
          <t>高频时序数据全链路压力测试与性能验证服务</t>
        </is>
      </c>
      <c r="D839" s="16" t="inlineStr">
        <is>
          <t>性能验证服务</t>
        </is>
      </c>
      <c r="E839" s="16" t="inlineStr">
        <is>
          <t>性能指标测试</t>
        </is>
      </c>
      <c r="F839" s="16" t="inlineStr">
        <is>
          <t>采集延迟测试</t>
        </is>
      </c>
      <c r="G839" s="17" t="inlineStr">
        <is>
          <t xml:space="preserve"> 提供端到端数据采集延迟指标测试服务</t>
        </is>
      </c>
      <c r="H839" s="18" t="inlineStr">
        <is>
          <t>EI</t>
        </is>
      </c>
      <c r="I839" s="18">
        <f>IF(H839="ILF",10,IF(H839="EIF",7,IF(H839="EI",4,IF(H839="EO",5,IF(H839="EQ",4,"")))))</f>
        <v/>
      </c>
      <c r="J839" s="18" t="inlineStr">
        <is>
          <t>高</t>
        </is>
      </c>
      <c r="K839" s="18">
        <f>IF(J839="高",0.33,IF(J839="中",0.67,IF(J839="低",1,"")))</f>
        <v/>
      </c>
      <c r="L839" s="18" t="inlineStr">
        <is>
          <t>新增</t>
        </is>
      </c>
      <c r="M839" s="18">
        <f>IF(L839="新增",1,IF(L839="修改",0.8,IF(L839="删除",0.2,"")))</f>
        <v/>
      </c>
      <c r="N839" s="18">
        <f>I839*K839*M839</f>
        <v/>
      </c>
    </row>
    <row r="840" ht="14.4" customHeight="1" s="1">
      <c r="B840" s="16" t="n">
        <v>835</v>
      </c>
      <c r="C840" s="16" t="inlineStr">
        <is>
          <t>高频时序数据全链路压力测试与性能验证服务</t>
        </is>
      </c>
      <c r="D840" s="16" t="inlineStr">
        <is>
          <t>性能验证服务</t>
        </is>
      </c>
      <c r="E840" s="16" t="inlineStr">
        <is>
          <t>性能指标测试</t>
        </is>
      </c>
      <c r="F840" s="16" t="inlineStr">
        <is>
          <t>协议解析延迟测试</t>
        </is>
      </c>
      <c r="G840" s="17" t="inlineStr">
        <is>
          <t xml:space="preserve"> 提供协议解析环节处理延迟测试服务</t>
        </is>
      </c>
      <c r="H840" s="18" t="inlineStr">
        <is>
          <t>EI</t>
        </is>
      </c>
      <c r="I840" s="18">
        <f>IF(H840="ILF",10,IF(H840="EIF",7,IF(H840="EI",4,IF(H840="EO",5,IF(H840="EQ",4,"")))))</f>
        <v/>
      </c>
      <c r="J840" s="18" t="inlineStr">
        <is>
          <t>高</t>
        </is>
      </c>
      <c r="K840" s="18">
        <f>IF(J840="高",0.33,IF(J840="中",0.67,IF(J840="低",1,"")))</f>
        <v/>
      </c>
      <c r="L840" s="18" t="inlineStr">
        <is>
          <t>新增</t>
        </is>
      </c>
      <c r="M840" s="18">
        <f>IF(L840="新增",1,IF(L840="修改",0.8,IF(L840="删除",0.2,"")))</f>
        <v/>
      </c>
      <c r="N840" s="18">
        <f>I840*K840*M840</f>
        <v/>
      </c>
    </row>
    <row r="841" ht="14.4" customHeight="1" s="1">
      <c r="B841" s="16" t="n">
        <v>836</v>
      </c>
      <c r="C841" s="16" t="inlineStr">
        <is>
          <t>高频时序数据全链路压力测试与性能验证服务</t>
        </is>
      </c>
      <c r="D841" s="16" t="inlineStr">
        <is>
          <t>性能验证服务</t>
        </is>
      </c>
      <c r="E841" s="16" t="inlineStr">
        <is>
          <t>性能指标测试</t>
        </is>
      </c>
      <c r="F841" s="16" t="inlineStr">
        <is>
          <t>告警判定延迟测试</t>
        </is>
      </c>
      <c r="G841" s="17" t="inlineStr">
        <is>
          <t xml:space="preserve"> 提供告警规则判定处理延迟测试服务</t>
        </is>
      </c>
      <c r="H841" s="18" t="inlineStr">
        <is>
          <t>EO</t>
        </is>
      </c>
      <c r="I841" s="18">
        <f>IF(H841="ILF",10,IF(H841="EIF",7,IF(H841="EI",4,IF(H841="EO",5,IF(H841="EQ",4,"")))))</f>
        <v/>
      </c>
      <c r="J841" s="18" t="inlineStr">
        <is>
          <t>低</t>
        </is>
      </c>
      <c r="K841" s="18">
        <f>IF(J841="高",0.33,IF(J841="中",0.67,IF(J841="低",1,"")))</f>
        <v/>
      </c>
      <c r="L841" s="18" t="inlineStr">
        <is>
          <t>修改</t>
        </is>
      </c>
      <c r="M841" s="18">
        <f>IF(L841="新增",1,IF(L841="修改",0.8,IF(L841="删除",0.2,"")))</f>
        <v/>
      </c>
      <c r="N841" s="18">
        <f>I841*K841*M841</f>
        <v/>
      </c>
    </row>
    <row r="842" ht="14.4" customHeight="1" s="1">
      <c r="B842" s="16" t="n">
        <v>837</v>
      </c>
      <c r="C842" s="16" t="inlineStr">
        <is>
          <t>高频时序数据全链路压力测试与性能验证服务</t>
        </is>
      </c>
      <c r="D842" s="16" t="inlineStr">
        <is>
          <t>性能验证服务</t>
        </is>
      </c>
      <c r="E842" s="16" t="inlineStr">
        <is>
          <t>并发能力测试</t>
        </is>
      </c>
      <c r="F842" s="16" t="inlineStr">
        <is>
          <t>多设备并发接入测试</t>
        </is>
      </c>
      <c r="G842" s="17" t="inlineStr">
        <is>
          <t xml:space="preserve"> 提供多台RTU同时并发接入的性能测试服务</t>
        </is>
      </c>
      <c r="H842" s="18" t="inlineStr">
        <is>
          <t>EO</t>
        </is>
      </c>
      <c r="I842" s="18">
        <f>IF(H842="ILF",10,IF(H842="EIF",7,IF(H842="EI",4,IF(H842="EO",5,IF(H842="EQ",4,"")))))</f>
        <v/>
      </c>
      <c r="J842" s="18" t="inlineStr">
        <is>
          <t>中</t>
        </is>
      </c>
      <c r="K842" s="18">
        <f>IF(J842="高",0.33,IF(J842="中",0.67,IF(J842="低",1,"")))</f>
        <v/>
      </c>
      <c r="L842" s="18" t="inlineStr">
        <is>
          <t>新增</t>
        </is>
      </c>
      <c r="M842" s="18">
        <f>IF(L842="新增",1,IF(L842="修改",0.8,IF(L842="删除",0.2,"")))</f>
        <v/>
      </c>
      <c r="N842" s="18">
        <f>I842*K842*M842</f>
        <v/>
      </c>
    </row>
    <row r="843" ht="14.4" customHeight="1" s="1">
      <c r="B843" s="16" t="n">
        <v>838</v>
      </c>
      <c r="C843" s="16" t="inlineStr">
        <is>
          <t>高频时序数据全链路压力测试与性能验证服务</t>
        </is>
      </c>
      <c r="D843" s="16" t="inlineStr">
        <is>
          <t>性能验证服务</t>
        </is>
      </c>
      <c r="E843" s="16" t="inlineStr">
        <is>
          <t>并发能力测试</t>
        </is>
      </c>
      <c r="F843" s="16" t="inlineStr">
        <is>
          <t>多协议并发解析测试</t>
        </is>
      </c>
      <c r="G843" s="17" t="inlineStr">
        <is>
          <t xml:space="preserve"> 提供多种协议同时并发解析的性能测试服务</t>
        </is>
      </c>
      <c r="H843" s="18" t="inlineStr">
        <is>
          <t>EO</t>
        </is>
      </c>
      <c r="I843" s="18">
        <f>IF(H843="ILF",10,IF(H843="EIF",7,IF(H843="EI",4,IF(H843="EO",5,IF(H843="EQ",4,"")))))</f>
        <v/>
      </c>
      <c r="J843" s="18" t="inlineStr">
        <is>
          <t>高</t>
        </is>
      </c>
      <c r="K843" s="18">
        <f>IF(J843="高",0.33,IF(J843="中",0.67,IF(J843="低",1,"")))</f>
        <v/>
      </c>
      <c r="L843" s="18" t="inlineStr">
        <is>
          <t>新增</t>
        </is>
      </c>
      <c r="M843" s="18">
        <f>IF(L843="新增",1,IF(L843="修改",0.8,IF(L843="删除",0.2,"")))</f>
        <v/>
      </c>
      <c r="N843" s="18">
        <f>I843*K843*M843</f>
        <v/>
      </c>
    </row>
    <row r="844" ht="14.4" customHeight="1" s="1">
      <c r="B844" s="16" t="n">
        <v>839</v>
      </c>
      <c r="C844" s="16" t="inlineStr">
        <is>
          <t>高频时序数据全链路压力测试与性能验证服务</t>
        </is>
      </c>
      <c r="D844" s="16" t="inlineStr">
        <is>
          <t>性能验证服务</t>
        </is>
      </c>
      <c r="E844" s="16" t="inlineStr">
        <is>
          <t>稳定性指标测试</t>
        </is>
      </c>
      <c r="F844" s="16" t="inlineStr">
        <is>
          <t>长期运行稳定性报告</t>
        </is>
      </c>
      <c r="G844" s="17" t="inlineStr">
        <is>
          <t xml:space="preserve"> 提供系统长期运行稳定性评估报告服务</t>
        </is>
      </c>
      <c r="H844" s="18" t="inlineStr">
        <is>
          <t>EO</t>
        </is>
      </c>
      <c r="I844" s="18">
        <f>IF(H844="ILF",10,IF(H844="EIF",7,IF(H844="EI",4,IF(H844="EO",5,IF(H844="EQ",4,"")))))</f>
        <v/>
      </c>
      <c r="J844" s="18" t="inlineStr">
        <is>
          <t>高</t>
        </is>
      </c>
      <c r="K844" s="18">
        <f>IF(J844="高",0.33,IF(J844="中",0.67,IF(J844="低",1,"")))</f>
        <v/>
      </c>
      <c r="L844" s="18" t="inlineStr">
        <is>
          <t>新增</t>
        </is>
      </c>
      <c r="M844" s="18">
        <f>IF(L844="新增",1,IF(L844="修改",0.8,IF(L844="删除",0.2,"")))</f>
        <v/>
      </c>
      <c r="N844" s="18">
        <f>I844*K844*M844</f>
        <v/>
      </c>
    </row>
    <row r="845" ht="14.4" customHeight="1" s="1">
      <c r="B845" s="16" t="n">
        <v>840</v>
      </c>
      <c r="C845" s="16" t="inlineStr">
        <is>
          <t>高频时序数据全链路压力测试与性能验证服务</t>
        </is>
      </c>
      <c r="D845" s="16" t="inlineStr">
        <is>
          <t>虚拟设备模拟</t>
        </is>
      </c>
      <c r="E845" s="16" t="inlineStr">
        <is>
          <t>场景配置</t>
        </is>
      </c>
      <c r="F845" s="16" t="inlineStr">
        <is>
          <t>中科模拟</t>
        </is>
      </c>
      <c r="G845" s="17" t="inlineStr">
        <is>
          <t xml:space="preserve"> 提供中科网关RTU虚拟设备模拟服务</t>
        </is>
      </c>
      <c r="H845" s="18" t="inlineStr">
        <is>
          <t>EQ</t>
        </is>
      </c>
      <c r="I845" s="18">
        <f>IF(H845="ILF",10,IF(H845="EIF",7,IF(H845="EI",4,IF(H845="EO",5,IF(H845="EQ",4,"")))))</f>
        <v/>
      </c>
      <c r="J845" s="18" t="inlineStr">
        <is>
          <t>低</t>
        </is>
      </c>
      <c r="K845" s="18">
        <f>IF(J845="高",0.33,IF(J845="中",0.67,IF(J845="低",1,"")))</f>
        <v/>
      </c>
      <c r="L845" s="18" t="inlineStr">
        <is>
          <t>新增</t>
        </is>
      </c>
      <c r="M845" s="18">
        <f>IF(L845="新增",1,IF(L845="修改",0.8,IF(L845="删除",0.2,"")))</f>
        <v/>
      </c>
      <c r="N845" s="18">
        <f>I845*K845*M845</f>
        <v/>
      </c>
    </row>
    <row r="846" ht="14.4" customHeight="1" s="1">
      <c r="B846" s="16" t="n">
        <v>841</v>
      </c>
      <c r="C846" s="16" t="inlineStr">
        <is>
          <t>高频时序数据全链路压力测试与性能验证服务</t>
        </is>
      </c>
      <c r="D846" s="16" t="inlineStr">
        <is>
          <t>虚拟设备模拟</t>
        </is>
      </c>
      <c r="E846" s="16" t="inlineStr">
        <is>
          <t>场景配置</t>
        </is>
      </c>
      <c r="F846" s="16" t="inlineStr">
        <is>
          <t>多协议混合</t>
        </is>
      </c>
      <c r="G846" s="17" t="inlineStr">
        <is>
          <t xml:space="preserve"> 提供Modbus RTU/TCP/OPC UA混合模拟服务</t>
        </is>
      </c>
      <c r="H846" s="18" t="inlineStr">
        <is>
          <t>EQ</t>
        </is>
      </c>
      <c r="I846" s="18">
        <f>IF(H846="ILF",10,IF(H846="EIF",7,IF(H846="EI",4,IF(H846="EO",5,IF(H846="EQ",4,"")))))</f>
        <v/>
      </c>
      <c r="J846" s="18" t="inlineStr">
        <is>
          <t>中</t>
        </is>
      </c>
      <c r="K846" s="18">
        <f>IF(J846="高",0.33,IF(J846="中",0.67,IF(J846="低",1,"")))</f>
        <v/>
      </c>
      <c r="L846" s="18" t="inlineStr">
        <is>
          <t>新增</t>
        </is>
      </c>
      <c r="M846" s="18">
        <f>IF(L846="新增",1,IF(L846="修改",0.8,IF(L846="删除",0.2,"")))</f>
        <v/>
      </c>
      <c r="N846" s="18">
        <f>I846*K846*M846</f>
        <v/>
      </c>
    </row>
    <row r="847" ht="14.4" customHeight="1" s="1">
      <c r="B847" s="16" t="n">
        <v>842</v>
      </c>
      <c r="C847" s="16" t="inlineStr">
        <is>
          <t>高频时序数据全链路压力测试与性能验证服务</t>
        </is>
      </c>
      <c r="D847" s="16" t="inlineStr">
        <is>
          <t>虚拟设备模拟</t>
        </is>
      </c>
      <c r="E847" s="16" t="inlineStr">
        <is>
          <t>场景配置</t>
        </is>
      </c>
      <c r="F847" s="16" t="inlineStr">
        <is>
          <t>多站点并发</t>
        </is>
      </c>
      <c r="G847" s="17" t="inlineStr">
        <is>
          <t xml:space="preserve"> 提供多作业区同时并发采集模拟服务</t>
        </is>
      </c>
      <c r="H847" s="18" t="inlineStr">
        <is>
          <t>EQ</t>
        </is>
      </c>
      <c r="I847" s="18">
        <f>IF(H847="ILF",10,IF(H847="EIF",7,IF(H847="EI",4,IF(H847="EO",5,IF(H847="EQ",4,"")))))</f>
        <v/>
      </c>
      <c r="J847" s="18" t="inlineStr">
        <is>
          <t>高</t>
        </is>
      </c>
      <c r="K847" s="18">
        <f>IF(J847="高",0.33,IF(J847="中",0.67,IF(J847="低",1,"")))</f>
        <v/>
      </c>
      <c r="L847" s="18" t="inlineStr">
        <is>
          <t>新增</t>
        </is>
      </c>
      <c r="M847" s="18">
        <f>IF(L847="新增",1,IF(L847="修改",0.8,IF(L847="删除",0.2,"")))</f>
        <v/>
      </c>
      <c r="N847" s="18">
        <f>I847*K847*M847</f>
        <v/>
      </c>
    </row>
  </sheetData>
  <autoFilter ref="B5:O847"/>
  <mergeCells count="7">
    <mergeCell ref="B1:O1"/>
    <mergeCell ref="B2:C2"/>
    <mergeCell ref="D2:O2"/>
    <mergeCell ref="B3:C3"/>
    <mergeCell ref="D4:O4"/>
    <mergeCell ref="D3:O3"/>
    <mergeCell ref="B4:C4"/>
  </mergeCells>
  <dataValidations count="4">
    <dataValidation sqref="D2" showDropDown="0" showInputMessage="1" showErrorMessage="1" allowBlank="1" type="list">
      <formula1>"预估功能点,估算功能点"</formula1>
    </dataValidation>
    <dataValidation sqref="J6" showDropDown="0" showInputMessage="1" showErrorMessage="1" allowBlank="1" type="list">
      <formula1>"高,中,低"</formula1>
    </dataValidation>
    <dataValidation sqref="L6" showDropDown="0" showInputMessage="1" showErrorMessage="1" allowBlank="1" type="list">
      <formula1>"新增,修改,删除"</formula1>
    </dataValidation>
    <dataValidation sqref="H1:H5" showDropDown="0" showInputMessage="1" showErrorMessage="1" allowBlank="1" type="list">
      <formula1>"ILF,EIF,EI,EO,EQ"</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dqgz3</dc:creator>
  <dcterms:created xmlns:dcterms="http://purl.org/dc/terms/" xmlns:xsi="http://www.w3.org/2001/XMLSchema-instance" xsi:type="dcterms:W3CDTF">2025-05-28T11:45:00Z</dcterms:created>
  <dcterms:modified xmlns:dcterms="http://purl.org/dc/terms/" xmlns:xsi="http://www.w3.org/2001/XMLSchema-instance" xsi:type="dcterms:W3CDTF">2026-08-04T02:49:47Z</dcterms:modified>
  <cp:lastModifiedBy>老牛</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B50A02FEC770434F97C8B497AFB14B26_13</vt:lpwstr>
  </property>
  <property name="KSOProductBuildVer" fmtid="{D5CDD505-2E9C-101B-9397-08002B2CF9AE}" pid="3">
    <vt:lpwstr xmlns:vt="http://schemas.openxmlformats.org/officeDocument/2006/docPropsVTypes">2052-12.1.0.28043</vt:lpwstr>
  </property>
  <property name="CalculationRule" fmtid="{D5CDD505-2E9C-101B-9397-08002B2CF9AE}" pid="4">
    <vt:i4 xmlns:vt="http://schemas.openxmlformats.org/officeDocument/2006/docPropsVTypes">0</vt:i4>
  </property>
</Properties>
</file>