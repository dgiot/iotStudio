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1" windowHeight="12291" tabRatio="600" firstSheet="0" activeTab="0" autoFilterDateGrouping="1"/>
  </bookViews>
  <sheets>
    <sheet xmlns:r="http://schemas.openxmlformats.org/officeDocument/2006/relationships" name="分模块说明" sheetId="1" state="visible" r:id="rId1"/>
    <sheet xmlns:r="http://schemas.openxmlformats.org/officeDocument/2006/relationships" name="费用测算明细" sheetId="2" state="visible" r:id="rId2"/>
    <sheet xmlns:r="http://schemas.openxmlformats.org/officeDocument/2006/relationships" name="功能点测算明细" sheetId="3" state="visible" r:id="rId3"/>
  </sheets>
  <definedNames>
    <definedName name="_xlnm._FilterDatabase" localSheetId="2" hidden="1">'功能点测算明细'!$B$5:$O$847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0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微软雅黑"/>
      <charset val="134"/>
      <b val="1"/>
      <color indexed="8"/>
      <sz val="20"/>
    </font>
    <font>
      <name val="微软雅黑"/>
      <charset val="134"/>
      <b val="1"/>
      <color indexed="8"/>
      <sz val="14"/>
    </font>
    <font>
      <name val="微软雅黑"/>
      <charset val="134"/>
      <b val="1"/>
      <color theme="8"/>
      <sz val="14"/>
    </font>
    <font>
      <name val="微软雅黑"/>
      <charset val="134"/>
      <color theme="1"/>
      <sz val="14"/>
    </font>
    <font>
      <name val="宋体"/>
      <charset val="134"/>
      <color theme="1"/>
      <sz val="12"/>
      <scheme val="minor"/>
    </font>
    <font>
      <name val="微软雅黑"/>
      <charset val="134"/>
      <b val="1"/>
      <color rgb="FF000000"/>
      <sz val="16"/>
    </font>
    <font>
      <name val="微软雅黑"/>
      <charset val="134"/>
      <b val="1"/>
      <sz val="16"/>
    </font>
    <font>
      <name val="微软雅黑"/>
      <charset val="134"/>
      <b val="1"/>
      <color theme="1"/>
      <sz val="14"/>
    </font>
    <font>
      <name val="微软雅黑"/>
      <charset val="134"/>
      <b val="1"/>
      <color rgb="FF000000"/>
      <sz val="14"/>
    </font>
    <font>
      <name val="微软雅黑"/>
      <charset val="134"/>
      <sz val="14"/>
    </font>
    <font>
      <name val="微软雅黑"/>
      <charset val="134"/>
      <color rgb="FF000000"/>
      <sz val="14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7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8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2" fillId="0" borderId="0" applyAlignment="1">
      <alignment vertical="center"/>
    </xf>
    <xf numFmtId="0" fontId="23" fillId="7" borderId="10" applyAlignment="1">
      <alignment vertical="center"/>
    </xf>
    <xf numFmtId="0" fontId="24" fillId="8" borderId="11" applyAlignment="1">
      <alignment vertical="center"/>
    </xf>
    <xf numFmtId="0" fontId="25" fillId="8" borderId="10" applyAlignment="1">
      <alignment vertical="center"/>
    </xf>
    <xf numFmtId="0" fontId="26" fillId="9" borderId="12" applyAlignment="1">
      <alignment vertical="center"/>
    </xf>
    <xf numFmtId="0" fontId="27" fillId="0" borderId="13" applyAlignment="1">
      <alignment vertical="center"/>
    </xf>
    <xf numFmtId="0" fontId="28" fillId="0" borderId="14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3" pivotButton="0" quotePrefix="0" xfId="0"/>
    <xf numFmtId="164" fontId="4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vertical="center" wrapText="1"/>
    </xf>
    <xf numFmtId="164" fontId="5" fillId="5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vertical="center"/>
    </xf>
    <xf numFmtId="0" fontId="14" fillId="0" borderId="6" applyAlignment="1" pivotButton="0" quotePrefix="0" xfId="0">
      <alignment horizontal="left" vertical="top" wrapText="1"/>
    </xf>
    <xf numFmtId="164" fontId="0" fillId="0" borderId="1" applyAlignment="1" pivotButton="0" quotePrefix="0" xfId="0">
      <alignment vertical="center"/>
    </xf>
    <xf numFmtId="164" fontId="10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horizontal="center" vertical="center" wrapText="1"/>
    </xf>
    <xf numFmtId="164" fontId="10" fillId="3" borderId="1" applyAlignment="1" pivotButton="0" quotePrefix="0" xfId="0">
      <alignment vertical="center" wrapText="1"/>
    </xf>
    <xf numFmtId="164" fontId="5" fillId="5" borderId="1" applyAlignment="1" pivotButton="0" quotePrefix="0" xfId="0">
      <alignment horizontal="center" vertical="center" wrapText="1"/>
    </xf>
    <xf numFmtId="164" fontId="12" fillId="3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EZ11"/>
  <sheetViews>
    <sheetView tabSelected="1" zoomScale="70" zoomScaleNormal="70" workbookViewId="0">
      <selection activeCell="C2" sqref="C2"/>
    </sheetView>
  </sheetViews>
  <sheetFormatPr baseColWidth="8" defaultColWidth="13.2522522522523" defaultRowHeight="18.4"/>
  <cols>
    <col width="13.2522522522523" customWidth="1" style="1" min="1" max="1"/>
    <col width="7.38738738738739" customWidth="1" style="42" min="2" max="2"/>
    <col width="24.7027027027027" customWidth="1" style="43" min="3" max="3"/>
    <col width="91.3333333333333" customWidth="1" style="1" min="4" max="4"/>
    <col width="13.2522522522523" customWidth="1" style="1" min="5" max="11"/>
    <col width="17.2522522522523" customWidth="1" style="1" min="12" max="12"/>
    <col width="13.2522522522523" customWidth="1" style="1" min="13" max="16380"/>
  </cols>
  <sheetData>
    <row r="1"/>
    <row r="2" ht="60" customFormat="1" customHeight="1" s="3">
      <c r="A2" s="44" t="n"/>
      <c r="B2" s="45" t="inlineStr">
        <is>
          <t>序号</t>
        </is>
      </c>
      <c r="C2" s="46" t="inlineStr">
        <is>
          <t>模块</t>
        </is>
      </c>
      <c r="D2" s="45" t="inlineStr">
        <is>
          <t>模块功能</t>
        </is>
      </c>
      <c r="E2" s="46" t="inlineStr">
        <is>
          <t>内部逻辑文件(ILF)</t>
        </is>
      </c>
      <c r="F2" s="46" t="inlineStr">
        <is>
          <t>外部接口文件（EIF）</t>
        </is>
      </c>
      <c r="G2" s="46" t="inlineStr">
        <is>
          <t>外部输入(EI)</t>
        </is>
      </c>
      <c r="H2" s="46" t="inlineStr">
        <is>
          <t>外部输出(EO)</t>
        </is>
      </c>
      <c r="I2" s="46" t="inlineStr">
        <is>
          <t>外部查询(EQ)</t>
        </is>
      </c>
      <c r="J2" s="46" t="inlineStr">
        <is>
          <t>未调整功能点数</t>
        </is>
      </c>
      <c r="K2" s="46" t="inlineStr">
        <is>
          <t>未调整功能规模</t>
        </is>
      </c>
      <c r="L2" s="46" t="inlineStr">
        <is>
          <t>含税小计（万元）</t>
        </is>
      </c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  <c r="AE2" s="44" t="n"/>
      <c r="AF2" s="44" t="n"/>
      <c r="AG2" s="44" t="n"/>
      <c r="AH2" s="44" t="n"/>
      <c r="AI2" s="44" t="n"/>
      <c r="AJ2" s="44" t="n"/>
      <c r="AK2" s="44" t="n"/>
      <c r="AL2" s="44" t="n"/>
      <c r="AM2" s="44" t="n"/>
      <c r="AN2" s="44" t="n"/>
      <c r="AO2" s="44" t="n"/>
      <c r="AP2" s="44" t="n"/>
      <c r="AQ2" s="44" t="n"/>
      <c r="AR2" s="44" t="n"/>
      <c r="AS2" s="44" t="n"/>
      <c r="AT2" s="44" t="n"/>
      <c r="AU2" s="44" t="n"/>
      <c r="AV2" s="44" t="n"/>
      <c r="AW2" s="44" t="n"/>
      <c r="AX2" s="44" t="n"/>
      <c r="AY2" s="44" t="n"/>
      <c r="AZ2" s="44" t="n"/>
      <c r="BA2" s="44" t="n"/>
      <c r="BB2" s="44" t="n"/>
      <c r="BC2" s="44" t="n"/>
      <c r="BD2" s="44" t="n"/>
      <c r="BE2" s="44" t="n"/>
      <c r="BF2" s="44" t="n"/>
      <c r="BG2" s="44" t="n"/>
      <c r="BH2" s="44" t="n"/>
      <c r="BI2" s="44" t="n"/>
      <c r="BJ2" s="44" t="n"/>
      <c r="BK2" s="44" t="n"/>
      <c r="BL2" s="44" t="n"/>
      <c r="BM2" s="44" t="n"/>
      <c r="BN2" s="44" t="n"/>
      <c r="BO2" s="44" t="n"/>
      <c r="BP2" s="44" t="n"/>
      <c r="BQ2" s="44" t="n"/>
      <c r="BR2" s="44" t="n"/>
      <c r="BS2" s="44" t="n"/>
      <c r="BT2" s="44" t="n"/>
      <c r="BU2" s="44" t="n"/>
      <c r="BV2" s="44" t="n"/>
      <c r="BW2" s="44" t="n"/>
      <c r="BX2" s="44" t="n"/>
      <c r="BY2" s="44" t="n"/>
      <c r="BZ2" s="44" t="n"/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  <c r="CO2" s="44" t="n"/>
      <c r="CP2" s="44" t="n"/>
      <c r="CQ2" s="44" t="n"/>
      <c r="CR2" s="44" t="n"/>
      <c r="CS2" s="44" t="n"/>
      <c r="CT2" s="44" t="n"/>
      <c r="CU2" s="44" t="n"/>
      <c r="CV2" s="44" t="n"/>
      <c r="CW2" s="44" t="n"/>
      <c r="CX2" s="44" t="n"/>
      <c r="CY2" s="44" t="n"/>
      <c r="CZ2" s="44" t="n"/>
      <c r="DA2" s="44" t="n"/>
      <c r="DB2" s="44" t="n"/>
      <c r="DC2" s="44" t="n"/>
      <c r="DD2" s="44" t="n"/>
      <c r="DE2" s="44" t="n"/>
      <c r="DF2" s="44" t="n"/>
      <c r="DG2" s="44" t="n"/>
      <c r="DH2" s="44" t="n"/>
      <c r="DI2" s="44" t="n"/>
      <c r="DJ2" s="44" t="n"/>
      <c r="DK2" s="44" t="n"/>
      <c r="DL2" s="44" t="n"/>
      <c r="DM2" s="44" t="n"/>
      <c r="DN2" s="44" t="n"/>
      <c r="DO2" s="44" t="n"/>
      <c r="DP2" s="44" t="n"/>
      <c r="DQ2" s="44" t="n"/>
      <c r="DR2" s="44" t="n"/>
      <c r="DS2" s="44" t="n"/>
      <c r="DT2" s="44" t="n"/>
      <c r="DU2" s="44" t="n"/>
      <c r="DV2" s="44" t="n"/>
      <c r="DW2" s="44" t="n"/>
      <c r="DX2" s="44" t="n"/>
      <c r="DY2" s="44" t="n"/>
      <c r="DZ2" s="44" t="n"/>
      <c r="EA2" s="44" t="n"/>
      <c r="EB2" s="44" t="n"/>
      <c r="EC2" s="44" t="n"/>
      <c r="ED2" s="44" t="n"/>
      <c r="EE2" s="44" t="n"/>
      <c r="EF2" s="44" t="n"/>
      <c r="EG2" s="44" t="n"/>
      <c r="EH2" s="44" t="n"/>
      <c r="EI2" s="44" t="n"/>
      <c r="EJ2" s="44" t="n"/>
      <c r="EK2" s="44" t="n"/>
      <c r="EL2" s="44" t="n"/>
      <c r="EM2" s="44" t="n"/>
      <c r="EN2" s="44" t="n"/>
      <c r="EO2" s="44" t="n"/>
      <c r="EP2" s="44" t="n"/>
      <c r="EQ2" s="44" t="n"/>
      <c r="ER2" s="44" t="n"/>
      <c r="ES2" s="44" t="n"/>
      <c r="ET2" s="44" t="n"/>
      <c r="EU2" s="44" t="n"/>
      <c r="EV2" s="44" t="n"/>
      <c r="EW2" s="44" t="n"/>
      <c r="EX2" s="44" t="n"/>
      <c r="EY2" s="44" t="n"/>
      <c r="EZ2" s="44" t="n"/>
      <c r="FA2" s="44" t="n"/>
      <c r="FB2" s="44" t="n"/>
      <c r="FC2" s="44" t="n"/>
      <c r="FD2" s="44" t="n"/>
      <c r="FE2" s="44" t="n"/>
      <c r="FF2" s="44" t="n"/>
      <c r="FG2" s="44" t="n"/>
      <c r="FH2" s="44" t="n"/>
      <c r="FI2" s="44" t="n"/>
      <c r="FJ2" s="44" t="n"/>
      <c r="FK2" s="44" t="n"/>
      <c r="FL2" s="44" t="n"/>
      <c r="FM2" s="44" t="n"/>
      <c r="FN2" s="44" t="n"/>
      <c r="FO2" s="44" t="n"/>
      <c r="FP2" s="44" t="n"/>
      <c r="FQ2" s="44" t="n"/>
      <c r="FR2" s="44" t="n"/>
      <c r="FS2" s="44" t="n"/>
      <c r="FT2" s="44" t="n"/>
      <c r="FU2" s="44" t="n"/>
      <c r="FV2" s="44" t="n"/>
      <c r="FW2" s="44" t="n"/>
      <c r="FX2" s="44" t="n"/>
      <c r="FY2" s="44" t="n"/>
      <c r="FZ2" s="44" t="n"/>
      <c r="GA2" s="44" t="n"/>
      <c r="GB2" s="44" t="n"/>
      <c r="GC2" s="44" t="n"/>
      <c r="GD2" s="44" t="n"/>
      <c r="GE2" s="44" t="n"/>
      <c r="GF2" s="44" t="n"/>
      <c r="GG2" s="44" t="n"/>
      <c r="GH2" s="44" t="n"/>
      <c r="GI2" s="44" t="n"/>
      <c r="GJ2" s="44" t="n"/>
      <c r="GK2" s="44" t="n"/>
      <c r="GL2" s="44" t="n"/>
      <c r="GM2" s="44" t="n"/>
      <c r="GN2" s="44" t="n"/>
      <c r="GO2" s="44" t="n"/>
      <c r="GP2" s="44" t="n"/>
      <c r="GQ2" s="44" t="n"/>
      <c r="GR2" s="44" t="n"/>
      <c r="GS2" s="44" t="n"/>
      <c r="GT2" s="44" t="n"/>
      <c r="GU2" s="44" t="n"/>
      <c r="GV2" s="44" t="n"/>
      <c r="GW2" s="44" t="n"/>
      <c r="GX2" s="44" t="n"/>
      <c r="GY2" s="44" t="n"/>
      <c r="GZ2" s="44" t="n"/>
      <c r="HA2" s="44" t="n"/>
      <c r="HB2" s="44" t="n"/>
      <c r="HC2" s="44" t="n"/>
      <c r="HD2" s="44" t="n"/>
      <c r="HE2" s="44" t="n"/>
      <c r="HF2" s="44" t="n"/>
      <c r="HG2" s="44" t="n"/>
      <c r="HH2" s="44" t="n"/>
      <c r="HI2" s="44" t="n"/>
      <c r="HJ2" s="44" t="n"/>
      <c r="HK2" s="44" t="n"/>
      <c r="HL2" s="44" t="n"/>
      <c r="HM2" s="44" t="n"/>
      <c r="HN2" s="44" t="n"/>
      <c r="HO2" s="44" t="n"/>
      <c r="HP2" s="44" t="n"/>
      <c r="HQ2" s="44" t="n"/>
      <c r="HR2" s="44" t="n"/>
      <c r="HS2" s="44" t="n"/>
      <c r="HT2" s="44" t="n"/>
      <c r="HU2" s="44" t="n"/>
      <c r="HV2" s="44" t="n"/>
      <c r="HW2" s="44" t="n"/>
      <c r="HX2" s="44" t="n"/>
      <c r="HY2" s="44" t="n"/>
      <c r="HZ2" s="44" t="n"/>
      <c r="IA2" s="44" t="n"/>
      <c r="IB2" s="44" t="n"/>
      <c r="IC2" s="44" t="n"/>
      <c r="ID2" s="44" t="n"/>
      <c r="IE2" s="44" t="n"/>
      <c r="IF2" s="44" t="n"/>
      <c r="IG2" s="44" t="n"/>
      <c r="IH2" s="44" t="n"/>
      <c r="II2" s="44" t="n"/>
      <c r="IJ2" s="44" t="n"/>
      <c r="IK2" s="44" t="n"/>
      <c r="IL2" s="44" t="n"/>
      <c r="IM2" s="44" t="n"/>
      <c r="IN2" s="44" t="n"/>
      <c r="IO2" s="44" t="n"/>
      <c r="IP2" s="44" t="n"/>
      <c r="IQ2" s="44" t="n"/>
      <c r="IR2" s="44" t="n"/>
      <c r="IS2" s="44" t="n"/>
      <c r="IT2" s="44" t="n"/>
      <c r="IU2" s="44" t="n"/>
      <c r="IV2" s="44" t="n"/>
      <c r="IW2" s="44" t="n"/>
      <c r="IX2" s="44" t="n"/>
      <c r="IY2" s="44" t="n"/>
      <c r="IZ2" s="44" t="n"/>
      <c r="JA2" s="44" t="n"/>
      <c r="JB2" s="44" t="n"/>
      <c r="JC2" s="44" t="n"/>
      <c r="JD2" s="44" t="n"/>
      <c r="JE2" s="44" t="n"/>
      <c r="JF2" s="44" t="n"/>
      <c r="JG2" s="44" t="n"/>
      <c r="JH2" s="44" t="n"/>
      <c r="JI2" s="44" t="n"/>
      <c r="JJ2" s="44" t="n"/>
      <c r="JK2" s="44" t="n"/>
      <c r="JL2" s="44" t="n"/>
      <c r="JM2" s="44" t="n"/>
      <c r="JN2" s="44" t="n"/>
      <c r="JO2" s="44" t="n"/>
      <c r="JP2" s="44" t="n"/>
      <c r="JQ2" s="44" t="n"/>
      <c r="JR2" s="44" t="n"/>
      <c r="JS2" s="44" t="n"/>
      <c r="JT2" s="44" t="n"/>
      <c r="JU2" s="44" t="n"/>
      <c r="JV2" s="44" t="n"/>
      <c r="JW2" s="44" t="n"/>
      <c r="JX2" s="44" t="n"/>
      <c r="JY2" s="44" t="n"/>
      <c r="JZ2" s="44" t="n"/>
      <c r="KA2" s="44" t="n"/>
      <c r="KB2" s="44" t="n"/>
      <c r="KC2" s="44" t="n"/>
      <c r="KD2" s="44" t="n"/>
      <c r="KE2" s="44" t="n"/>
      <c r="KF2" s="44" t="n"/>
      <c r="KG2" s="44" t="n"/>
      <c r="KH2" s="44" t="n"/>
      <c r="KI2" s="44" t="n"/>
      <c r="KJ2" s="44" t="n"/>
      <c r="KK2" s="44" t="n"/>
      <c r="KL2" s="44" t="n"/>
      <c r="KM2" s="44" t="n"/>
      <c r="KN2" s="44" t="n"/>
      <c r="KO2" s="44" t="n"/>
      <c r="KP2" s="44" t="n"/>
      <c r="KQ2" s="44" t="n"/>
      <c r="KR2" s="44" t="n"/>
      <c r="KS2" s="44" t="n"/>
      <c r="KT2" s="44" t="n"/>
      <c r="KU2" s="44" t="n"/>
      <c r="KV2" s="44" t="n"/>
      <c r="KW2" s="44" t="n"/>
      <c r="KX2" s="44" t="n"/>
      <c r="KY2" s="44" t="n"/>
      <c r="KZ2" s="44" t="n"/>
      <c r="LA2" s="44" t="n"/>
      <c r="LB2" s="44" t="n"/>
      <c r="LC2" s="44" t="n"/>
      <c r="LD2" s="44" t="n"/>
      <c r="LE2" s="44" t="n"/>
      <c r="LF2" s="44" t="n"/>
      <c r="LG2" s="44" t="n"/>
      <c r="LH2" s="44" t="n"/>
      <c r="LI2" s="44" t="n"/>
      <c r="LJ2" s="44" t="n"/>
      <c r="LK2" s="44" t="n"/>
      <c r="LL2" s="44" t="n"/>
      <c r="LM2" s="44" t="n"/>
      <c r="LN2" s="44" t="n"/>
      <c r="LO2" s="44" t="n"/>
      <c r="LP2" s="44" t="n"/>
      <c r="LQ2" s="44" t="n"/>
      <c r="LR2" s="44" t="n"/>
      <c r="LS2" s="44" t="n"/>
      <c r="LT2" s="44" t="n"/>
      <c r="LU2" s="44" t="n"/>
      <c r="LV2" s="44" t="n"/>
      <c r="LW2" s="44" t="n"/>
      <c r="LX2" s="44" t="n"/>
      <c r="LY2" s="44" t="n"/>
      <c r="LZ2" s="44" t="n"/>
      <c r="MA2" s="44" t="n"/>
      <c r="MB2" s="44" t="n"/>
      <c r="MC2" s="44" t="n"/>
      <c r="MD2" s="44" t="n"/>
      <c r="ME2" s="44" t="n"/>
      <c r="MF2" s="44" t="n"/>
      <c r="MG2" s="44" t="n"/>
      <c r="MH2" s="44" t="n"/>
      <c r="MI2" s="44" t="n"/>
      <c r="MJ2" s="44" t="n"/>
      <c r="MK2" s="44" t="n"/>
      <c r="ML2" s="44" t="n"/>
      <c r="MM2" s="44" t="n"/>
      <c r="MN2" s="44" t="n"/>
      <c r="MO2" s="44" t="n"/>
      <c r="MP2" s="44" t="n"/>
      <c r="MQ2" s="44" t="n"/>
      <c r="MR2" s="44" t="n"/>
      <c r="MS2" s="44" t="n"/>
      <c r="MT2" s="44" t="n"/>
      <c r="MU2" s="44" t="n"/>
      <c r="MV2" s="44" t="n"/>
      <c r="MW2" s="44" t="n"/>
      <c r="MX2" s="44" t="n"/>
      <c r="MY2" s="44" t="n"/>
      <c r="MZ2" s="44" t="n"/>
      <c r="NA2" s="44" t="n"/>
      <c r="NB2" s="44" t="n"/>
      <c r="NC2" s="44" t="n"/>
      <c r="ND2" s="44" t="n"/>
      <c r="NE2" s="44" t="n"/>
      <c r="NF2" s="44" t="n"/>
      <c r="NG2" s="44" t="n"/>
      <c r="NH2" s="44" t="n"/>
      <c r="NI2" s="44" t="n"/>
      <c r="NJ2" s="44" t="n"/>
      <c r="NK2" s="44" t="n"/>
      <c r="NL2" s="44" t="n"/>
      <c r="NM2" s="44" t="n"/>
      <c r="NN2" s="44" t="n"/>
      <c r="NO2" s="44" t="n"/>
      <c r="NP2" s="44" t="n"/>
      <c r="NQ2" s="44" t="n"/>
      <c r="NR2" s="44" t="n"/>
      <c r="NS2" s="44" t="n"/>
      <c r="NT2" s="44" t="n"/>
      <c r="NU2" s="44" t="n"/>
      <c r="NV2" s="44" t="n"/>
      <c r="NW2" s="44" t="n"/>
      <c r="NX2" s="44" t="n"/>
      <c r="NY2" s="44" t="n"/>
      <c r="NZ2" s="44" t="n"/>
      <c r="OA2" s="44" t="n"/>
      <c r="OB2" s="44" t="n"/>
      <c r="OC2" s="44" t="n"/>
      <c r="OD2" s="44" t="n"/>
      <c r="OE2" s="44" t="n"/>
      <c r="OF2" s="44" t="n"/>
      <c r="OG2" s="44" t="n"/>
      <c r="OH2" s="44" t="n"/>
      <c r="OI2" s="44" t="n"/>
      <c r="OJ2" s="44" t="n"/>
      <c r="OK2" s="44" t="n"/>
      <c r="OL2" s="44" t="n"/>
      <c r="OM2" s="44" t="n"/>
      <c r="ON2" s="44" t="n"/>
      <c r="OO2" s="44" t="n"/>
      <c r="OP2" s="44" t="n"/>
      <c r="OQ2" s="44" t="n"/>
      <c r="OR2" s="44" t="n"/>
      <c r="OS2" s="44" t="n"/>
      <c r="OT2" s="44" t="n"/>
      <c r="OU2" s="44" t="n"/>
      <c r="OV2" s="44" t="n"/>
      <c r="OW2" s="44" t="n"/>
      <c r="OX2" s="44" t="n"/>
      <c r="OY2" s="44" t="n"/>
      <c r="OZ2" s="44" t="n"/>
      <c r="PA2" s="44" t="n"/>
      <c r="PB2" s="44" t="n"/>
      <c r="PC2" s="44" t="n"/>
      <c r="PD2" s="44" t="n"/>
      <c r="PE2" s="44" t="n"/>
      <c r="PF2" s="44" t="n"/>
      <c r="PG2" s="44" t="n"/>
      <c r="PH2" s="44" t="n"/>
      <c r="PI2" s="44" t="n"/>
      <c r="PJ2" s="44" t="n"/>
      <c r="PK2" s="44" t="n"/>
      <c r="PL2" s="44" t="n"/>
      <c r="PM2" s="44" t="n"/>
      <c r="PN2" s="44" t="n"/>
      <c r="PO2" s="44" t="n"/>
      <c r="PP2" s="44" t="n"/>
      <c r="PQ2" s="44" t="n"/>
      <c r="PR2" s="44" t="n"/>
      <c r="PS2" s="44" t="n"/>
      <c r="PT2" s="44" t="n"/>
      <c r="PU2" s="44" t="n"/>
      <c r="PV2" s="44" t="n"/>
      <c r="PW2" s="44" t="n"/>
      <c r="PX2" s="44" t="n"/>
      <c r="PY2" s="44" t="n"/>
      <c r="PZ2" s="44" t="n"/>
      <c r="QA2" s="44" t="n"/>
      <c r="QB2" s="44" t="n"/>
      <c r="QC2" s="44" t="n"/>
      <c r="QD2" s="44" t="n"/>
      <c r="QE2" s="44" t="n"/>
      <c r="QF2" s="44" t="n"/>
      <c r="QG2" s="44" t="n"/>
      <c r="QH2" s="44" t="n"/>
      <c r="QI2" s="44" t="n"/>
      <c r="QJ2" s="44" t="n"/>
      <c r="QK2" s="44" t="n"/>
      <c r="QL2" s="44" t="n"/>
      <c r="QM2" s="44" t="n"/>
      <c r="QN2" s="44" t="n"/>
      <c r="QO2" s="44" t="n"/>
      <c r="QP2" s="44" t="n"/>
      <c r="QQ2" s="44" t="n"/>
      <c r="QR2" s="44" t="n"/>
      <c r="QS2" s="44" t="n"/>
      <c r="QT2" s="44" t="n"/>
      <c r="QU2" s="44" t="n"/>
      <c r="QV2" s="44" t="n"/>
      <c r="QW2" s="44" t="n"/>
      <c r="QX2" s="44" t="n"/>
      <c r="QY2" s="44" t="n"/>
      <c r="QZ2" s="44" t="n"/>
      <c r="RA2" s="44" t="n"/>
      <c r="RB2" s="44" t="n"/>
      <c r="RC2" s="44" t="n"/>
      <c r="RD2" s="44" t="n"/>
      <c r="RE2" s="44" t="n"/>
      <c r="RF2" s="44" t="n"/>
      <c r="RG2" s="44" t="n"/>
      <c r="RH2" s="44" t="n"/>
      <c r="RI2" s="44" t="n"/>
      <c r="RJ2" s="44" t="n"/>
      <c r="RK2" s="44" t="n"/>
      <c r="RL2" s="44" t="n"/>
      <c r="RM2" s="44" t="n"/>
      <c r="RN2" s="44" t="n"/>
      <c r="RO2" s="44" t="n"/>
      <c r="RP2" s="44" t="n"/>
      <c r="RQ2" s="44" t="n"/>
      <c r="RR2" s="44" t="n"/>
      <c r="RS2" s="44" t="n"/>
      <c r="RT2" s="44" t="n"/>
      <c r="RU2" s="44" t="n"/>
      <c r="RV2" s="44" t="n"/>
      <c r="RW2" s="44" t="n"/>
      <c r="RX2" s="44" t="n"/>
      <c r="RY2" s="44" t="n"/>
      <c r="RZ2" s="44" t="n"/>
      <c r="SA2" s="44" t="n"/>
      <c r="SB2" s="44" t="n"/>
      <c r="SC2" s="44" t="n"/>
      <c r="SD2" s="44" t="n"/>
      <c r="SE2" s="44" t="n"/>
      <c r="SF2" s="44" t="n"/>
      <c r="SG2" s="44" t="n"/>
      <c r="SH2" s="44" t="n"/>
      <c r="SI2" s="44" t="n"/>
      <c r="SJ2" s="44" t="n"/>
      <c r="SK2" s="44" t="n"/>
      <c r="SL2" s="44" t="n"/>
      <c r="SM2" s="44" t="n"/>
      <c r="SN2" s="44" t="n"/>
      <c r="SO2" s="44" t="n"/>
      <c r="SP2" s="44" t="n"/>
      <c r="SQ2" s="44" t="n"/>
      <c r="SR2" s="44" t="n"/>
      <c r="SS2" s="44" t="n"/>
      <c r="ST2" s="44" t="n"/>
      <c r="SU2" s="44" t="n"/>
      <c r="SV2" s="44" t="n"/>
      <c r="SW2" s="44" t="n"/>
      <c r="SX2" s="44" t="n"/>
      <c r="SY2" s="44" t="n"/>
      <c r="SZ2" s="44" t="n"/>
      <c r="TA2" s="44" t="n"/>
      <c r="TB2" s="44" t="n"/>
      <c r="TC2" s="44" t="n"/>
      <c r="TD2" s="44" t="n"/>
      <c r="TE2" s="44" t="n"/>
      <c r="TF2" s="44" t="n"/>
      <c r="TG2" s="44" t="n"/>
      <c r="TH2" s="44" t="n"/>
      <c r="TI2" s="44" t="n"/>
      <c r="TJ2" s="44" t="n"/>
      <c r="TK2" s="44" t="n"/>
      <c r="TL2" s="44" t="n"/>
      <c r="TM2" s="44" t="n"/>
      <c r="TN2" s="44" t="n"/>
      <c r="TO2" s="44" t="n"/>
      <c r="TP2" s="44" t="n"/>
      <c r="TQ2" s="44" t="n"/>
      <c r="TR2" s="44" t="n"/>
      <c r="TS2" s="44" t="n"/>
      <c r="TT2" s="44" t="n"/>
      <c r="TU2" s="44" t="n"/>
      <c r="TV2" s="44" t="n"/>
      <c r="TW2" s="44" t="n"/>
      <c r="TX2" s="44" t="n"/>
      <c r="TY2" s="44" t="n"/>
      <c r="TZ2" s="44" t="n"/>
      <c r="UA2" s="44" t="n"/>
      <c r="UB2" s="44" t="n"/>
      <c r="UC2" s="44" t="n"/>
      <c r="UD2" s="44" t="n"/>
      <c r="UE2" s="44" t="n"/>
      <c r="UF2" s="44" t="n"/>
      <c r="UG2" s="44" t="n"/>
      <c r="UH2" s="44" t="n"/>
      <c r="UI2" s="44" t="n"/>
      <c r="UJ2" s="44" t="n"/>
      <c r="UK2" s="44" t="n"/>
      <c r="UL2" s="44" t="n"/>
      <c r="UM2" s="44" t="n"/>
      <c r="UN2" s="44" t="n"/>
      <c r="UO2" s="44" t="n"/>
      <c r="UP2" s="44" t="n"/>
      <c r="UQ2" s="44" t="n"/>
      <c r="UR2" s="44" t="n"/>
      <c r="US2" s="44" t="n"/>
      <c r="UT2" s="44" t="n"/>
      <c r="UU2" s="44" t="n"/>
      <c r="UV2" s="44" t="n"/>
      <c r="UW2" s="44" t="n"/>
      <c r="UX2" s="44" t="n"/>
      <c r="UY2" s="44" t="n"/>
      <c r="UZ2" s="44" t="n"/>
      <c r="VA2" s="44" t="n"/>
      <c r="VB2" s="44" t="n"/>
      <c r="VC2" s="44" t="n"/>
      <c r="VD2" s="44" t="n"/>
      <c r="VE2" s="44" t="n"/>
      <c r="VF2" s="44" t="n"/>
      <c r="VG2" s="44" t="n"/>
      <c r="VH2" s="44" t="n"/>
      <c r="VI2" s="44" t="n"/>
      <c r="VJ2" s="44" t="n"/>
      <c r="VK2" s="44" t="n"/>
      <c r="VL2" s="44" t="n"/>
      <c r="VM2" s="44" t="n"/>
      <c r="VN2" s="44" t="n"/>
      <c r="VO2" s="44" t="n"/>
      <c r="VP2" s="44" t="n"/>
      <c r="VQ2" s="44" t="n"/>
      <c r="VR2" s="44" t="n"/>
      <c r="VS2" s="44" t="n"/>
      <c r="VT2" s="44" t="n"/>
      <c r="VU2" s="44" t="n"/>
      <c r="VV2" s="44" t="n"/>
      <c r="VW2" s="44" t="n"/>
      <c r="VX2" s="44" t="n"/>
      <c r="VY2" s="44" t="n"/>
      <c r="VZ2" s="44" t="n"/>
      <c r="WA2" s="44" t="n"/>
      <c r="WB2" s="44" t="n"/>
      <c r="WC2" s="44" t="n"/>
      <c r="WD2" s="44" t="n"/>
      <c r="WE2" s="44" t="n"/>
      <c r="WF2" s="44" t="n"/>
      <c r="WG2" s="44" t="n"/>
      <c r="WH2" s="44" t="n"/>
      <c r="WI2" s="44" t="n"/>
      <c r="WJ2" s="44" t="n"/>
      <c r="WK2" s="44" t="n"/>
      <c r="WL2" s="44" t="n"/>
      <c r="WM2" s="44" t="n"/>
      <c r="WN2" s="44" t="n"/>
      <c r="WO2" s="44" t="n"/>
      <c r="WP2" s="44" t="n"/>
      <c r="WQ2" s="44" t="n"/>
      <c r="WR2" s="44" t="n"/>
      <c r="WS2" s="44" t="n"/>
      <c r="WT2" s="44" t="n"/>
      <c r="WU2" s="44" t="n"/>
      <c r="WV2" s="44" t="n"/>
      <c r="WW2" s="44" t="n"/>
      <c r="WX2" s="44" t="n"/>
      <c r="WY2" s="44" t="n"/>
      <c r="WZ2" s="44" t="n"/>
      <c r="XA2" s="44" t="n"/>
      <c r="XB2" s="44" t="n"/>
      <c r="XC2" s="44" t="n"/>
      <c r="XD2" s="44" t="n"/>
      <c r="XE2" s="44" t="n"/>
      <c r="XF2" s="44" t="n"/>
      <c r="XG2" s="44" t="n"/>
      <c r="XH2" s="44" t="n"/>
      <c r="XI2" s="44" t="n"/>
      <c r="XJ2" s="44" t="n"/>
      <c r="XK2" s="44" t="n"/>
      <c r="XL2" s="44" t="n"/>
      <c r="XM2" s="44" t="n"/>
      <c r="XN2" s="44" t="n"/>
      <c r="XO2" s="44" t="n"/>
      <c r="XP2" s="44" t="n"/>
      <c r="XQ2" s="44" t="n"/>
      <c r="XR2" s="44" t="n"/>
      <c r="XS2" s="44" t="n"/>
      <c r="XT2" s="44" t="n"/>
      <c r="XU2" s="44" t="n"/>
      <c r="XV2" s="44" t="n"/>
      <c r="XW2" s="44" t="n"/>
      <c r="XX2" s="44" t="n"/>
      <c r="XY2" s="44" t="n"/>
      <c r="XZ2" s="44" t="n"/>
      <c r="YA2" s="44" t="n"/>
      <c r="YB2" s="44" t="n"/>
      <c r="YC2" s="44" t="n"/>
      <c r="YD2" s="44" t="n"/>
      <c r="YE2" s="44" t="n"/>
      <c r="YF2" s="44" t="n"/>
      <c r="YG2" s="44" t="n"/>
      <c r="YH2" s="44" t="n"/>
      <c r="YI2" s="44" t="n"/>
      <c r="YJ2" s="44" t="n"/>
      <c r="YK2" s="44" t="n"/>
      <c r="YL2" s="44" t="n"/>
      <c r="YM2" s="44" t="n"/>
      <c r="YN2" s="44" t="n"/>
      <c r="YO2" s="44" t="n"/>
      <c r="YP2" s="44" t="n"/>
      <c r="YQ2" s="44" t="n"/>
      <c r="YR2" s="44" t="n"/>
      <c r="YS2" s="44" t="n"/>
      <c r="YT2" s="44" t="n"/>
      <c r="YU2" s="44" t="n"/>
      <c r="YV2" s="44" t="n"/>
      <c r="YW2" s="44" t="n"/>
      <c r="YX2" s="44" t="n"/>
      <c r="YY2" s="44" t="n"/>
      <c r="YZ2" s="44" t="n"/>
      <c r="ZA2" s="44" t="n"/>
      <c r="ZB2" s="44" t="n"/>
      <c r="ZC2" s="44" t="n"/>
      <c r="ZD2" s="44" t="n"/>
      <c r="ZE2" s="44" t="n"/>
      <c r="ZF2" s="44" t="n"/>
      <c r="ZG2" s="44" t="n"/>
      <c r="ZH2" s="44" t="n"/>
      <c r="ZI2" s="44" t="n"/>
      <c r="ZJ2" s="44" t="n"/>
      <c r="ZK2" s="44" t="n"/>
      <c r="ZL2" s="44" t="n"/>
      <c r="ZM2" s="44" t="n"/>
      <c r="ZN2" s="44" t="n"/>
      <c r="ZO2" s="44" t="n"/>
      <c r="ZP2" s="44" t="n"/>
      <c r="ZQ2" s="44" t="n"/>
      <c r="ZR2" s="44" t="n"/>
      <c r="ZS2" s="44" t="n"/>
      <c r="ZT2" s="44" t="n"/>
      <c r="ZU2" s="44" t="n"/>
      <c r="ZV2" s="44" t="n"/>
      <c r="ZW2" s="44" t="n"/>
      <c r="ZX2" s="44" t="n"/>
      <c r="ZY2" s="44" t="n"/>
      <c r="ZZ2" s="44" t="n"/>
      <c r="AAA2" s="44" t="n"/>
      <c r="AAB2" s="44" t="n"/>
      <c r="AAC2" s="44" t="n"/>
      <c r="AAD2" s="44" t="n"/>
      <c r="AAE2" s="44" t="n"/>
      <c r="AAF2" s="44" t="n"/>
      <c r="AAG2" s="44" t="n"/>
      <c r="AAH2" s="44" t="n"/>
      <c r="AAI2" s="44" t="n"/>
      <c r="AAJ2" s="44" t="n"/>
      <c r="AAK2" s="44" t="n"/>
      <c r="AAL2" s="44" t="n"/>
      <c r="AAM2" s="44" t="n"/>
      <c r="AAN2" s="44" t="n"/>
      <c r="AAO2" s="44" t="n"/>
      <c r="AAP2" s="44" t="n"/>
      <c r="AAQ2" s="44" t="n"/>
      <c r="AAR2" s="44" t="n"/>
      <c r="AAS2" s="44" t="n"/>
      <c r="AAT2" s="44" t="n"/>
      <c r="AAU2" s="44" t="n"/>
      <c r="AAV2" s="44" t="n"/>
      <c r="AAW2" s="44" t="n"/>
      <c r="AAX2" s="44" t="n"/>
      <c r="AAY2" s="44" t="n"/>
      <c r="AAZ2" s="44" t="n"/>
      <c r="ABA2" s="44" t="n"/>
      <c r="ABB2" s="44" t="n"/>
      <c r="ABC2" s="44" t="n"/>
      <c r="ABD2" s="44" t="n"/>
      <c r="ABE2" s="44" t="n"/>
      <c r="ABF2" s="44" t="n"/>
      <c r="ABG2" s="44" t="n"/>
      <c r="ABH2" s="44" t="n"/>
      <c r="ABI2" s="44" t="n"/>
      <c r="ABJ2" s="44" t="n"/>
      <c r="ABK2" s="44" t="n"/>
      <c r="ABL2" s="44" t="n"/>
      <c r="ABM2" s="44" t="n"/>
      <c r="ABN2" s="44" t="n"/>
      <c r="ABO2" s="44" t="n"/>
      <c r="ABP2" s="44" t="n"/>
      <c r="ABQ2" s="44" t="n"/>
      <c r="ABR2" s="44" t="n"/>
      <c r="ABS2" s="44" t="n"/>
      <c r="ABT2" s="44" t="n"/>
      <c r="ABU2" s="44" t="n"/>
      <c r="ABV2" s="44" t="n"/>
      <c r="ABW2" s="44" t="n"/>
      <c r="ABX2" s="44" t="n"/>
      <c r="ABY2" s="44" t="n"/>
      <c r="ABZ2" s="44" t="n"/>
      <c r="ACA2" s="44" t="n"/>
      <c r="ACB2" s="44" t="n"/>
      <c r="ACC2" s="44" t="n"/>
      <c r="ACD2" s="44" t="n"/>
      <c r="ACE2" s="44" t="n"/>
      <c r="ACF2" s="44" t="n"/>
      <c r="ACG2" s="44" t="n"/>
      <c r="ACH2" s="44" t="n"/>
      <c r="ACI2" s="44" t="n"/>
      <c r="ACJ2" s="44" t="n"/>
      <c r="ACK2" s="44" t="n"/>
      <c r="ACL2" s="44" t="n"/>
      <c r="ACM2" s="44" t="n"/>
      <c r="ACN2" s="44" t="n"/>
      <c r="ACO2" s="44" t="n"/>
      <c r="ACP2" s="44" t="n"/>
      <c r="ACQ2" s="44" t="n"/>
      <c r="ACR2" s="44" t="n"/>
      <c r="ACS2" s="44" t="n"/>
      <c r="ACT2" s="44" t="n"/>
      <c r="ACU2" s="44" t="n"/>
      <c r="ACV2" s="44" t="n"/>
      <c r="ACW2" s="44" t="n"/>
      <c r="ACX2" s="44" t="n"/>
      <c r="ACY2" s="44" t="n"/>
      <c r="ACZ2" s="44" t="n"/>
      <c r="ADA2" s="44" t="n"/>
      <c r="ADB2" s="44" t="n"/>
      <c r="ADC2" s="44" t="n"/>
      <c r="ADD2" s="44" t="n"/>
      <c r="ADE2" s="44" t="n"/>
      <c r="ADF2" s="44" t="n"/>
      <c r="ADG2" s="44" t="n"/>
      <c r="ADH2" s="44" t="n"/>
      <c r="ADI2" s="44" t="n"/>
      <c r="ADJ2" s="44" t="n"/>
      <c r="ADK2" s="44" t="n"/>
      <c r="ADL2" s="44" t="n"/>
      <c r="ADM2" s="44" t="n"/>
      <c r="ADN2" s="44" t="n"/>
      <c r="ADO2" s="44" t="n"/>
      <c r="ADP2" s="44" t="n"/>
      <c r="ADQ2" s="44" t="n"/>
      <c r="ADR2" s="44" t="n"/>
      <c r="ADS2" s="44" t="n"/>
      <c r="ADT2" s="44" t="n"/>
      <c r="ADU2" s="44" t="n"/>
      <c r="ADV2" s="44" t="n"/>
      <c r="ADW2" s="44" t="n"/>
      <c r="ADX2" s="44" t="n"/>
      <c r="ADY2" s="44" t="n"/>
      <c r="ADZ2" s="44" t="n"/>
      <c r="AEA2" s="44" t="n"/>
      <c r="AEB2" s="44" t="n"/>
      <c r="AEC2" s="44" t="n"/>
      <c r="AED2" s="44" t="n"/>
      <c r="AEE2" s="44" t="n"/>
      <c r="AEF2" s="44" t="n"/>
      <c r="AEG2" s="44" t="n"/>
      <c r="AEH2" s="44" t="n"/>
      <c r="AEI2" s="44" t="n"/>
      <c r="AEJ2" s="44" t="n"/>
      <c r="AEK2" s="44" t="n"/>
      <c r="AEL2" s="44" t="n"/>
      <c r="AEM2" s="44" t="n"/>
      <c r="AEN2" s="44" t="n"/>
      <c r="AEO2" s="44" t="n"/>
      <c r="AEP2" s="44" t="n"/>
      <c r="AEQ2" s="44" t="n"/>
      <c r="AER2" s="44" t="n"/>
      <c r="AES2" s="44" t="n"/>
      <c r="AET2" s="44" t="n"/>
      <c r="AEU2" s="44" t="n"/>
      <c r="AEV2" s="44" t="n"/>
      <c r="AEW2" s="44" t="n"/>
      <c r="AEX2" s="44" t="n"/>
      <c r="AEY2" s="44" t="n"/>
      <c r="AEZ2" s="44" t="n"/>
      <c r="AFA2" s="44" t="n"/>
      <c r="AFB2" s="44" t="n"/>
      <c r="AFC2" s="44" t="n"/>
      <c r="AFD2" s="44" t="n"/>
      <c r="AFE2" s="44" t="n"/>
      <c r="AFF2" s="44" t="n"/>
      <c r="AFG2" s="44" t="n"/>
      <c r="AFH2" s="44" t="n"/>
      <c r="AFI2" s="44" t="n"/>
      <c r="AFJ2" s="44" t="n"/>
      <c r="AFK2" s="44" t="n"/>
      <c r="AFL2" s="44" t="n"/>
      <c r="AFM2" s="44" t="n"/>
      <c r="AFN2" s="44" t="n"/>
      <c r="AFO2" s="44" t="n"/>
      <c r="AFP2" s="44" t="n"/>
      <c r="AFQ2" s="44" t="n"/>
      <c r="AFR2" s="44" t="n"/>
      <c r="AFS2" s="44" t="n"/>
      <c r="AFT2" s="44" t="n"/>
      <c r="AFU2" s="44" t="n"/>
      <c r="AFV2" s="44" t="n"/>
      <c r="AFW2" s="44" t="n"/>
      <c r="AFX2" s="44" t="n"/>
      <c r="AFY2" s="44" t="n"/>
      <c r="AFZ2" s="44" t="n"/>
      <c r="AGA2" s="44" t="n"/>
      <c r="AGB2" s="44" t="n"/>
      <c r="AGC2" s="44" t="n"/>
      <c r="AGD2" s="44" t="n"/>
      <c r="AGE2" s="44" t="n"/>
      <c r="AGF2" s="44" t="n"/>
      <c r="AGG2" s="44" t="n"/>
      <c r="AGH2" s="44" t="n"/>
      <c r="AGI2" s="44" t="n"/>
      <c r="AGJ2" s="44" t="n"/>
      <c r="AGK2" s="44" t="n"/>
      <c r="AGL2" s="44" t="n"/>
      <c r="AGM2" s="44" t="n"/>
      <c r="AGN2" s="44" t="n"/>
      <c r="AGO2" s="44" t="n"/>
      <c r="AGP2" s="44" t="n"/>
      <c r="AGQ2" s="44" t="n"/>
      <c r="AGR2" s="44" t="n"/>
      <c r="AGS2" s="44" t="n"/>
      <c r="AGT2" s="44" t="n"/>
      <c r="AGU2" s="44" t="n"/>
      <c r="AGV2" s="44" t="n"/>
      <c r="AGW2" s="44" t="n"/>
      <c r="AGX2" s="44" t="n"/>
      <c r="AGY2" s="44" t="n"/>
      <c r="AGZ2" s="44" t="n"/>
      <c r="AHA2" s="44" t="n"/>
      <c r="AHB2" s="44" t="n"/>
      <c r="AHC2" s="44" t="n"/>
      <c r="AHD2" s="44" t="n"/>
      <c r="AHE2" s="44" t="n"/>
      <c r="AHF2" s="44" t="n"/>
      <c r="AHG2" s="44" t="n"/>
      <c r="AHH2" s="44" t="n"/>
      <c r="AHI2" s="44" t="n"/>
      <c r="AHJ2" s="44" t="n"/>
      <c r="AHK2" s="44" t="n"/>
      <c r="AHL2" s="44" t="n"/>
      <c r="AHM2" s="44" t="n"/>
      <c r="AHN2" s="44" t="n"/>
      <c r="AHO2" s="44" t="n"/>
      <c r="AHP2" s="44" t="n"/>
      <c r="AHQ2" s="44" t="n"/>
      <c r="AHR2" s="44" t="n"/>
      <c r="AHS2" s="44" t="n"/>
      <c r="AHT2" s="44" t="n"/>
      <c r="AHU2" s="44" t="n"/>
      <c r="AHV2" s="44" t="n"/>
      <c r="AHW2" s="44" t="n"/>
      <c r="AHX2" s="44" t="n"/>
      <c r="AHY2" s="44" t="n"/>
      <c r="AHZ2" s="44" t="n"/>
      <c r="AIA2" s="44" t="n"/>
      <c r="AIB2" s="44" t="n"/>
      <c r="AIC2" s="44" t="n"/>
      <c r="AID2" s="44" t="n"/>
      <c r="AIE2" s="44" t="n"/>
      <c r="AIF2" s="44" t="n"/>
      <c r="AIG2" s="44" t="n"/>
      <c r="AIH2" s="44" t="n"/>
      <c r="AII2" s="44" t="n"/>
      <c r="AIJ2" s="44" t="n"/>
      <c r="AIK2" s="44" t="n"/>
      <c r="AIL2" s="44" t="n"/>
      <c r="AIM2" s="44" t="n"/>
      <c r="AIN2" s="44" t="n"/>
      <c r="AIO2" s="44" t="n"/>
      <c r="AIP2" s="44" t="n"/>
      <c r="AIQ2" s="44" t="n"/>
      <c r="AIR2" s="44" t="n"/>
      <c r="AIS2" s="44" t="n"/>
      <c r="AIT2" s="44" t="n"/>
      <c r="AIU2" s="44" t="n"/>
      <c r="AIV2" s="44" t="n"/>
      <c r="AIW2" s="44" t="n"/>
      <c r="AIX2" s="44" t="n"/>
      <c r="AIY2" s="44" t="n"/>
      <c r="AIZ2" s="44" t="n"/>
      <c r="AJA2" s="44" t="n"/>
      <c r="AJB2" s="44" t="n"/>
      <c r="AJC2" s="44" t="n"/>
      <c r="AJD2" s="44" t="n"/>
      <c r="AJE2" s="44" t="n"/>
      <c r="AJF2" s="44" t="n"/>
      <c r="AJG2" s="44" t="n"/>
      <c r="AJH2" s="44" t="n"/>
      <c r="AJI2" s="44" t="n"/>
      <c r="AJJ2" s="44" t="n"/>
      <c r="AJK2" s="44" t="n"/>
      <c r="AJL2" s="44" t="n"/>
      <c r="AJM2" s="44" t="n"/>
      <c r="AJN2" s="44" t="n"/>
      <c r="AJO2" s="44" t="n"/>
      <c r="AJP2" s="44" t="n"/>
      <c r="AJQ2" s="44" t="n"/>
      <c r="AJR2" s="44" t="n"/>
      <c r="AJS2" s="44" t="n"/>
      <c r="AJT2" s="44" t="n"/>
      <c r="AJU2" s="44" t="n"/>
      <c r="AJV2" s="44" t="n"/>
      <c r="AJW2" s="44" t="n"/>
      <c r="AJX2" s="44" t="n"/>
      <c r="AJY2" s="44" t="n"/>
      <c r="AJZ2" s="44" t="n"/>
      <c r="AKA2" s="44" t="n"/>
      <c r="AKB2" s="44" t="n"/>
      <c r="AKC2" s="44" t="n"/>
      <c r="AKD2" s="44" t="n"/>
      <c r="AKE2" s="44" t="n"/>
      <c r="AKF2" s="44" t="n"/>
      <c r="AKG2" s="44" t="n"/>
      <c r="AKH2" s="44" t="n"/>
      <c r="AKI2" s="44" t="n"/>
      <c r="AKJ2" s="44" t="n"/>
      <c r="AKK2" s="44" t="n"/>
      <c r="AKL2" s="44" t="n"/>
      <c r="AKM2" s="44" t="n"/>
      <c r="AKN2" s="44" t="n"/>
      <c r="AKO2" s="44" t="n"/>
      <c r="AKP2" s="44" t="n"/>
      <c r="AKQ2" s="44" t="n"/>
      <c r="AKR2" s="44" t="n"/>
      <c r="AKS2" s="44" t="n"/>
      <c r="AKT2" s="44" t="n"/>
      <c r="AKU2" s="44" t="n"/>
      <c r="AKV2" s="44" t="n"/>
      <c r="AKW2" s="44" t="n"/>
      <c r="AKX2" s="44" t="n"/>
      <c r="AKY2" s="44" t="n"/>
      <c r="AKZ2" s="44" t="n"/>
      <c r="ALA2" s="44" t="n"/>
      <c r="ALB2" s="44" t="n"/>
      <c r="ALC2" s="44" t="n"/>
      <c r="ALD2" s="44" t="n"/>
      <c r="ALE2" s="44" t="n"/>
      <c r="ALF2" s="44" t="n"/>
      <c r="ALG2" s="44" t="n"/>
      <c r="ALH2" s="44" t="n"/>
      <c r="ALI2" s="44" t="n"/>
      <c r="ALJ2" s="44" t="n"/>
      <c r="ALK2" s="44" t="n"/>
      <c r="ALL2" s="44" t="n"/>
      <c r="ALM2" s="44" t="n"/>
      <c r="ALN2" s="44" t="n"/>
      <c r="ALO2" s="44" t="n"/>
      <c r="ALP2" s="44" t="n"/>
      <c r="ALQ2" s="44" t="n"/>
      <c r="ALR2" s="44" t="n"/>
      <c r="ALS2" s="44" t="n"/>
      <c r="ALT2" s="44" t="n"/>
      <c r="ALU2" s="44" t="n"/>
      <c r="ALV2" s="44" t="n"/>
      <c r="ALW2" s="44" t="n"/>
      <c r="ALX2" s="44" t="n"/>
      <c r="ALY2" s="44" t="n"/>
      <c r="ALZ2" s="44" t="n"/>
      <c r="AMA2" s="44" t="n"/>
      <c r="AMB2" s="44" t="n"/>
      <c r="AMC2" s="44" t="n"/>
      <c r="AMD2" s="44" t="n"/>
      <c r="AME2" s="44" t="n"/>
      <c r="AMF2" s="44" t="n"/>
      <c r="AMG2" s="44" t="n"/>
      <c r="AMH2" s="44" t="n"/>
      <c r="AMI2" s="44" t="n"/>
      <c r="AMJ2" s="44" t="n"/>
      <c r="AMK2" s="44" t="n"/>
      <c r="AML2" s="44" t="n"/>
      <c r="AMM2" s="44" t="n"/>
      <c r="AMN2" s="44" t="n"/>
      <c r="AMO2" s="44" t="n"/>
      <c r="AMP2" s="44" t="n"/>
      <c r="AMQ2" s="44" t="n"/>
      <c r="AMR2" s="44" t="n"/>
      <c r="AMS2" s="44" t="n"/>
      <c r="AMT2" s="44" t="n"/>
      <c r="AMU2" s="44" t="n"/>
      <c r="AMV2" s="44" t="n"/>
      <c r="AMW2" s="44" t="n"/>
      <c r="AMX2" s="44" t="n"/>
      <c r="AMY2" s="44" t="n"/>
      <c r="AMZ2" s="44" t="n"/>
      <c r="ANA2" s="44" t="n"/>
      <c r="ANB2" s="44" t="n"/>
      <c r="ANC2" s="44" t="n"/>
      <c r="AND2" s="44" t="n"/>
      <c r="ANE2" s="44" t="n"/>
      <c r="ANF2" s="44" t="n"/>
      <c r="ANG2" s="44" t="n"/>
      <c r="ANH2" s="44" t="n"/>
      <c r="ANI2" s="44" t="n"/>
      <c r="ANJ2" s="44" t="n"/>
      <c r="ANK2" s="44" t="n"/>
      <c r="ANL2" s="44" t="n"/>
      <c r="ANM2" s="44" t="n"/>
      <c r="ANN2" s="44" t="n"/>
      <c r="ANO2" s="44" t="n"/>
      <c r="ANP2" s="44" t="n"/>
      <c r="ANQ2" s="44" t="n"/>
      <c r="ANR2" s="44" t="n"/>
      <c r="ANS2" s="44" t="n"/>
      <c r="ANT2" s="44" t="n"/>
      <c r="ANU2" s="44" t="n"/>
      <c r="ANV2" s="44" t="n"/>
      <c r="ANW2" s="44" t="n"/>
      <c r="ANX2" s="44" t="n"/>
      <c r="ANY2" s="44" t="n"/>
      <c r="ANZ2" s="44" t="n"/>
      <c r="AOA2" s="44" t="n"/>
      <c r="AOB2" s="44" t="n"/>
      <c r="AOC2" s="44" t="n"/>
      <c r="AOD2" s="44" t="n"/>
      <c r="AOE2" s="44" t="n"/>
      <c r="AOF2" s="44" t="n"/>
      <c r="AOG2" s="44" t="n"/>
      <c r="AOH2" s="44" t="n"/>
      <c r="AOI2" s="44" t="n"/>
      <c r="AOJ2" s="44" t="n"/>
      <c r="AOK2" s="44" t="n"/>
      <c r="AOL2" s="44" t="n"/>
      <c r="AOM2" s="44" t="n"/>
      <c r="AON2" s="44" t="n"/>
      <c r="AOO2" s="44" t="n"/>
      <c r="AOP2" s="44" t="n"/>
      <c r="AOQ2" s="44" t="n"/>
      <c r="AOR2" s="44" t="n"/>
      <c r="AOS2" s="44" t="n"/>
      <c r="AOT2" s="44" t="n"/>
      <c r="AOU2" s="44" t="n"/>
      <c r="AOV2" s="44" t="n"/>
      <c r="AOW2" s="44" t="n"/>
      <c r="AOX2" s="44" t="n"/>
      <c r="AOY2" s="44" t="n"/>
      <c r="AOZ2" s="44" t="n"/>
      <c r="APA2" s="44" t="n"/>
      <c r="APB2" s="44" t="n"/>
      <c r="APC2" s="44" t="n"/>
      <c r="APD2" s="44" t="n"/>
      <c r="APE2" s="44" t="n"/>
      <c r="APF2" s="44" t="n"/>
      <c r="APG2" s="44" t="n"/>
      <c r="APH2" s="44" t="n"/>
      <c r="API2" s="44" t="n"/>
      <c r="APJ2" s="44" t="n"/>
      <c r="APK2" s="44" t="n"/>
      <c r="APL2" s="44" t="n"/>
      <c r="APM2" s="44" t="n"/>
      <c r="APN2" s="44" t="n"/>
      <c r="APO2" s="44" t="n"/>
      <c r="APP2" s="44" t="n"/>
      <c r="APQ2" s="44" t="n"/>
      <c r="APR2" s="44" t="n"/>
      <c r="APS2" s="44" t="n"/>
      <c r="APT2" s="44" t="n"/>
      <c r="APU2" s="44" t="n"/>
      <c r="APV2" s="44" t="n"/>
      <c r="APW2" s="44" t="n"/>
      <c r="APX2" s="44" t="n"/>
      <c r="APY2" s="44" t="n"/>
      <c r="APZ2" s="44" t="n"/>
      <c r="AQA2" s="44" t="n"/>
      <c r="AQB2" s="44" t="n"/>
      <c r="AQC2" s="44" t="n"/>
      <c r="AQD2" s="44" t="n"/>
      <c r="AQE2" s="44" t="n"/>
      <c r="AQF2" s="44" t="n"/>
      <c r="AQG2" s="44" t="n"/>
      <c r="AQH2" s="44" t="n"/>
      <c r="AQI2" s="44" t="n"/>
      <c r="AQJ2" s="44" t="n"/>
      <c r="AQK2" s="44" t="n"/>
      <c r="AQL2" s="44" t="n"/>
      <c r="AQM2" s="44" t="n"/>
      <c r="AQN2" s="44" t="n"/>
      <c r="AQO2" s="44" t="n"/>
      <c r="AQP2" s="44" t="n"/>
      <c r="AQQ2" s="44" t="n"/>
      <c r="AQR2" s="44" t="n"/>
      <c r="AQS2" s="44" t="n"/>
      <c r="AQT2" s="44" t="n"/>
      <c r="AQU2" s="44" t="n"/>
      <c r="AQV2" s="44" t="n"/>
      <c r="AQW2" s="44" t="n"/>
      <c r="AQX2" s="44" t="n"/>
      <c r="AQY2" s="44" t="n"/>
      <c r="AQZ2" s="44" t="n"/>
      <c r="ARA2" s="44" t="n"/>
      <c r="ARB2" s="44" t="n"/>
      <c r="ARC2" s="44" t="n"/>
      <c r="ARD2" s="44" t="n"/>
      <c r="ARE2" s="44" t="n"/>
      <c r="ARF2" s="44" t="n"/>
      <c r="ARG2" s="44" t="n"/>
      <c r="ARH2" s="44" t="n"/>
      <c r="ARI2" s="44" t="n"/>
      <c r="ARJ2" s="44" t="n"/>
      <c r="ARK2" s="44" t="n"/>
      <c r="ARL2" s="44" t="n"/>
      <c r="ARM2" s="44" t="n"/>
      <c r="ARN2" s="44" t="n"/>
      <c r="ARO2" s="44" t="n"/>
      <c r="ARP2" s="44" t="n"/>
      <c r="ARQ2" s="44" t="n"/>
      <c r="ARR2" s="44" t="n"/>
      <c r="ARS2" s="44" t="n"/>
      <c r="ART2" s="44" t="n"/>
      <c r="ARU2" s="44" t="n"/>
      <c r="ARV2" s="44" t="n"/>
      <c r="ARW2" s="44" t="n"/>
      <c r="ARX2" s="44" t="n"/>
      <c r="ARY2" s="44" t="n"/>
      <c r="ARZ2" s="44" t="n"/>
      <c r="ASA2" s="44" t="n"/>
      <c r="ASB2" s="44" t="n"/>
      <c r="ASC2" s="44" t="n"/>
      <c r="ASD2" s="44" t="n"/>
      <c r="ASE2" s="44" t="n"/>
      <c r="ASF2" s="44" t="n"/>
      <c r="ASG2" s="44" t="n"/>
      <c r="ASH2" s="44" t="n"/>
      <c r="ASI2" s="44" t="n"/>
      <c r="ASJ2" s="44" t="n"/>
      <c r="ASK2" s="44" t="n"/>
      <c r="ASL2" s="44" t="n"/>
      <c r="ASM2" s="44" t="n"/>
      <c r="ASN2" s="44" t="n"/>
      <c r="ASO2" s="44" t="n"/>
      <c r="ASP2" s="44" t="n"/>
      <c r="ASQ2" s="44" t="n"/>
      <c r="ASR2" s="44" t="n"/>
      <c r="ASS2" s="44" t="n"/>
      <c r="AST2" s="44" t="n"/>
      <c r="ASU2" s="44" t="n"/>
      <c r="ASV2" s="44" t="n"/>
      <c r="ASW2" s="44" t="n"/>
      <c r="ASX2" s="44" t="n"/>
      <c r="ASY2" s="44" t="n"/>
      <c r="ASZ2" s="44" t="n"/>
      <c r="ATA2" s="44" t="n"/>
      <c r="ATB2" s="44" t="n"/>
      <c r="ATC2" s="44" t="n"/>
      <c r="ATD2" s="44" t="n"/>
      <c r="ATE2" s="44" t="n"/>
      <c r="ATF2" s="44" t="n"/>
      <c r="ATG2" s="44" t="n"/>
      <c r="ATH2" s="44" t="n"/>
      <c r="ATI2" s="44" t="n"/>
      <c r="ATJ2" s="44" t="n"/>
      <c r="ATK2" s="44" t="n"/>
      <c r="ATL2" s="44" t="n"/>
      <c r="ATM2" s="44" t="n"/>
      <c r="ATN2" s="44" t="n"/>
      <c r="ATO2" s="44" t="n"/>
      <c r="ATP2" s="44" t="n"/>
      <c r="ATQ2" s="44" t="n"/>
      <c r="ATR2" s="44" t="n"/>
      <c r="ATS2" s="44" t="n"/>
      <c r="ATT2" s="44" t="n"/>
      <c r="ATU2" s="44" t="n"/>
      <c r="ATV2" s="44" t="n"/>
      <c r="ATW2" s="44" t="n"/>
      <c r="ATX2" s="44" t="n"/>
      <c r="ATY2" s="44" t="n"/>
      <c r="ATZ2" s="44" t="n"/>
      <c r="AUA2" s="44" t="n"/>
      <c r="AUB2" s="44" t="n"/>
      <c r="AUC2" s="44" t="n"/>
      <c r="AUD2" s="44" t="n"/>
      <c r="AUE2" s="44" t="n"/>
      <c r="AUF2" s="44" t="n"/>
      <c r="AUG2" s="44" t="n"/>
      <c r="AUH2" s="44" t="n"/>
      <c r="AUI2" s="44" t="n"/>
      <c r="AUJ2" s="44" t="n"/>
      <c r="AUK2" s="44" t="n"/>
      <c r="AUL2" s="44" t="n"/>
      <c r="AUM2" s="44" t="n"/>
      <c r="AUN2" s="44" t="n"/>
      <c r="AUO2" s="44" t="n"/>
      <c r="AUP2" s="44" t="n"/>
      <c r="AUQ2" s="44" t="n"/>
      <c r="AUR2" s="44" t="n"/>
      <c r="AUS2" s="44" t="n"/>
      <c r="AUT2" s="44" t="n"/>
      <c r="AUU2" s="44" t="n"/>
      <c r="AUV2" s="44" t="n"/>
      <c r="AUW2" s="44" t="n"/>
      <c r="AUX2" s="44" t="n"/>
      <c r="AUY2" s="44" t="n"/>
      <c r="AUZ2" s="44" t="n"/>
      <c r="AVA2" s="44" t="n"/>
      <c r="AVB2" s="44" t="n"/>
      <c r="AVC2" s="44" t="n"/>
      <c r="AVD2" s="44" t="n"/>
      <c r="AVE2" s="44" t="n"/>
      <c r="AVF2" s="44" t="n"/>
      <c r="AVG2" s="44" t="n"/>
      <c r="AVH2" s="44" t="n"/>
      <c r="AVI2" s="44" t="n"/>
      <c r="AVJ2" s="44" t="n"/>
      <c r="AVK2" s="44" t="n"/>
      <c r="AVL2" s="44" t="n"/>
      <c r="AVM2" s="44" t="n"/>
      <c r="AVN2" s="44" t="n"/>
      <c r="AVO2" s="44" t="n"/>
      <c r="AVP2" s="44" t="n"/>
      <c r="AVQ2" s="44" t="n"/>
      <c r="AVR2" s="44" t="n"/>
      <c r="AVS2" s="44" t="n"/>
      <c r="AVT2" s="44" t="n"/>
      <c r="AVU2" s="44" t="n"/>
      <c r="AVV2" s="44" t="n"/>
      <c r="AVW2" s="44" t="n"/>
      <c r="AVX2" s="44" t="n"/>
      <c r="AVY2" s="44" t="n"/>
      <c r="AVZ2" s="44" t="n"/>
      <c r="AWA2" s="44" t="n"/>
      <c r="AWB2" s="44" t="n"/>
      <c r="AWC2" s="44" t="n"/>
      <c r="AWD2" s="44" t="n"/>
      <c r="AWE2" s="44" t="n"/>
      <c r="AWF2" s="44" t="n"/>
      <c r="AWG2" s="44" t="n"/>
      <c r="AWH2" s="44" t="n"/>
      <c r="AWI2" s="44" t="n"/>
      <c r="AWJ2" s="44" t="n"/>
      <c r="AWK2" s="44" t="n"/>
      <c r="AWL2" s="44" t="n"/>
      <c r="AWM2" s="44" t="n"/>
      <c r="AWN2" s="44" t="n"/>
      <c r="AWO2" s="44" t="n"/>
      <c r="AWP2" s="44" t="n"/>
      <c r="AWQ2" s="44" t="n"/>
      <c r="AWR2" s="44" t="n"/>
      <c r="AWS2" s="44" t="n"/>
      <c r="AWT2" s="44" t="n"/>
      <c r="AWU2" s="44" t="n"/>
      <c r="AWV2" s="44" t="n"/>
      <c r="AWW2" s="44" t="n"/>
      <c r="AWX2" s="44" t="n"/>
      <c r="AWY2" s="44" t="n"/>
      <c r="AWZ2" s="44" t="n"/>
      <c r="AXA2" s="44" t="n"/>
      <c r="AXB2" s="44" t="n"/>
      <c r="AXC2" s="44" t="n"/>
      <c r="AXD2" s="44" t="n"/>
      <c r="AXE2" s="44" t="n"/>
      <c r="AXF2" s="44" t="n"/>
      <c r="AXG2" s="44" t="n"/>
      <c r="AXH2" s="44" t="n"/>
      <c r="AXI2" s="44" t="n"/>
      <c r="AXJ2" s="44" t="n"/>
      <c r="AXK2" s="44" t="n"/>
      <c r="AXL2" s="44" t="n"/>
      <c r="AXM2" s="44" t="n"/>
      <c r="AXN2" s="44" t="n"/>
      <c r="AXO2" s="44" t="n"/>
      <c r="AXP2" s="44" t="n"/>
      <c r="AXQ2" s="44" t="n"/>
      <c r="AXR2" s="44" t="n"/>
      <c r="AXS2" s="44" t="n"/>
      <c r="AXT2" s="44" t="n"/>
      <c r="AXU2" s="44" t="n"/>
      <c r="AXV2" s="44" t="n"/>
      <c r="AXW2" s="44" t="n"/>
      <c r="AXX2" s="44" t="n"/>
      <c r="AXY2" s="44" t="n"/>
      <c r="AXZ2" s="44" t="n"/>
      <c r="AYA2" s="44" t="n"/>
      <c r="AYB2" s="44" t="n"/>
      <c r="AYC2" s="44" t="n"/>
      <c r="AYD2" s="44" t="n"/>
      <c r="AYE2" s="44" t="n"/>
      <c r="AYF2" s="44" t="n"/>
      <c r="AYG2" s="44" t="n"/>
      <c r="AYH2" s="44" t="n"/>
      <c r="AYI2" s="44" t="n"/>
      <c r="AYJ2" s="44" t="n"/>
      <c r="AYK2" s="44" t="n"/>
      <c r="AYL2" s="44" t="n"/>
      <c r="AYM2" s="44" t="n"/>
      <c r="AYN2" s="44" t="n"/>
      <c r="AYO2" s="44" t="n"/>
      <c r="AYP2" s="44" t="n"/>
      <c r="AYQ2" s="44" t="n"/>
      <c r="AYR2" s="44" t="n"/>
      <c r="AYS2" s="44" t="n"/>
      <c r="AYT2" s="44" t="n"/>
      <c r="AYU2" s="44" t="n"/>
      <c r="AYV2" s="44" t="n"/>
      <c r="AYW2" s="44" t="n"/>
      <c r="AYX2" s="44" t="n"/>
      <c r="AYY2" s="44" t="n"/>
      <c r="AYZ2" s="44" t="n"/>
      <c r="AZA2" s="44" t="n"/>
      <c r="AZB2" s="44" t="n"/>
      <c r="AZC2" s="44" t="n"/>
      <c r="AZD2" s="44" t="n"/>
      <c r="AZE2" s="44" t="n"/>
      <c r="AZF2" s="44" t="n"/>
      <c r="AZG2" s="44" t="n"/>
      <c r="AZH2" s="44" t="n"/>
      <c r="AZI2" s="44" t="n"/>
      <c r="AZJ2" s="44" t="n"/>
      <c r="AZK2" s="44" t="n"/>
      <c r="AZL2" s="44" t="n"/>
      <c r="AZM2" s="44" t="n"/>
      <c r="AZN2" s="44" t="n"/>
      <c r="AZO2" s="44" t="n"/>
      <c r="AZP2" s="44" t="n"/>
      <c r="AZQ2" s="44" t="n"/>
      <c r="AZR2" s="44" t="n"/>
      <c r="AZS2" s="44" t="n"/>
      <c r="AZT2" s="44" t="n"/>
      <c r="AZU2" s="44" t="n"/>
      <c r="AZV2" s="44" t="n"/>
      <c r="AZW2" s="44" t="n"/>
      <c r="AZX2" s="44" t="n"/>
      <c r="AZY2" s="44" t="n"/>
      <c r="AZZ2" s="44" t="n"/>
      <c r="BAA2" s="44" t="n"/>
      <c r="BAB2" s="44" t="n"/>
      <c r="BAC2" s="44" t="n"/>
      <c r="BAD2" s="44" t="n"/>
      <c r="BAE2" s="44" t="n"/>
      <c r="BAF2" s="44" t="n"/>
      <c r="BAG2" s="44" t="n"/>
      <c r="BAH2" s="44" t="n"/>
      <c r="BAI2" s="44" t="n"/>
      <c r="BAJ2" s="44" t="n"/>
      <c r="BAK2" s="44" t="n"/>
      <c r="BAL2" s="44" t="n"/>
      <c r="BAM2" s="44" t="n"/>
      <c r="BAN2" s="44" t="n"/>
      <c r="BAO2" s="44" t="n"/>
      <c r="BAP2" s="44" t="n"/>
      <c r="BAQ2" s="44" t="n"/>
      <c r="BAR2" s="44" t="n"/>
      <c r="BAS2" s="44" t="n"/>
      <c r="BAT2" s="44" t="n"/>
      <c r="BAU2" s="44" t="n"/>
      <c r="BAV2" s="44" t="n"/>
      <c r="BAW2" s="44" t="n"/>
      <c r="BAX2" s="44" t="n"/>
      <c r="BAY2" s="44" t="n"/>
      <c r="BAZ2" s="44" t="n"/>
      <c r="BBA2" s="44" t="n"/>
      <c r="BBB2" s="44" t="n"/>
      <c r="BBC2" s="44" t="n"/>
      <c r="BBD2" s="44" t="n"/>
      <c r="BBE2" s="44" t="n"/>
      <c r="BBF2" s="44" t="n"/>
      <c r="BBG2" s="44" t="n"/>
      <c r="BBH2" s="44" t="n"/>
      <c r="BBI2" s="44" t="n"/>
      <c r="BBJ2" s="44" t="n"/>
      <c r="BBK2" s="44" t="n"/>
      <c r="BBL2" s="44" t="n"/>
      <c r="BBM2" s="44" t="n"/>
      <c r="BBN2" s="44" t="n"/>
      <c r="BBO2" s="44" t="n"/>
      <c r="BBP2" s="44" t="n"/>
      <c r="BBQ2" s="44" t="n"/>
      <c r="BBR2" s="44" t="n"/>
      <c r="BBS2" s="44" t="n"/>
      <c r="BBT2" s="44" t="n"/>
      <c r="BBU2" s="44" t="n"/>
      <c r="BBV2" s="44" t="n"/>
      <c r="BBW2" s="44" t="n"/>
      <c r="BBX2" s="44" t="n"/>
      <c r="BBY2" s="44" t="n"/>
      <c r="BBZ2" s="44" t="n"/>
      <c r="BCA2" s="44" t="n"/>
      <c r="BCB2" s="44" t="n"/>
      <c r="BCC2" s="44" t="n"/>
      <c r="BCD2" s="44" t="n"/>
      <c r="BCE2" s="44" t="n"/>
      <c r="BCF2" s="44" t="n"/>
      <c r="BCG2" s="44" t="n"/>
      <c r="BCH2" s="44" t="n"/>
      <c r="BCI2" s="44" t="n"/>
      <c r="BCJ2" s="44" t="n"/>
      <c r="BCK2" s="44" t="n"/>
      <c r="BCL2" s="44" t="n"/>
      <c r="BCM2" s="44" t="n"/>
      <c r="BCN2" s="44" t="n"/>
      <c r="BCO2" s="44" t="n"/>
      <c r="BCP2" s="44" t="n"/>
      <c r="BCQ2" s="44" t="n"/>
      <c r="BCR2" s="44" t="n"/>
      <c r="BCS2" s="44" t="n"/>
      <c r="BCT2" s="44" t="n"/>
      <c r="BCU2" s="44" t="n"/>
      <c r="BCV2" s="44" t="n"/>
      <c r="BCW2" s="44" t="n"/>
      <c r="BCX2" s="44" t="n"/>
      <c r="BCY2" s="44" t="n"/>
      <c r="BCZ2" s="44" t="n"/>
      <c r="BDA2" s="44" t="n"/>
      <c r="BDB2" s="44" t="n"/>
      <c r="BDC2" s="44" t="n"/>
      <c r="BDD2" s="44" t="n"/>
      <c r="BDE2" s="44" t="n"/>
      <c r="BDF2" s="44" t="n"/>
      <c r="BDG2" s="44" t="n"/>
      <c r="BDH2" s="44" t="n"/>
      <c r="BDI2" s="44" t="n"/>
      <c r="BDJ2" s="44" t="n"/>
      <c r="BDK2" s="44" t="n"/>
      <c r="BDL2" s="44" t="n"/>
      <c r="BDM2" s="44" t="n"/>
      <c r="BDN2" s="44" t="n"/>
      <c r="BDO2" s="44" t="n"/>
      <c r="BDP2" s="44" t="n"/>
      <c r="BDQ2" s="44" t="n"/>
      <c r="BDR2" s="44" t="n"/>
      <c r="BDS2" s="44" t="n"/>
      <c r="BDT2" s="44" t="n"/>
      <c r="BDU2" s="44" t="n"/>
      <c r="BDV2" s="44" t="n"/>
      <c r="BDW2" s="44" t="n"/>
      <c r="BDX2" s="44" t="n"/>
      <c r="BDY2" s="44" t="n"/>
      <c r="BDZ2" s="44" t="n"/>
      <c r="BEA2" s="44" t="n"/>
      <c r="BEB2" s="44" t="n"/>
      <c r="BEC2" s="44" t="n"/>
      <c r="BED2" s="44" t="n"/>
      <c r="BEE2" s="44" t="n"/>
      <c r="BEF2" s="44" t="n"/>
      <c r="BEG2" s="44" t="n"/>
      <c r="BEH2" s="44" t="n"/>
      <c r="BEI2" s="44" t="n"/>
      <c r="BEJ2" s="44" t="n"/>
      <c r="BEK2" s="44" t="n"/>
      <c r="BEL2" s="44" t="n"/>
      <c r="BEM2" s="44" t="n"/>
      <c r="BEN2" s="44" t="n"/>
      <c r="BEO2" s="44" t="n"/>
      <c r="BEP2" s="44" t="n"/>
      <c r="BEQ2" s="44" t="n"/>
      <c r="BER2" s="44" t="n"/>
      <c r="BES2" s="44" t="n"/>
      <c r="BET2" s="44" t="n"/>
      <c r="BEU2" s="44" t="n"/>
      <c r="BEV2" s="44" t="n"/>
      <c r="BEW2" s="44" t="n"/>
      <c r="BEX2" s="44" t="n"/>
      <c r="BEY2" s="44" t="n"/>
      <c r="BEZ2" s="44" t="n"/>
      <c r="BFA2" s="44" t="n"/>
      <c r="BFB2" s="44" t="n"/>
      <c r="BFC2" s="44" t="n"/>
      <c r="BFD2" s="44" t="n"/>
      <c r="BFE2" s="44" t="n"/>
      <c r="BFF2" s="44" t="n"/>
      <c r="BFG2" s="44" t="n"/>
      <c r="BFH2" s="44" t="n"/>
      <c r="BFI2" s="44" t="n"/>
      <c r="BFJ2" s="44" t="n"/>
      <c r="BFK2" s="44" t="n"/>
      <c r="BFL2" s="44" t="n"/>
      <c r="BFM2" s="44" t="n"/>
      <c r="BFN2" s="44" t="n"/>
      <c r="BFO2" s="44" t="n"/>
      <c r="BFP2" s="44" t="n"/>
      <c r="BFQ2" s="44" t="n"/>
      <c r="BFR2" s="44" t="n"/>
      <c r="BFS2" s="44" t="n"/>
      <c r="BFT2" s="44" t="n"/>
      <c r="BFU2" s="44" t="n"/>
      <c r="BFV2" s="44" t="n"/>
      <c r="BFW2" s="44" t="n"/>
      <c r="BFX2" s="44" t="n"/>
      <c r="BFY2" s="44" t="n"/>
      <c r="BFZ2" s="44" t="n"/>
      <c r="BGA2" s="44" t="n"/>
      <c r="BGB2" s="44" t="n"/>
      <c r="BGC2" s="44" t="n"/>
      <c r="BGD2" s="44" t="n"/>
      <c r="BGE2" s="44" t="n"/>
      <c r="BGF2" s="44" t="n"/>
      <c r="BGG2" s="44" t="n"/>
      <c r="BGH2" s="44" t="n"/>
      <c r="BGI2" s="44" t="n"/>
      <c r="BGJ2" s="44" t="n"/>
      <c r="BGK2" s="44" t="n"/>
      <c r="BGL2" s="44" t="n"/>
      <c r="BGM2" s="44" t="n"/>
      <c r="BGN2" s="44" t="n"/>
      <c r="BGO2" s="44" t="n"/>
      <c r="BGP2" s="44" t="n"/>
      <c r="BGQ2" s="44" t="n"/>
      <c r="BGR2" s="44" t="n"/>
      <c r="BGS2" s="44" t="n"/>
      <c r="BGT2" s="44" t="n"/>
      <c r="BGU2" s="44" t="n"/>
      <c r="BGV2" s="44" t="n"/>
      <c r="BGW2" s="44" t="n"/>
      <c r="BGX2" s="44" t="n"/>
      <c r="BGY2" s="44" t="n"/>
      <c r="BGZ2" s="44" t="n"/>
      <c r="BHA2" s="44" t="n"/>
      <c r="BHB2" s="44" t="n"/>
      <c r="BHC2" s="44" t="n"/>
      <c r="BHD2" s="44" t="n"/>
      <c r="BHE2" s="44" t="n"/>
      <c r="BHF2" s="44" t="n"/>
      <c r="BHG2" s="44" t="n"/>
      <c r="BHH2" s="44" t="n"/>
      <c r="BHI2" s="44" t="n"/>
      <c r="BHJ2" s="44" t="n"/>
      <c r="BHK2" s="44" t="n"/>
      <c r="BHL2" s="44" t="n"/>
      <c r="BHM2" s="44" t="n"/>
      <c r="BHN2" s="44" t="n"/>
      <c r="BHO2" s="44" t="n"/>
      <c r="BHP2" s="44" t="n"/>
      <c r="BHQ2" s="44" t="n"/>
      <c r="BHR2" s="44" t="n"/>
      <c r="BHS2" s="44" t="n"/>
      <c r="BHT2" s="44" t="n"/>
      <c r="BHU2" s="44" t="n"/>
      <c r="BHV2" s="44" t="n"/>
      <c r="BHW2" s="44" t="n"/>
      <c r="BHX2" s="44" t="n"/>
      <c r="BHY2" s="44" t="n"/>
      <c r="BHZ2" s="44" t="n"/>
      <c r="BIA2" s="44" t="n"/>
      <c r="BIB2" s="44" t="n"/>
      <c r="BIC2" s="44" t="n"/>
      <c r="BID2" s="44" t="n"/>
      <c r="BIE2" s="44" t="n"/>
      <c r="BIF2" s="44" t="n"/>
      <c r="BIG2" s="44" t="n"/>
      <c r="BIH2" s="44" t="n"/>
      <c r="BII2" s="44" t="n"/>
      <c r="BIJ2" s="44" t="n"/>
      <c r="BIK2" s="44" t="n"/>
      <c r="BIL2" s="44" t="n"/>
      <c r="BIM2" s="44" t="n"/>
      <c r="BIN2" s="44" t="n"/>
      <c r="BIO2" s="44" t="n"/>
      <c r="BIP2" s="44" t="n"/>
      <c r="BIQ2" s="44" t="n"/>
      <c r="BIR2" s="44" t="n"/>
      <c r="BIS2" s="44" t="n"/>
      <c r="BIT2" s="44" t="n"/>
      <c r="BIU2" s="44" t="n"/>
      <c r="BIV2" s="44" t="n"/>
      <c r="BIW2" s="44" t="n"/>
      <c r="BIX2" s="44" t="n"/>
      <c r="BIY2" s="44" t="n"/>
      <c r="BIZ2" s="44" t="n"/>
      <c r="BJA2" s="44" t="n"/>
      <c r="BJB2" s="44" t="n"/>
      <c r="BJC2" s="44" t="n"/>
      <c r="BJD2" s="44" t="n"/>
      <c r="BJE2" s="44" t="n"/>
      <c r="BJF2" s="44" t="n"/>
      <c r="BJG2" s="44" t="n"/>
      <c r="BJH2" s="44" t="n"/>
      <c r="BJI2" s="44" t="n"/>
      <c r="BJJ2" s="44" t="n"/>
      <c r="BJK2" s="44" t="n"/>
      <c r="BJL2" s="44" t="n"/>
      <c r="BJM2" s="44" t="n"/>
      <c r="BJN2" s="44" t="n"/>
      <c r="BJO2" s="44" t="n"/>
      <c r="BJP2" s="44" t="n"/>
      <c r="BJQ2" s="44" t="n"/>
      <c r="BJR2" s="44" t="n"/>
      <c r="BJS2" s="44" t="n"/>
      <c r="BJT2" s="44" t="n"/>
      <c r="BJU2" s="44" t="n"/>
      <c r="BJV2" s="44" t="n"/>
      <c r="BJW2" s="44" t="n"/>
      <c r="BJX2" s="44" t="n"/>
      <c r="BJY2" s="44" t="n"/>
      <c r="BJZ2" s="44" t="n"/>
      <c r="BKA2" s="44" t="n"/>
      <c r="BKB2" s="44" t="n"/>
      <c r="BKC2" s="44" t="n"/>
      <c r="BKD2" s="44" t="n"/>
      <c r="BKE2" s="44" t="n"/>
      <c r="BKF2" s="44" t="n"/>
      <c r="BKG2" s="44" t="n"/>
      <c r="BKH2" s="44" t="n"/>
      <c r="BKI2" s="44" t="n"/>
      <c r="BKJ2" s="44" t="n"/>
      <c r="BKK2" s="44" t="n"/>
      <c r="BKL2" s="44" t="n"/>
      <c r="BKM2" s="44" t="n"/>
      <c r="BKN2" s="44" t="n"/>
      <c r="BKO2" s="44" t="n"/>
      <c r="BKP2" s="44" t="n"/>
      <c r="BKQ2" s="44" t="n"/>
      <c r="BKR2" s="44" t="n"/>
      <c r="BKS2" s="44" t="n"/>
      <c r="BKT2" s="44" t="n"/>
      <c r="BKU2" s="44" t="n"/>
      <c r="BKV2" s="44" t="n"/>
      <c r="BKW2" s="44" t="n"/>
      <c r="BKX2" s="44" t="n"/>
      <c r="BKY2" s="44" t="n"/>
      <c r="BKZ2" s="44" t="n"/>
      <c r="BLA2" s="44" t="n"/>
      <c r="BLB2" s="44" t="n"/>
      <c r="BLC2" s="44" t="n"/>
      <c r="BLD2" s="44" t="n"/>
      <c r="BLE2" s="44" t="n"/>
      <c r="BLF2" s="44" t="n"/>
      <c r="BLG2" s="44" t="n"/>
      <c r="BLH2" s="44" t="n"/>
      <c r="BLI2" s="44" t="n"/>
      <c r="BLJ2" s="44" t="n"/>
      <c r="BLK2" s="44" t="n"/>
      <c r="BLL2" s="44" t="n"/>
      <c r="BLM2" s="44" t="n"/>
      <c r="BLN2" s="44" t="n"/>
      <c r="BLO2" s="44" t="n"/>
      <c r="BLP2" s="44" t="n"/>
      <c r="BLQ2" s="44" t="n"/>
      <c r="BLR2" s="44" t="n"/>
      <c r="BLS2" s="44" t="n"/>
      <c r="BLT2" s="44" t="n"/>
      <c r="BLU2" s="44" t="n"/>
      <c r="BLV2" s="44" t="n"/>
      <c r="BLW2" s="44" t="n"/>
      <c r="BLX2" s="44" t="n"/>
      <c r="BLY2" s="44" t="n"/>
      <c r="BLZ2" s="44" t="n"/>
      <c r="BMA2" s="44" t="n"/>
      <c r="BMB2" s="44" t="n"/>
      <c r="BMC2" s="44" t="n"/>
      <c r="BMD2" s="44" t="n"/>
      <c r="BME2" s="44" t="n"/>
      <c r="BMF2" s="44" t="n"/>
      <c r="BMG2" s="44" t="n"/>
      <c r="BMH2" s="44" t="n"/>
      <c r="BMI2" s="44" t="n"/>
      <c r="BMJ2" s="44" t="n"/>
      <c r="BMK2" s="44" t="n"/>
      <c r="BML2" s="44" t="n"/>
      <c r="BMM2" s="44" t="n"/>
      <c r="BMN2" s="44" t="n"/>
      <c r="BMO2" s="44" t="n"/>
      <c r="BMP2" s="44" t="n"/>
      <c r="BMQ2" s="44" t="n"/>
      <c r="BMR2" s="44" t="n"/>
      <c r="BMS2" s="44" t="n"/>
      <c r="BMT2" s="44" t="n"/>
      <c r="BMU2" s="44" t="n"/>
      <c r="BMV2" s="44" t="n"/>
      <c r="BMW2" s="44" t="n"/>
      <c r="BMX2" s="44" t="n"/>
      <c r="BMY2" s="44" t="n"/>
      <c r="BMZ2" s="44" t="n"/>
      <c r="BNA2" s="44" t="n"/>
      <c r="BNB2" s="44" t="n"/>
      <c r="BNC2" s="44" t="n"/>
      <c r="BND2" s="44" t="n"/>
      <c r="BNE2" s="44" t="n"/>
      <c r="BNF2" s="44" t="n"/>
      <c r="BNG2" s="44" t="n"/>
      <c r="BNH2" s="44" t="n"/>
      <c r="BNI2" s="44" t="n"/>
      <c r="BNJ2" s="44" t="n"/>
      <c r="BNK2" s="44" t="n"/>
      <c r="BNL2" s="44" t="n"/>
      <c r="BNM2" s="44" t="n"/>
      <c r="BNN2" s="44" t="n"/>
      <c r="BNO2" s="44" t="n"/>
      <c r="BNP2" s="44" t="n"/>
      <c r="BNQ2" s="44" t="n"/>
      <c r="BNR2" s="44" t="n"/>
      <c r="BNS2" s="44" t="n"/>
      <c r="BNT2" s="44" t="n"/>
      <c r="BNU2" s="44" t="n"/>
      <c r="BNV2" s="44" t="n"/>
      <c r="BNW2" s="44" t="n"/>
      <c r="BNX2" s="44" t="n"/>
      <c r="BNY2" s="44" t="n"/>
      <c r="BNZ2" s="44" t="n"/>
      <c r="BOA2" s="44" t="n"/>
      <c r="BOB2" s="44" t="n"/>
      <c r="BOC2" s="44" t="n"/>
      <c r="BOD2" s="44" t="n"/>
      <c r="BOE2" s="44" t="n"/>
      <c r="BOF2" s="44" t="n"/>
      <c r="BOG2" s="44" t="n"/>
      <c r="BOH2" s="44" t="n"/>
      <c r="BOI2" s="44" t="n"/>
      <c r="BOJ2" s="44" t="n"/>
      <c r="BOK2" s="44" t="n"/>
      <c r="BOL2" s="44" t="n"/>
      <c r="BOM2" s="44" t="n"/>
      <c r="BON2" s="44" t="n"/>
      <c r="BOO2" s="44" t="n"/>
      <c r="BOP2" s="44" t="n"/>
      <c r="BOQ2" s="44" t="n"/>
      <c r="BOR2" s="44" t="n"/>
      <c r="BOS2" s="44" t="n"/>
      <c r="BOT2" s="44" t="n"/>
      <c r="BOU2" s="44" t="n"/>
      <c r="BOV2" s="44" t="n"/>
      <c r="BOW2" s="44" t="n"/>
      <c r="BOX2" s="44" t="n"/>
      <c r="BOY2" s="44" t="n"/>
      <c r="BOZ2" s="44" t="n"/>
      <c r="BPA2" s="44" t="n"/>
      <c r="BPB2" s="44" t="n"/>
      <c r="BPC2" s="44" t="n"/>
      <c r="BPD2" s="44" t="n"/>
      <c r="BPE2" s="44" t="n"/>
      <c r="BPF2" s="44" t="n"/>
      <c r="BPG2" s="44" t="n"/>
      <c r="BPH2" s="44" t="n"/>
      <c r="BPI2" s="44" t="n"/>
      <c r="BPJ2" s="44" t="n"/>
      <c r="BPK2" s="44" t="n"/>
      <c r="BPL2" s="44" t="n"/>
      <c r="BPM2" s="44" t="n"/>
      <c r="BPN2" s="44" t="n"/>
      <c r="BPO2" s="44" t="n"/>
      <c r="BPP2" s="44" t="n"/>
      <c r="BPQ2" s="44" t="n"/>
      <c r="BPR2" s="44" t="n"/>
      <c r="BPS2" s="44" t="n"/>
      <c r="BPT2" s="44" t="n"/>
      <c r="BPU2" s="44" t="n"/>
      <c r="BPV2" s="44" t="n"/>
      <c r="BPW2" s="44" t="n"/>
      <c r="BPX2" s="44" t="n"/>
      <c r="BPY2" s="44" t="n"/>
      <c r="BPZ2" s="44" t="n"/>
      <c r="BQA2" s="44" t="n"/>
      <c r="BQB2" s="44" t="n"/>
      <c r="BQC2" s="44" t="n"/>
      <c r="BQD2" s="44" t="n"/>
      <c r="BQE2" s="44" t="n"/>
      <c r="BQF2" s="44" t="n"/>
      <c r="BQG2" s="44" t="n"/>
      <c r="BQH2" s="44" t="n"/>
      <c r="BQI2" s="44" t="n"/>
      <c r="BQJ2" s="44" t="n"/>
      <c r="BQK2" s="44" t="n"/>
      <c r="BQL2" s="44" t="n"/>
      <c r="BQM2" s="44" t="n"/>
      <c r="BQN2" s="44" t="n"/>
      <c r="BQO2" s="44" t="n"/>
      <c r="BQP2" s="44" t="n"/>
      <c r="BQQ2" s="44" t="n"/>
      <c r="BQR2" s="44" t="n"/>
      <c r="BQS2" s="44" t="n"/>
      <c r="BQT2" s="44" t="n"/>
      <c r="BQU2" s="44" t="n"/>
      <c r="BQV2" s="44" t="n"/>
      <c r="BQW2" s="44" t="n"/>
      <c r="BQX2" s="44" t="n"/>
      <c r="BQY2" s="44" t="n"/>
      <c r="BQZ2" s="44" t="n"/>
      <c r="BRA2" s="44" t="n"/>
      <c r="BRB2" s="44" t="n"/>
      <c r="BRC2" s="44" t="n"/>
      <c r="BRD2" s="44" t="n"/>
      <c r="BRE2" s="44" t="n"/>
      <c r="BRF2" s="44" t="n"/>
      <c r="BRG2" s="44" t="n"/>
      <c r="BRH2" s="44" t="n"/>
      <c r="BRI2" s="44" t="n"/>
      <c r="BRJ2" s="44" t="n"/>
      <c r="BRK2" s="44" t="n"/>
      <c r="BRL2" s="44" t="n"/>
      <c r="BRM2" s="44" t="n"/>
      <c r="BRN2" s="44" t="n"/>
      <c r="BRO2" s="44" t="n"/>
      <c r="BRP2" s="44" t="n"/>
      <c r="BRQ2" s="44" t="n"/>
      <c r="BRR2" s="44" t="n"/>
      <c r="BRS2" s="44" t="n"/>
      <c r="BRT2" s="44" t="n"/>
      <c r="BRU2" s="44" t="n"/>
      <c r="BRV2" s="44" t="n"/>
      <c r="BRW2" s="44" t="n"/>
      <c r="BRX2" s="44" t="n"/>
      <c r="BRY2" s="44" t="n"/>
      <c r="BRZ2" s="44" t="n"/>
      <c r="BSA2" s="44" t="n"/>
      <c r="BSB2" s="44" t="n"/>
      <c r="BSC2" s="44" t="n"/>
      <c r="BSD2" s="44" t="n"/>
      <c r="BSE2" s="44" t="n"/>
      <c r="BSF2" s="44" t="n"/>
      <c r="BSG2" s="44" t="n"/>
      <c r="BSH2" s="44" t="n"/>
      <c r="BSI2" s="44" t="n"/>
      <c r="BSJ2" s="44" t="n"/>
      <c r="BSK2" s="44" t="n"/>
      <c r="BSL2" s="44" t="n"/>
      <c r="BSM2" s="44" t="n"/>
      <c r="BSN2" s="44" t="n"/>
      <c r="BSO2" s="44" t="n"/>
      <c r="BSP2" s="44" t="n"/>
      <c r="BSQ2" s="44" t="n"/>
      <c r="BSR2" s="44" t="n"/>
      <c r="BSS2" s="44" t="n"/>
      <c r="BST2" s="44" t="n"/>
      <c r="BSU2" s="44" t="n"/>
      <c r="BSV2" s="44" t="n"/>
      <c r="BSW2" s="44" t="n"/>
      <c r="BSX2" s="44" t="n"/>
      <c r="BSY2" s="44" t="n"/>
      <c r="BSZ2" s="44" t="n"/>
      <c r="BTA2" s="44" t="n"/>
      <c r="BTB2" s="44" t="n"/>
      <c r="BTC2" s="44" t="n"/>
      <c r="BTD2" s="44" t="n"/>
      <c r="BTE2" s="44" t="n"/>
      <c r="BTF2" s="44" t="n"/>
      <c r="BTG2" s="44" t="n"/>
      <c r="BTH2" s="44" t="n"/>
      <c r="BTI2" s="44" t="n"/>
      <c r="BTJ2" s="44" t="n"/>
      <c r="BTK2" s="44" t="n"/>
      <c r="BTL2" s="44" t="n"/>
      <c r="BTM2" s="44" t="n"/>
      <c r="BTN2" s="44" t="n"/>
      <c r="BTO2" s="44" t="n"/>
      <c r="BTP2" s="44" t="n"/>
      <c r="BTQ2" s="44" t="n"/>
      <c r="BTR2" s="44" t="n"/>
      <c r="BTS2" s="44" t="n"/>
      <c r="BTT2" s="44" t="n"/>
      <c r="BTU2" s="44" t="n"/>
      <c r="BTV2" s="44" t="n"/>
      <c r="BTW2" s="44" t="n"/>
      <c r="BTX2" s="44" t="n"/>
      <c r="BTY2" s="44" t="n"/>
      <c r="BTZ2" s="44" t="n"/>
      <c r="BUA2" s="44" t="n"/>
      <c r="BUB2" s="44" t="n"/>
      <c r="BUC2" s="44" t="n"/>
      <c r="BUD2" s="44" t="n"/>
      <c r="BUE2" s="44" t="n"/>
      <c r="BUF2" s="44" t="n"/>
      <c r="BUG2" s="44" t="n"/>
      <c r="BUH2" s="44" t="n"/>
      <c r="BUI2" s="44" t="n"/>
      <c r="BUJ2" s="44" t="n"/>
      <c r="BUK2" s="44" t="n"/>
      <c r="BUL2" s="44" t="n"/>
      <c r="BUM2" s="44" t="n"/>
      <c r="BUN2" s="44" t="n"/>
      <c r="BUO2" s="44" t="n"/>
      <c r="BUP2" s="44" t="n"/>
      <c r="BUQ2" s="44" t="n"/>
      <c r="BUR2" s="44" t="n"/>
      <c r="BUS2" s="44" t="n"/>
      <c r="BUT2" s="44" t="n"/>
      <c r="BUU2" s="44" t="n"/>
      <c r="BUV2" s="44" t="n"/>
      <c r="BUW2" s="44" t="n"/>
      <c r="BUX2" s="44" t="n"/>
      <c r="BUY2" s="44" t="n"/>
      <c r="BUZ2" s="44" t="n"/>
      <c r="BVA2" s="44" t="n"/>
      <c r="BVB2" s="44" t="n"/>
      <c r="BVC2" s="44" t="n"/>
      <c r="BVD2" s="44" t="n"/>
      <c r="BVE2" s="44" t="n"/>
      <c r="BVF2" s="44" t="n"/>
      <c r="BVG2" s="44" t="n"/>
      <c r="BVH2" s="44" t="n"/>
      <c r="BVI2" s="44" t="n"/>
      <c r="BVJ2" s="44" t="n"/>
      <c r="BVK2" s="44" t="n"/>
      <c r="BVL2" s="44" t="n"/>
      <c r="BVM2" s="44" t="n"/>
      <c r="BVN2" s="44" t="n"/>
      <c r="BVO2" s="44" t="n"/>
      <c r="BVP2" s="44" t="n"/>
      <c r="BVQ2" s="44" t="n"/>
      <c r="BVR2" s="44" t="n"/>
      <c r="BVS2" s="44" t="n"/>
      <c r="BVT2" s="44" t="n"/>
      <c r="BVU2" s="44" t="n"/>
      <c r="BVV2" s="44" t="n"/>
      <c r="BVW2" s="44" t="n"/>
      <c r="BVX2" s="44" t="n"/>
      <c r="BVY2" s="44" t="n"/>
      <c r="BVZ2" s="44" t="n"/>
      <c r="BWA2" s="44" t="n"/>
      <c r="BWB2" s="44" t="n"/>
      <c r="BWC2" s="44" t="n"/>
      <c r="BWD2" s="44" t="n"/>
      <c r="BWE2" s="44" t="n"/>
      <c r="BWF2" s="44" t="n"/>
      <c r="BWG2" s="44" t="n"/>
      <c r="BWH2" s="44" t="n"/>
      <c r="BWI2" s="44" t="n"/>
      <c r="BWJ2" s="44" t="n"/>
      <c r="BWK2" s="44" t="n"/>
      <c r="BWL2" s="44" t="n"/>
      <c r="BWM2" s="44" t="n"/>
      <c r="BWN2" s="44" t="n"/>
      <c r="BWO2" s="44" t="n"/>
      <c r="BWP2" s="44" t="n"/>
      <c r="BWQ2" s="44" t="n"/>
      <c r="BWR2" s="44" t="n"/>
      <c r="BWS2" s="44" t="n"/>
      <c r="BWT2" s="44" t="n"/>
      <c r="BWU2" s="44" t="n"/>
      <c r="BWV2" s="44" t="n"/>
      <c r="BWW2" s="44" t="n"/>
      <c r="BWX2" s="44" t="n"/>
      <c r="BWY2" s="44" t="n"/>
      <c r="BWZ2" s="44" t="n"/>
      <c r="BXA2" s="44" t="n"/>
      <c r="BXB2" s="44" t="n"/>
      <c r="BXC2" s="44" t="n"/>
      <c r="BXD2" s="44" t="n"/>
      <c r="BXE2" s="44" t="n"/>
      <c r="BXF2" s="44" t="n"/>
      <c r="BXG2" s="44" t="n"/>
      <c r="BXH2" s="44" t="n"/>
      <c r="BXI2" s="44" t="n"/>
      <c r="BXJ2" s="44" t="n"/>
      <c r="BXK2" s="44" t="n"/>
      <c r="BXL2" s="44" t="n"/>
      <c r="BXM2" s="44" t="n"/>
      <c r="BXN2" s="44" t="n"/>
      <c r="BXO2" s="44" t="n"/>
      <c r="BXP2" s="44" t="n"/>
      <c r="BXQ2" s="44" t="n"/>
      <c r="BXR2" s="44" t="n"/>
      <c r="BXS2" s="44" t="n"/>
      <c r="BXT2" s="44" t="n"/>
      <c r="BXU2" s="44" t="n"/>
      <c r="BXV2" s="44" t="n"/>
      <c r="BXW2" s="44" t="n"/>
      <c r="BXX2" s="44" t="n"/>
      <c r="BXY2" s="44" t="n"/>
      <c r="BXZ2" s="44" t="n"/>
      <c r="BYA2" s="44" t="n"/>
      <c r="BYB2" s="44" t="n"/>
      <c r="BYC2" s="44" t="n"/>
      <c r="BYD2" s="44" t="n"/>
      <c r="BYE2" s="44" t="n"/>
      <c r="BYF2" s="44" t="n"/>
      <c r="BYG2" s="44" t="n"/>
      <c r="BYH2" s="44" t="n"/>
      <c r="BYI2" s="44" t="n"/>
      <c r="BYJ2" s="44" t="n"/>
      <c r="BYK2" s="44" t="n"/>
      <c r="BYL2" s="44" t="n"/>
      <c r="BYM2" s="44" t="n"/>
      <c r="BYN2" s="44" t="n"/>
      <c r="BYO2" s="44" t="n"/>
      <c r="BYP2" s="44" t="n"/>
      <c r="BYQ2" s="44" t="n"/>
      <c r="BYR2" s="44" t="n"/>
      <c r="BYS2" s="44" t="n"/>
      <c r="BYT2" s="44" t="n"/>
      <c r="BYU2" s="44" t="n"/>
      <c r="BYV2" s="44" t="n"/>
      <c r="BYW2" s="44" t="n"/>
      <c r="BYX2" s="44" t="n"/>
      <c r="BYY2" s="44" t="n"/>
      <c r="BYZ2" s="44" t="n"/>
      <c r="BZA2" s="44" t="n"/>
      <c r="BZB2" s="44" t="n"/>
      <c r="BZC2" s="44" t="n"/>
      <c r="BZD2" s="44" t="n"/>
      <c r="BZE2" s="44" t="n"/>
      <c r="BZF2" s="44" t="n"/>
      <c r="BZG2" s="44" t="n"/>
      <c r="BZH2" s="44" t="n"/>
      <c r="BZI2" s="44" t="n"/>
      <c r="BZJ2" s="44" t="n"/>
      <c r="BZK2" s="44" t="n"/>
      <c r="BZL2" s="44" t="n"/>
      <c r="BZM2" s="44" t="n"/>
      <c r="BZN2" s="44" t="n"/>
      <c r="BZO2" s="44" t="n"/>
      <c r="BZP2" s="44" t="n"/>
      <c r="BZQ2" s="44" t="n"/>
      <c r="BZR2" s="44" t="n"/>
      <c r="BZS2" s="44" t="n"/>
      <c r="BZT2" s="44" t="n"/>
      <c r="BZU2" s="44" t="n"/>
      <c r="BZV2" s="44" t="n"/>
      <c r="BZW2" s="44" t="n"/>
      <c r="BZX2" s="44" t="n"/>
      <c r="BZY2" s="44" t="n"/>
      <c r="BZZ2" s="44" t="n"/>
      <c r="CAA2" s="44" t="n"/>
      <c r="CAB2" s="44" t="n"/>
      <c r="CAC2" s="44" t="n"/>
      <c r="CAD2" s="44" t="n"/>
      <c r="CAE2" s="44" t="n"/>
      <c r="CAF2" s="44" t="n"/>
      <c r="CAG2" s="44" t="n"/>
      <c r="CAH2" s="44" t="n"/>
      <c r="CAI2" s="44" t="n"/>
      <c r="CAJ2" s="44" t="n"/>
      <c r="CAK2" s="44" t="n"/>
      <c r="CAL2" s="44" t="n"/>
      <c r="CAM2" s="44" t="n"/>
      <c r="CAN2" s="44" t="n"/>
      <c r="CAO2" s="44" t="n"/>
      <c r="CAP2" s="44" t="n"/>
      <c r="CAQ2" s="44" t="n"/>
      <c r="CAR2" s="44" t="n"/>
      <c r="CAS2" s="44" t="n"/>
      <c r="CAT2" s="44" t="n"/>
      <c r="CAU2" s="44" t="n"/>
      <c r="CAV2" s="44" t="n"/>
      <c r="CAW2" s="44" t="n"/>
      <c r="CAX2" s="44" t="n"/>
      <c r="CAY2" s="44" t="n"/>
      <c r="CAZ2" s="44" t="n"/>
      <c r="CBA2" s="44" t="n"/>
      <c r="CBB2" s="44" t="n"/>
      <c r="CBC2" s="44" t="n"/>
      <c r="CBD2" s="44" t="n"/>
      <c r="CBE2" s="44" t="n"/>
      <c r="CBF2" s="44" t="n"/>
      <c r="CBG2" s="44" t="n"/>
      <c r="CBH2" s="44" t="n"/>
      <c r="CBI2" s="44" t="n"/>
      <c r="CBJ2" s="44" t="n"/>
      <c r="CBK2" s="44" t="n"/>
      <c r="CBL2" s="44" t="n"/>
      <c r="CBM2" s="44" t="n"/>
      <c r="CBN2" s="44" t="n"/>
      <c r="CBO2" s="44" t="n"/>
      <c r="CBP2" s="44" t="n"/>
      <c r="CBQ2" s="44" t="n"/>
      <c r="CBR2" s="44" t="n"/>
      <c r="CBS2" s="44" t="n"/>
      <c r="CBT2" s="44" t="n"/>
      <c r="CBU2" s="44" t="n"/>
      <c r="CBV2" s="44" t="n"/>
      <c r="CBW2" s="44" t="n"/>
      <c r="CBX2" s="44" t="n"/>
      <c r="CBY2" s="44" t="n"/>
      <c r="CBZ2" s="44" t="n"/>
      <c r="CCA2" s="44" t="n"/>
      <c r="CCB2" s="44" t="n"/>
      <c r="CCC2" s="44" t="n"/>
      <c r="CCD2" s="44" t="n"/>
      <c r="CCE2" s="44" t="n"/>
      <c r="CCF2" s="44" t="n"/>
      <c r="CCG2" s="44" t="n"/>
      <c r="CCH2" s="44" t="n"/>
      <c r="CCI2" s="44" t="n"/>
      <c r="CCJ2" s="44" t="n"/>
      <c r="CCK2" s="44" t="n"/>
      <c r="CCL2" s="44" t="n"/>
      <c r="CCM2" s="44" t="n"/>
      <c r="CCN2" s="44" t="n"/>
      <c r="CCO2" s="44" t="n"/>
      <c r="CCP2" s="44" t="n"/>
      <c r="CCQ2" s="44" t="n"/>
      <c r="CCR2" s="44" t="n"/>
      <c r="CCS2" s="44" t="n"/>
      <c r="CCT2" s="44" t="n"/>
      <c r="CCU2" s="44" t="n"/>
      <c r="CCV2" s="44" t="n"/>
      <c r="CCW2" s="44" t="n"/>
      <c r="CCX2" s="44" t="n"/>
      <c r="CCY2" s="44" t="n"/>
      <c r="CCZ2" s="44" t="n"/>
      <c r="CDA2" s="44" t="n"/>
      <c r="CDB2" s="44" t="n"/>
      <c r="CDC2" s="44" t="n"/>
      <c r="CDD2" s="44" t="n"/>
      <c r="CDE2" s="44" t="n"/>
      <c r="CDF2" s="44" t="n"/>
      <c r="CDG2" s="44" t="n"/>
      <c r="CDH2" s="44" t="n"/>
      <c r="CDI2" s="44" t="n"/>
      <c r="CDJ2" s="44" t="n"/>
      <c r="CDK2" s="44" t="n"/>
      <c r="CDL2" s="44" t="n"/>
      <c r="CDM2" s="44" t="n"/>
      <c r="CDN2" s="44" t="n"/>
      <c r="CDO2" s="44" t="n"/>
      <c r="CDP2" s="44" t="n"/>
      <c r="CDQ2" s="44" t="n"/>
      <c r="CDR2" s="44" t="n"/>
      <c r="CDS2" s="44" t="n"/>
      <c r="CDT2" s="44" t="n"/>
      <c r="CDU2" s="44" t="n"/>
      <c r="CDV2" s="44" t="n"/>
      <c r="CDW2" s="44" t="n"/>
      <c r="CDX2" s="44" t="n"/>
      <c r="CDY2" s="44" t="n"/>
      <c r="CDZ2" s="44" t="n"/>
      <c r="CEA2" s="44" t="n"/>
      <c r="CEB2" s="44" t="n"/>
      <c r="CEC2" s="44" t="n"/>
      <c r="CED2" s="44" t="n"/>
      <c r="CEE2" s="44" t="n"/>
      <c r="CEF2" s="44" t="n"/>
      <c r="CEG2" s="44" t="n"/>
      <c r="CEH2" s="44" t="n"/>
      <c r="CEI2" s="44" t="n"/>
      <c r="CEJ2" s="44" t="n"/>
      <c r="CEK2" s="44" t="n"/>
      <c r="CEL2" s="44" t="n"/>
      <c r="CEM2" s="44" t="n"/>
      <c r="CEN2" s="44" t="n"/>
      <c r="CEO2" s="44" t="n"/>
      <c r="CEP2" s="44" t="n"/>
      <c r="CEQ2" s="44" t="n"/>
      <c r="CER2" s="44" t="n"/>
      <c r="CES2" s="44" t="n"/>
      <c r="CET2" s="44" t="n"/>
      <c r="CEU2" s="44" t="n"/>
      <c r="CEV2" s="44" t="n"/>
      <c r="CEW2" s="44" t="n"/>
      <c r="CEX2" s="44" t="n"/>
      <c r="CEY2" s="44" t="n"/>
      <c r="CEZ2" s="44" t="n"/>
      <c r="CFA2" s="44" t="n"/>
      <c r="CFB2" s="44" t="n"/>
      <c r="CFC2" s="44" t="n"/>
      <c r="CFD2" s="44" t="n"/>
      <c r="CFE2" s="44" t="n"/>
      <c r="CFF2" s="44" t="n"/>
      <c r="CFG2" s="44" t="n"/>
      <c r="CFH2" s="44" t="n"/>
      <c r="CFI2" s="44" t="n"/>
      <c r="CFJ2" s="44" t="n"/>
      <c r="CFK2" s="44" t="n"/>
      <c r="CFL2" s="44" t="n"/>
      <c r="CFM2" s="44" t="n"/>
      <c r="CFN2" s="44" t="n"/>
      <c r="CFO2" s="44" t="n"/>
      <c r="CFP2" s="44" t="n"/>
      <c r="CFQ2" s="44" t="n"/>
      <c r="CFR2" s="44" t="n"/>
      <c r="CFS2" s="44" t="n"/>
      <c r="CFT2" s="44" t="n"/>
      <c r="CFU2" s="44" t="n"/>
      <c r="CFV2" s="44" t="n"/>
      <c r="CFW2" s="44" t="n"/>
      <c r="CFX2" s="44" t="n"/>
      <c r="CFY2" s="44" t="n"/>
      <c r="CFZ2" s="44" t="n"/>
      <c r="CGA2" s="44" t="n"/>
      <c r="CGB2" s="44" t="n"/>
      <c r="CGC2" s="44" t="n"/>
      <c r="CGD2" s="44" t="n"/>
      <c r="CGE2" s="44" t="n"/>
      <c r="CGF2" s="44" t="n"/>
      <c r="CGG2" s="44" t="n"/>
      <c r="CGH2" s="44" t="n"/>
      <c r="CGI2" s="44" t="n"/>
      <c r="CGJ2" s="44" t="n"/>
      <c r="CGK2" s="44" t="n"/>
      <c r="CGL2" s="44" t="n"/>
      <c r="CGM2" s="44" t="n"/>
      <c r="CGN2" s="44" t="n"/>
      <c r="CGO2" s="44" t="n"/>
      <c r="CGP2" s="44" t="n"/>
      <c r="CGQ2" s="44" t="n"/>
      <c r="CGR2" s="44" t="n"/>
      <c r="CGS2" s="44" t="n"/>
      <c r="CGT2" s="44" t="n"/>
      <c r="CGU2" s="44" t="n"/>
      <c r="CGV2" s="44" t="n"/>
      <c r="CGW2" s="44" t="n"/>
      <c r="CGX2" s="44" t="n"/>
      <c r="CGY2" s="44" t="n"/>
      <c r="CGZ2" s="44" t="n"/>
      <c r="CHA2" s="44" t="n"/>
      <c r="CHB2" s="44" t="n"/>
      <c r="CHC2" s="44" t="n"/>
      <c r="CHD2" s="44" t="n"/>
      <c r="CHE2" s="44" t="n"/>
      <c r="CHF2" s="44" t="n"/>
      <c r="CHG2" s="44" t="n"/>
      <c r="CHH2" s="44" t="n"/>
      <c r="CHI2" s="44" t="n"/>
      <c r="CHJ2" s="44" t="n"/>
      <c r="CHK2" s="44" t="n"/>
      <c r="CHL2" s="44" t="n"/>
      <c r="CHM2" s="44" t="n"/>
      <c r="CHN2" s="44" t="n"/>
      <c r="CHO2" s="44" t="n"/>
      <c r="CHP2" s="44" t="n"/>
      <c r="CHQ2" s="44" t="n"/>
      <c r="CHR2" s="44" t="n"/>
      <c r="CHS2" s="44" t="n"/>
      <c r="CHT2" s="44" t="n"/>
      <c r="CHU2" s="44" t="n"/>
      <c r="CHV2" s="44" t="n"/>
      <c r="CHW2" s="44" t="n"/>
      <c r="CHX2" s="44" t="n"/>
      <c r="CHY2" s="44" t="n"/>
      <c r="CHZ2" s="44" t="n"/>
      <c r="CIA2" s="44" t="n"/>
      <c r="CIB2" s="44" t="n"/>
      <c r="CIC2" s="44" t="n"/>
      <c r="CID2" s="44" t="n"/>
      <c r="CIE2" s="44" t="n"/>
      <c r="CIF2" s="44" t="n"/>
      <c r="CIG2" s="44" t="n"/>
      <c r="CIH2" s="44" t="n"/>
      <c r="CII2" s="44" t="n"/>
      <c r="CIJ2" s="44" t="n"/>
      <c r="CIK2" s="44" t="n"/>
      <c r="CIL2" s="44" t="n"/>
      <c r="CIM2" s="44" t="n"/>
      <c r="CIN2" s="44" t="n"/>
      <c r="CIO2" s="44" t="n"/>
      <c r="CIP2" s="44" t="n"/>
      <c r="CIQ2" s="44" t="n"/>
      <c r="CIR2" s="44" t="n"/>
      <c r="CIS2" s="44" t="n"/>
      <c r="CIT2" s="44" t="n"/>
      <c r="CIU2" s="44" t="n"/>
      <c r="CIV2" s="44" t="n"/>
      <c r="CIW2" s="44" t="n"/>
      <c r="CIX2" s="44" t="n"/>
      <c r="CIY2" s="44" t="n"/>
      <c r="CIZ2" s="44" t="n"/>
      <c r="CJA2" s="44" t="n"/>
      <c r="CJB2" s="44" t="n"/>
      <c r="CJC2" s="44" t="n"/>
      <c r="CJD2" s="44" t="n"/>
      <c r="CJE2" s="44" t="n"/>
      <c r="CJF2" s="44" t="n"/>
      <c r="CJG2" s="44" t="n"/>
      <c r="CJH2" s="44" t="n"/>
      <c r="CJI2" s="44" t="n"/>
      <c r="CJJ2" s="44" t="n"/>
      <c r="CJK2" s="44" t="n"/>
      <c r="CJL2" s="44" t="n"/>
      <c r="CJM2" s="44" t="n"/>
      <c r="CJN2" s="44" t="n"/>
      <c r="CJO2" s="44" t="n"/>
      <c r="CJP2" s="44" t="n"/>
      <c r="CJQ2" s="44" t="n"/>
      <c r="CJR2" s="44" t="n"/>
      <c r="CJS2" s="44" t="n"/>
      <c r="CJT2" s="44" t="n"/>
      <c r="CJU2" s="44" t="n"/>
      <c r="CJV2" s="44" t="n"/>
      <c r="CJW2" s="44" t="n"/>
      <c r="CJX2" s="44" t="n"/>
      <c r="CJY2" s="44" t="n"/>
      <c r="CJZ2" s="44" t="n"/>
      <c r="CKA2" s="44" t="n"/>
      <c r="CKB2" s="44" t="n"/>
      <c r="CKC2" s="44" t="n"/>
      <c r="CKD2" s="44" t="n"/>
      <c r="CKE2" s="44" t="n"/>
      <c r="CKF2" s="44" t="n"/>
      <c r="CKG2" s="44" t="n"/>
      <c r="CKH2" s="44" t="n"/>
      <c r="CKI2" s="44" t="n"/>
      <c r="CKJ2" s="44" t="n"/>
      <c r="CKK2" s="44" t="n"/>
      <c r="CKL2" s="44" t="n"/>
      <c r="CKM2" s="44" t="n"/>
      <c r="CKN2" s="44" t="n"/>
      <c r="CKO2" s="44" t="n"/>
      <c r="CKP2" s="44" t="n"/>
      <c r="CKQ2" s="44" t="n"/>
      <c r="CKR2" s="44" t="n"/>
      <c r="CKS2" s="44" t="n"/>
      <c r="CKT2" s="44" t="n"/>
      <c r="CKU2" s="44" t="n"/>
      <c r="CKV2" s="44" t="n"/>
      <c r="CKW2" s="44" t="n"/>
      <c r="CKX2" s="44" t="n"/>
      <c r="CKY2" s="44" t="n"/>
      <c r="CKZ2" s="44" t="n"/>
      <c r="CLA2" s="44" t="n"/>
      <c r="CLB2" s="44" t="n"/>
      <c r="CLC2" s="44" t="n"/>
      <c r="CLD2" s="44" t="n"/>
      <c r="CLE2" s="44" t="n"/>
      <c r="CLF2" s="44" t="n"/>
      <c r="CLG2" s="44" t="n"/>
      <c r="CLH2" s="44" t="n"/>
      <c r="CLI2" s="44" t="n"/>
      <c r="CLJ2" s="44" t="n"/>
      <c r="CLK2" s="44" t="n"/>
      <c r="CLL2" s="44" t="n"/>
      <c r="CLM2" s="44" t="n"/>
      <c r="CLN2" s="44" t="n"/>
      <c r="CLO2" s="44" t="n"/>
      <c r="CLP2" s="44" t="n"/>
      <c r="CLQ2" s="44" t="n"/>
      <c r="CLR2" s="44" t="n"/>
      <c r="CLS2" s="44" t="n"/>
      <c r="CLT2" s="44" t="n"/>
      <c r="CLU2" s="44" t="n"/>
      <c r="CLV2" s="44" t="n"/>
      <c r="CLW2" s="44" t="n"/>
      <c r="CLX2" s="44" t="n"/>
      <c r="CLY2" s="44" t="n"/>
      <c r="CLZ2" s="44" t="n"/>
      <c r="CMA2" s="44" t="n"/>
      <c r="CMB2" s="44" t="n"/>
      <c r="CMC2" s="44" t="n"/>
      <c r="CMD2" s="44" t="n"/>
      <c r="CME2" s="44" t="n"/>
      <c r="CMF2" s="44" t="n"/>
      <c r="CMG2" s="44" t="n"/>
      <c r="CMH2" s="44" t="n"/>
      <c r="CMI2" s="44" t="n"/>
      <c r="CMJ2" s="44" t="n"/>
      <c r="CMK2" s="44" t="n"/>
      <c r="CML2" s="44" t="n"/>
      <c r="CMM2" s="44" t="n"/>
      <c r="CMN2" s="44" t="n"/>
      <c r="CMO2" s="44" t="n"/>
      <c r="CMP2" s="44" t="n"/>
      <c r="CMQ2" s="44" t="n"/>
      <c r="CMR2" s="44" t="n"/>
      <c r="CMS2" s="44" t="n"/>
      <c r="CMT2" s="44" t="n"/>
      <c r="CMU2" s="44" t="n"/>
      <c r="CMV2" s="44" t="n"/>
      <c r="CMW2" s="44" t="n"/>
      <c r="CMX2" s="44" t="n"/>
      <c r="CMY2" s="44" t="n"/>
      <c r="CMZ2" s="44" t="n"/>
      <c r="CNA2" s="44" t="n"/>
      <c r="CNB2" s="44" t="n"/>
      <c r="CNC2" s="44" t="n"/>
      <c r="CND2" s="44" t="n"/>
      <c r="CNE2" s="44" t="n"/>
      <c r="CNF2" s="44" t="n"/>
      <c r="CNG2" s="44" t="n"/>
      <c r="CNH2" s="44" t="n"/>
      <c r="CNI2" s="44" t="n"/>
      <c r="CNJ2" s="44" t="n"/>
      <c r="CNK2" s="44" t="n"/>
      <c r="CNL2" s="44" t="n"/>
      <c r="CNM2" s="44" t="n"/>
      <c r="CNN2" s="44" t="n"/>
      <c r="CNO2" s="44" t="n"/>
      <c r="CNP2" s="44" t="n"/>
      <c r="CNQ2" s="44" t="n"/>
      <c r="CNR2" s="44" t="n"/>
      <c r="CNS2" s="44" t="n"/>
      <c r="CNT2" s="44" t="n"/>
      <c r="CNU2" s="44" t="n"/>
      <c r="CNV2" s="44" t="n"/>
      <c r="CNW2" s="44" t="n"/>
      <c r="CNX2" s="44" t="n"/>
      <c r="CNY2" s="44" t="n"/>
      <c r="CNZ2" s="44" t="n"/>
      <c r="COA2" s="44" t="n"/>
      <c r="COB2" s="44" t="n"/>
      <c r="COC2" s="44" t="n"/>
      <c r="COD2" s="44" t="n"/>
      <c r="COE2" s="44" t="n"/>
      <c r="COF2" s="44" t="n"/>
      <c r="COG2" s="44" t="n"/>
      <c r="COH2" s="44" t="n"/>
      <c r="COI2" s="44" t="n"/>
      <c r="COJ2" s="44" t="n"/>
      <c r="COK2" s="44" t="n"/>
      <c r="COL2" s="44" t="n"/>
      <c r="COM2" s="44" t="n"/>
      <c r="CON2" s="44" t="n"/>
      <c r="COO2" s="44" t="n"/>
      <c r="COP2" s="44" t="n"/>
      <c r="COQ2" s="44" t="n"/>
      <c r="COR2" s="44" t="n"/>
      <c r="COS2" s="44" t="n"/>
      <c r="COT2" s="44" t="n"/>
      <c r="COU2" s="44" t="n"/>
      <c r="COV2" s="44" t="n"/>
      <c r="COW2" s="44" t="n"/>
      <c r="COX2" s="44" t="n"/>
      <c r="COY2" s="44" t="n"/>
      <c r="COZ2" s="44" t="n"/>
      <c r="CPA2" s="44" t="n"/>
      <c r="CPB2" s="44" t="n"/>
      <c r="CPC2" s="44" t="n"/>
      <c r="CPD2" s="44" t="n"/>
      <c r="CPE2" s="44" t="n"/>
      <c r="CPF2" s="44" t="n"/>
      <c r="CPG2" s="44" t="n"/>
      <c r="CPH2" s="44" t="n"/>
      <c r="CPI2" s="44" t="n"/>
      <c r="CPJ2" s="44" t="n"/>
      <c r="CPK2" s="44" t="n"/>
      <c r="CPL2" s="44" t="n"/>
      <c r="CPM2" s="44" t="n"/>
      <c r="CPN2" s="44" t="n"/>
      <c r="CPO2" s="44" t="n"/>
      <c r="CPP2" s="44" t="n"/>
      <c r="CPQ2" s="44" t="n"/>
      <c r="CPR2" s="44" t="n"/>
      <c r="CPS2" s="44" t="n"/>
      <c r="CPT2" s="44" t="n"/>
      <c r="CPU2" s="44" t="n"/>
      <c r="CPV2" s="44" t="n"/>
      <c r="CPW2" s="44" t="n"/>
      <c r="CPX2" s="44" t="n"/>
      <c r="CPY2" s="44" t="n"/>
      <c r="CPZ2" s="44" t="n"/>
      <c r="CQA2" s="44" t="n"/>
      <c r="CQB2" s="44" t="n"/>
      <c r="CQC2" s="44" t="n"/>
      <c r="CQD2" s="44" t="n"/>
      <c r="CQE2" s="44" t="n"/>
      <c r="CQF2" s="44" t="n"/>
      <c r="CQG2" s="44" t="n"/>
      <c r="CQH2" s="44" t="n"/>
      <c r="CQI2" s="44" t="n"/>
      <c r="CQJ2" s="44" t="n"/>
      <c r="CQK2" s="44" t="n"/>
      <c r="CQL2" s="44" t="n"/>
      <c r="CQM2" s="44" t="n"/>
      <c r="CQN2" s="44" t="n"/>
      <c r="CQO2" s="44" t="n"/>
      <c r="CQP2" s="44" t="n"/>
      <c r="CQQ2" s="44" t="n"/>
      <c r="CQR2" s="44" t="n"/>
      <c r="CQS2" s="44" t="n"/>
      <c r="CQT2" s="44" t="n"/>
      <c r="CQU2" s="44" t="n"/>
      <c r="CQV2" s="44" t="n"/>
      <c r="CQW2" s="44" t="n"/>
      <c r="CQX2" s="44" t="n"/>
      <c r="CQY2" s="44" t="n"/>
      <c r="CQZ2" s="44" t="n"/>
      <c r="CRA2" s="44" t="n"/>
      <c r="CRB2" s="44" t="n"/>
      <c r="CRC2" s="44" t="n"/>
      <c r="CRD2" s="44" t="n"/>
      <c r="CRE2" s="44" t="n"/>
      <c r="CRF2" s="44" t="n"/>
      <c r="CRG2" s="44" t="n"/>
      <c r="CRH2" s="44" t="n"/>
      <c r="CRI2" s="44" t="n"/>
      <c r="CRJ2" s="44" t="n"/>
      <c r="CRK2" s="44" t="n"/>
      <c r="CRL2" s="44" t="n"/>
      <c r="CRM2" s="44" t="n"/>
      <c r="CRN2" s="44" t="n"/>
      <c r="CRO2" s="44" t="n"/>
      <c r="CRP2" s="44" t="n"/>
      <c r="CRQ2" s="44" t="n"/>
      <c r="CRR2" s="44" t="n"/>
      <c r="CRS2" s="44" t="n"/>
      <c r="CRT2" s="44" t="n"/>
      <c r="CRU2" s="44" t="n"/>
      <c r="CRV2" s="44" t="n"/>
      <c r="CRW2" s="44" t="n"/>
      <c r="CRX2" s="44" t="n"/>
      <c r="CRY2" s="44" t="n"/>
      <c r="CRZ2" s="44" t="n"/>
      <c r="CSA2" s="44" t="n"/>
      <c r="CSB2" s="44" t="n"/>
      <c r="CSC2" s="44" t="n"/>
      <c r="CSD2" s="44" t="n"/>
      <c r="CSE2" s="44" t="n"/>
      <c r="CSF2" s="44" t="n"/>
      <c r="CSG2" s="44" t="n"/>
      <c r="CSH2" s="44" t="n"/>
      <c r="CSI2" s="44" t="n"/>
      <c r="CSJ2" s="44" t="n"/>
      <c r="CSK2" s="44" t="n"/>
      <c r="CSL2" s="44" t="n"/>
      <c r="CSM2" s="44" t="n"/>
      <c r="CSN2" s="44" t="n"/>
      <c r="CSO2" s="44" t="n"/>
      <c r="CSP2" s="44" t="n"/>
      <c r="CSQ2" s="44" t="n"/>
      <c r="CSR2" s="44" t="n"/>
      <c r="CSS2" s="44" t="n"/>
      <c r="CST2" s="44" t="n"/>
      <c r="CSU2" s="44" t="n"/>
      <c r="CSV2" s="44" t="n"/>
      <c r="CSW2" s="44" t="n"/>
      <c r="CSX2" s="44" t="n"/>
      <c r="CSY2" s="44" t="n"/>
      <c r="CSZ2" s="44" t="n"/>
      <c r="CTA2" s="44" t="n"/>
      <c r="CTB2" s="44" t="n"/>
      <c r="CTC2" s="44" t="n"/>
      <c r="CTD2" s="44" t="n"/>
      <c r="CTE2" s="44" t="n"/>
      <c r="CTF2" s="44" t="n"/>
      <c r="CTG2" s="44" t="n"/>
      <c r="CTH2" s="44" t="n"/>
      <c r="CTI2" s="44" t="n"/>
      <c r="CTJ2" s="44" t="n"/>
      <c r="CTK2" s="44" t="n"/>
      <c r="CTL2" s="44" t="n"/>
      <c r="CTM2" s="44" t="n"/>
      <c r="CTN2" s="44" t="n"/>
      <c r="CTO2" s="44" t="n"/>
      <c r="CTP2" s="44" t="n"/>
      <c r="CTQ2" s="44" t="n"/>
      <c r="CTR2" s="44" t="n"/>
      <c r="CTS2" s="44" t="n"/>
      <c r="CTT2" s="44" t="n"/>
      <c r="CTU2" s="44" t="n"/>
      <c r="CTV2" s="44" t="n"/>
      <c r="CTW2" s="44" t="n"/>
      <c r="CTX2" s="44" t="n"/>
      <c r="CTY2" s="44" t="n"/>
      <c r="CTZ2" s="44" t="n"/>
      <c r="CUA2" s="44" t="n"/>
      <c r="CUB2" s="44" t="n"/>
      <c r="CUC2" s="44" t="n"/>
      <c r="CUD2" s="44" t="n"/>
      <c r="CUE2" s="44" t="n"/>
      <c r="CUF2" s="44" t="n"/>
      <c r="CUG2" s="44" t="n"/>
      <c r="CUH2" s="44" t="n"/>
      <c r="CUI2" s="44" t="n"/>
      <c r="CUJ2" s="44" t="n"/>
      <c r="CUK2" s="44" t="n"/>
      <c r="CUL2" s="44" t="n"/>
      <c r="CUM2" s="44" t="n"/>
      <c r="CUN2" s="44" t="n"/>
      <c r="CUO2" s="44" t="n"/>
      <c r="CUP2" s="44" t="n"/>
      <c r="CUQ2" s="44" t="n"/>
      <c r="CUR2" s="44" t="n"/>
      <c r="CUS2" s="44" t="n"/>
      <c r="CUT2" s="44" t="n"/>
      <c r="CUU2" s="44" t="n"/>
      <c r="CUV2" s="44" t="n"/>
      <c r="CUW2" s="44" t="n"/>
      <c r="CUX2" s="44" t="n"/>
      <c r="CUY2" s="44" t="n"/>
      <c r="CUZ2" s="44" t="n"/>
      <c r="CVA2" s="44" t="n"/>
      <c r="CVB2" s="44" t="n"/>
      <c r="CVC2" s="44" t="n"/>
      <c r="CVD2" s="44" t="n"/>
      <c r="CVE2" s="44" t="n"/>
      <c r="CVF2" s="44" t="n"/>
      <c r="CVG2" s="44" t="n"/>
      <c r="CVH2" s="44" t="n"/>
      <c r="CVI2" s="44" t="n"/>
      <c r="CVJ2" s="44" t="n"/>
      <c r="CVK2" s="44" t="n"/>
      <c r="CVL2" s="44" t="n"/>
      <c r="CVM2" s="44" t="n"/>
      <c r="CVN2" s="44" t="n"/>
      <c r="CVO2" s="44" t="n"/>
      <c r="CVP2" s="44" t="n"/>
      <c r="CVQ2" s="44" t="n"/>
      <c r="CVR2" s="44" t="n"/>
      <c r="CVS2" s="44" t="n"/>
      <c r="CVT2" s="44" t="n"/>
      <c r="CVU2" s="44" t="n"/>
      <c r="CVV2" s="44" t="n"/>
      <c r="CVW2" s="44" t="n"/>
      <c r="CVX2" s="44" t="n"/>
      <c r="CVY2" s="44" t="n"/>
      <c r="CVZ2" s="44" t="n"/>
      <c r="CWA2" s="44" t="n"/>
      <c r="CWB2" s="44" t="n"/>
      <c r="CWC2" s="44" t="n"/>
      <c r="CWD2" s="44" t="n"/>
      <c r="CWE2" s="44" t="n"/>
      <c r="CWF2" s="44" t="n"/>
      <c r="CWG2" s="44" t="n"/>
      <c r="CWH2" s="44" t="n"/>
      <c r="CWI2" s="44" t="n"/>
      <c r="CWJ2" s="44" t="n"/>
      <c r="CWK2" s="44" t="n"/>
      <c r="CWL2" s="44" t="n"/>
      <c r="CWM2" s="44" t="n"/>
      <c r="CWN2" s="44" t="n"/>
      <c r="CWO2" s="44" t="n"/>
      <c r="CWP2" s="44" t="n"/>
      <c r="CWQ2" s="44" t="n"/>
      <c r="CWR2" s="44" t="n"/>
      <c r="CWS2" s="44" t="n"/>
      <c r="CWT2" s="44" t="n"/>
      <c r="CWU2" s="44" t="n"/>
      <c r="CWV2" s="44" t="n"/>
      <c r="CWW2" s="44" t="n"/>
      <c r="CWX2" s="44" t="n"/>
      <c r="CWY2" s="44" t="n"/>
      <c r="CWZ2" s="44" t="n"/>
      <c r="CXA2" s="44" t="n"/>
      <c r="CXB2" s="44" t="n"/>
      <c r="CXC2" s="44" t="n"/>
      <c r="CXD2" s="44" t="n"/>
      <c r="CXE2" s="44" t="n"/>
      <c r="CXF2" s="44" t="n"/>
      <c r="CXG2" s="44" t="n"/>
      <c r="CXH2" s="44" t="n"/>
      <c r="CXI2" s="44" t="n"/>
      <c r="CXJ2" s="44" t="n"/>
      <c r="CXK2" s="44" t="n"/>
      <c r="CXL2" s="44" t="n"/>
      <c r="CXM2" s="44" t="n"/>
      <c r="CXN2" s="44" t="n"/>
      <c r="CXO2" s="44" t="n"/>
      <c r="CXP2" s="44" t="n"/>
      <c r="CXQ2" s="44" t="n"/>
      <c r="CXR2" s="44" t="n"/>
      <c r="CXS2" s="44" t="n"/>
      <c r="CXT2" s="44" t="n"/>
      <c r="CXU2" s="44" t="n"/>
      <c r="CXV2" s="44" t="n"/>
      <c r="CXW2" s="44" t="n"/>
      <c r="CXX2" s="44" t="n"/>
      <c r="CXY2" s="44" t="n"/>
      <c r="CXZ2" s="44" t="n"/>
      <c r="CYA2" s="44" t="n"/>
      <c r="CYB2" s="44" t="n"/>
      <c r="CYC2" s="44" t="n"/>
      <c r="CYD2" s="44" t="n"/>
      <c r="CYE2" s="44" t="n"/>
      <c r="CYF2" s="44" t="n"/>
      <c r="CYG2" s="44" t="n"/>
      <c r="CYH2" s="44" t="n"/>
      <c r="CYI2" s="44" t="n"/>
      <c r="CYJ2" s="44" t="n"/>
      <c r="CYK2" s="44" t="n"/>
      <c r="CYL2" s="44" t="n"/>
      <c r="CYM2" s="44" t="n"/>
      <c r="CYN2" s="44" t="n"/>
      <c r="CYO2" s="44" t="n"/>
      <c r="CYP2" s="44" t="n"/>
      <c r="CYQ2" s="44" t="n"/>
      <c r="CYR2" s="44" t="n"/>
      <c r="CYS2" s="44" t="n"/>
      <c r="CYT2" s="44" t="n"/>
      <c r="CYU2" s="44" t="n"/>
      <c r="CYV2" s="44" t="n"/>
      <c r="CYW2" s="44" t="n"/>
      <c r="CYX2" s="44" t="n"/>
      <c r="CYY2" s="44" t="n"/>
      <c r="CYZ2" s="44" t="n"/>
      <c r="CZA2" s="44" t="n"/>
      <c r="CZB2" s="44" t="n"/>
      <c r="CZC2" s="44" t="n"/>
      <c r="CZD2" s="44" t="n"/>
      <c r="CZE2" s="44" t="n"/>
      <c r="CZF2" s="44" t="n"/>
      <c r="CZG2" s="44" t="n"/>
      <c r="CZH2" s="44" t="n"/>
      <c r="CZI2" s="44" t="n"/>
      <c r="CZJ2" s="44" t="n"/>
      <c r="CZK2" s="44" t="n"/>
      <c r="CZL2" s="44" t="n"/>
      <c r="CZM2" s="44" t="n"/>
      <c r="CZN2" s="44" t="n"/>
      <c r="CZO2" s="44" t="n"/>
      <c r="CZP2" s="44" t="n"/>
      <c r="CZQ2" s="44" t="n"/>
      <c r="CZR2" s="44" t="n"/>
      <c r="CZS2" s="44" t="n"/>
      <c r="CZT2" s="44" t="n"/>
      <c r="CZU2" s="44" t="n"/>
      <c r="CZV2" s="44" t="n"/>
      <c r="CZW2" s="44" t="n"/>
      <c r="CZX2" s="44" t="n"/>
      <c r="CZY2" s="44" t="n"/>
      <c r="CZZ2" s="44" t="n"/>
      <c r="DAA2" s="44" t="n"/>
      <c r="DAB2" s="44" t="n"/>
      <c r="DAC2" s="44" t="n"/>
      <c r="DAD2" s="44" t="n"/>
      <c r="DAE2" s="44" t="n"/>
      <c r="DAF2" s="44" t="n"/>
      <c r="DAG2" s="44" t="n"/>
      <c r="DAH2" s="44" t="n"/>
      <c r="DAI2" s="44" t="n"/>
      <c r="DAJ2" s="44" t="n"/>
      <c r="DAK2" s="44" t="n"/>
      <c r="DAL2" s="44" t="n"/>
      <c r="DAM2" s="44" t="n"/>
      <c r="DAN2" s="44" t="n"/>
      <c r="DAO2" s="44" t="n"/>
      <c r="DAP2" s="44" t="n"/>
      <c r="DAQ2" s="44" t="n"/>
      <c r="DAR2" s="44" t="n"/>
      <c r="DAS2" s="44" t="n"/>
      <c r="DAT2" s="44" t="n"/>
      <c r="DAU2" s="44" t="n"/>
      <c r="DAV2" s="44" t="n"/>
      <c r="DAW2" s="44" t="n"/>
      <c r="DAX2" s="44" t="n"/>
      <c r="DAY2" s="44" t="n"/>
      <c r="DAZ2" s="44" t="n"/>
      <c r="DBA2" s="44" t="n"/>
      <c r="DBB2" s="44" t="n"/>
      <c r="DBC2" s="44" t="n"/>
      <c r="DBD2" s="44" t="n"/>
      <c r="DBE2" s="44" t="n"/>
      <c r="DBF2" s="44" t="n"/>
      <c r="DBG2" s="44" t="n"/>
      <c r="DBH2" s="44" t="n"/>
      <c r="DBI2" s="44" t="n"/>
      <c r="DBJ2" s="44" t="n"/>
      <c r="DBK2" s="44" t="n"/>
      <c r="DBL2" s="44" t="n"/>
      <c r="DBM2" s="44" t="n"/>
      <c r="DBN2" s="44" t="n"/>
      <c r="DBO2" s="44" t="n"/>
      <c r="DBP2" s="44" t="n"/>
      <c r="DBQ2" s="44" t="n"/>
      <c r="DBR2" s="44" t="n"/>
      <c r="DBS2" s="44" t="n"/>
      <c r="DBT2" s="44" t="n"/>
      <c r="DBU2" s="44" t="n"/>
      <c r="DBV2" s="44" t="n"/>
      <c r="DBW2" s="44" t="n"/>
      <c r="DBX2" s="44" t="n"/>
      <c r="DBY2" s="44" t="n"/>
      <c r="DBZ2" s="44" t="n"/>
      <c r="DCA2" s="44" t="n"/>
      <c r="DCB2" s="44" t="n"/>
      <c r="DCC2" s="44" t="n"/>
      <c r="DCD2" s="44" t="n"/>
      <c r="DCE2" s="44" t="n"/>
      <c r="DCF2" s="44" t="n"/>
      <c r="DCG2" s="44" t="n"/>
      <c r="DCH2" s="44" t="n"/>
      <c r="DCI2" s="44" t="n"/>
      <c r="DCJ2" s="44" t="n"/>
      <c r="DCK2" s="44" t="n"/>
      <c r="DCL2" s="44" t="n"/>
      <c r="DCM2" s="44" t="n"/>
      <c r="DCN2" s="44" t="n"/>
      <c r="DCO2" s="44" t="n"/>
      <c r="DCP2" s="44" t="n"/>
      <c r="DCQ2" s="44" t="n"/>
      <c r="DCR2" s="44" t="n"/>
      <c r="DCS2" s="44" t="n"/>
      <c r="DCT2" s="44" t="n"/>
      <c r="DCU2" s="44" t="n"/>
      <c r="DCV2" s="44" t="n"/>
      <c r="DCW2" s="44" t="n"/>
      <c r="DCX2" s="44" t="n"/>
      <c r="DCY2" s="44" t="n"/>
      <c r="DCZ2" s="44" t="n"/>
      <c r="DDA2" s="44" t="n"/>
      <c r="DDB2" s="44" t="n"/>
      <c r="DDC2" s="44" t="n"/>
      <c r="DDD2" s="44" t="n"/>
      <c r="DDE2" s="44" t="n"/>
      <c r="DDF2" s="44" t="n"/>
      <c r="DDG2" s="44" t="n"/>
      <c r="DDH2" s="44" t="n"/>
      <c r="DDI2" s="44" t="n"/>
      <c r="DDJ2" s="44" t="n"/>
      <c r="DDK2" s="44" t="n"/>
      <c r="DDL2" s="44" t="n"/>
      <c r="DDM2" s="44" t="n"/>
      <c r="DDN2" s="44" t="n"/>
      <c r="DDO2" s="44" t="n"/>
      <c r="DDP2" s="44" t="n"/>
      <c r="DDQ2" s="44" t="n"/>
      <c r="DDR2" s="44" t="n"/>
      <c r="DDS2" s="44" t="n"/>
      <c r="DDT2" s="44" t="n"/>
      <c r="DDU2" s="44" t="n"/>
      <c r="DDV2" s="44" t="n"/>
      <c r="DDW2" s="44" t="n"/>
      <c r="DDX2" s="44" t="n"/>
      <c r="DDY2" s="44" t="n"/>
      <c r="DDZ2" s="44" t="n"/>
      <c r="DEA2" s="44" t="n"/>
      <c r="DEB2" s="44" t="n"/>
      <c r="DEC2" s="44" t="n"/>
      <c r="DED2" s="44" t="n"/>
      <c r="DEE2" s="44" t="n"/>
      <c r="DEF2" s="44" t="n"/>
      <c r="DEG2" s="44" t="n"/>
      <c r="DEH2" s="44" t="n"/>
      <c r="DEI2" s="44" t="n"/>
      <c r="DEJ2" s="44" t="n"/>
      <c r="DEK2" s="44" t="n"/>
      <c r="DEL2" s="44" t="n"/>
      <c r="DEM2" s="44" t="n"/>
      <c r="DEN2" s="44" t="n"/>
      <c r="DEO2" s="44" t="n"/>
      <c r="DEP2" s="44" t="n"/>
      <c r="DEQ2" s="44" t="n"/>
      <c r="DER2" s="44" t="n"/>
      <c r="DES2" s="44" t="n"/>
      <c r="DET2" s="44" t="n"/>
      <c r="DEU2" s="44" t="n"/>
      <c r="DEV2" s="44" t="n"/>
      <c r="DEW2" s="44" t="n"/>
      <c r="DEX2" s="44" t="n"/>
      <c r="DEY2" s="44" t="n"/>
      <c r="DEZ2" s="44" t="n"/>
      <c r="DFA2" s="44" t="n"/>
      <c r="DFB2" s="44" t="n"/>
      <c r="DFC2" s="44" t="n"/>
      <c r="DFD2" s="44" t="n"/>
      <c r="DFE2" s="44" t="n"/>
      <c r="DFF2" s="44" t="n"/>
      <c r="DFG2" s="44" t="n"/>
      <c r="DFH2" s="44" t="n"/>
      <c r="DFI2" s="44" t="n"/>
      <c r="DFJ2" s="44" t="n"/>
      <c r="DFK2" s="44" t="n"/>
      <c r="DFL2" s="44" t="n"/>
      <c r="DFM2" s="44" t="n"/>
      <c r="DFN2" s="44" t="n"/>
      <c r="DFO2" s="44" t="n"/>
      <c r="DFP2" s="44" t="n"/>
      <c r="DFQ2" s="44" t="n"/>
      <c r="DFR2" s="44" t="n"/>
      <c r="DFS2" s="44" t="n"/>
      <c r="DFT2" s="44" t="n"/>
      <c r="DFU2" s="44" t="n"/>
      <c r="DFV2" s="44" t="n"/>
      <c r="DFW2" s="44" t="n"/>
      <c r="DFX2" s="44" t="n"/>
      <c r="DFY2" s="44" t="n"/>
      <c r="DFZ2" s="44" t="n"/>
      <c r="DGA2" s="44" t="n"/>
      <c r="DGB2" s="44" t="n"/>
      <c r="DGC2" s="44" t="n"/>
      <c r="DGD2" s="44" t="n"/>
      <c r="DGE2" s="44" t="n"/>
      <c r="DGF2" s="44" t="n"/>
      <c r="DGG2" s="44" t="n"/>
      <c r="DGH2" s="44" t="n"/>
      <c r="DGI2" s="44" t="n"/>
      <c r="DGJ2" s="44" t="n"/>
      <c r="DGK2" s="44" t="n"/>
      <c r="DGL2" s="44" t="n"/>
      <c r="DGM2" s="44" t="n"/>
      <c r="DGN2" s="44" t="n"/>
      <c r="DGO2" s="44" t="n"/>
      <c r="DGP2" s="44" t="n"/>
      <c r="DGQ2" s="44" t="n"/>
      <c r="DGR2" s="44" t="n"/>
      <c r="DGS2" s="44" t="n"/>
      <c r="DGT2" s="44" t="n"/>
      <c r="DGU2" s="44" t="n"/>
      <c r="DGV2" s="44" t="n"/>
      <c r="DGW2" s="44" t="n"/>
      <c r="DGX2" s="44" t="n"/>
      <c r="DGY2" s="44" t="n"/>
      <c r="DGZ2" s="44" t="n"/>
      <c r="DHA2" s="44" t="n"/>
      <c r="DHB2" s="44" t="n"/>
      <c r="DHC2" s="44" t="n"/>
      <c r="DHD2" s="44" t="n"/>
      <c r="DHE2" s="44" t="n"/>
      <c r="DHF2" s="44" t="n"/>
      <c r="DHG2" s="44" t="n"/>
      <c r="DHH2" s="44" t="n"/>
      <c r="DHI2" s="44" t="n"/>
      <c r="DHJ2" s="44" t="n"/>
      <c r="DHK2" s="44" t="n"/>
      <c r="DHL2" s="44" t="n"/>
      <c r="DHM2" s="44" t="n"/>
      <c r="DHN2" s="44" t="n"/>
      <c r="DHO2" s="44" t="n"/>
      <c r="DHP2" s="44" t="n"/>
      <c r="DHQ2" s="44" t="n"/>
      <c r="DHR2" s="44" t="n"/>
      <c r="DHS2" s="44" t="n"/>
      <c r="DHT2" s="44" t="n"/>
      <c r="DHU2" s="44" t="n"/>
      <c r="DHV2" s="44" t="n"/>
      <c r="DHW2" s="44" t="n"/>
      <c r="DHX2" s="44" t="n"/>
      <c r="DHY2" s="44" t="n"/>
      <c r="DHZ2" s="44" t="n"/>
      <c r="DIA2" s="44" t="n"/>
      <c r="DIB2" s="44" t="n"/>
      <c r="DIC2" s="44" t="n"/>
      <c r="DID2" s="44" t="n"/>
      <c r="DIE2" s="44" t="n"/>
      <c r="DIF2" s="44" t="n"/>
      <c r="DIG2" s="44" t="n"/>
      <c r="DIH2" s="44" t="n"/>
      <c r="DII2" s="44" t="n"/>
      <c r="DIJ2" s="44" t="n"/>
      <c r="DIK2" s="44" t="n"/>
      <c r="DIL2" s="44" t="n"/>
      <c r="DIM2" s="44" t="n"/>
      <c r="DIN2" s="44" t="n"/>
      <c r="DIO2" s="44" t="n"/>
      <c r="DIP2" s="44" t="n"/>
      <c r="DIQ2" s="44" t="n"/>
      <c r="DIR2" s="44" t="n"/>
      <c r="DIS2" s="44" t="n"/>
      <c r="DIT2" s="44" t="n"/>
      <c r="DIU2" s="44" t="n"/>
      <c r="DIV2" s="44" t="n"/>
      <c r="DIW2" s="44" t="n"/>
      <c r="DIX2" s="44" t="n"/>
      <c r="DIY2" s="44" t="n"/>
      <c r="DIZ2" s="44" t="n"/>
      <c r="DJA2" s="44" t="n"/>
      <c r="DJB2" s="44" t="n"/>
      <c r="DJC2" s="44" t="n"/>
      <c r="DJD2" s="44" t="n"/>
      <c r="DJE2" s="44" t="n"/>
      <c r="DJF2" s="44" t="n"/>
      <c r="DJG2" s="44" t="n"/>
      <c r="DJH2" s="44" t="n"/>
      <c r="DJI2" s="44" t="n"/>
      <c r="DJJ2" s="44" t="n"/>
      <c r="DJK2" s="44" t="n"/>
      <c r="DJL2" s="44" t="n"/>
      <c r="DJM2" s="44" t="n"/>
      <c r="DJN2" s="44" t="n"/>
      <c r="DJO2" s="44" t="n"/>
      <c r="DJP2" s="44" t="n"/>
      <c r="DJQ2" s="44" t="n"/>
      <c r="DJR2" s="44" t="n"/>
      <c r="DJS2" s="44" t="n"/>
      <c r="DJT2" s="44" t="n"/>
      <c r="DJU2" s="44" t="n"/>
      <c r="DJV2" s="44" t="n"/>
      <c r="DJW2" s="44" t="n"/>
      <c r="DJX2" s="44" t="n"/>
      <c r="DJY2" s="44" t="n"/>
      <c r="DJZ2" s="44" t="n"/>
      <c r="DKA2" s="44" t="n"/>
      <c r="DKB2" s="44" t="n"/>
      <c r="DKC2" s="44" t="n"/>
      <c r="DKD2" s="44" t="n"/>
      <c r="DKE2" s="44" t="n"/>
      <c r="DKF2" s="44" t="n"/>
      <c r="DKG2" s="44" t="n"/>
      <c r="DKH2" s="44" t="n"/>
      <c r="DKI2" s="44" t="n"/>
      <c r="DKJ2" s="44" t="n"/>
      <c r="DKK2" s="44" t="n"/>
      <c r="DKL2" s="44" t="n"/>
      <c r="DKM2" s="44" t="n"/>
      <c r="DKN2" s="44" t="n"/>
      <c r="DKO2" s="44" t="n"/>
      <c r="DKP2" s="44" t="n"/>
      <c r="DKQ2" s="44" t="n"/>
      <c r="DKR2" s="44" t="n"/>
      <c r="DKS2" s="44" t="n"/>
      <c r="DKT2" s="44" t="n"/>
      <c r="DKU2" s="44" t="n"/>
      <c r="DKV2" s="44" t="n"/>
      <c r="DKW2" s="44" t="n"/>
      <c r="DKX2" s="44" t="n"/>
      <c r="DKY2" s="44" t="n"/>
      <c r="DKZ2" s="44" t="n"/>
      <c r="DLA2" s="44" t="n"/>
      <c r="DLB2" s="44" t="n"/>
      <c r="DLC2" s="44" t="n"/>
      <c r="DLD2" s="44" t="n"/>
      <c r="DLE2" s="44" t="n"/>
      <c r="DLF2" s="44" t="n"/>
      <c r="DLG2" s="44" t="n"/>
      <c r="DLH2" s="44" t="n"/>
      <c r="DLI2" s="44" t="n"/>
      <c r="DLJ2" s="44" t="n"/>
      <c r="DLK2" s="44" t="n"/>
      <c r="DLL2" s="44" t="n"/>
      <c r="DLM2" s="44" t="n"/>
      <c r="DLN2" s="44" t="n"/>
      <c r="DLO2" s="44" t="n"/>
      <c r="DLP2" s="44" t="n"/>
      <c r="DLQ2" s="44" t="n"/>
      <c r="DLR2" s="44" t="n"/>
      <c r="DLS2" s="44" t="n"/>
      <c r="DLT2" s="44" t="n"/>
      <c r="DLU2" s="44" t="n"/>
      <c r="DLV2" s="44" t="n"/>
      <c r="DLW2" s="44" t="n"/>
      <c r="DLX2" s="44" t="n"/>
      <c r="DLY2" s="44" t="n"/>
      <c r="DLZ2" s="44" t="n"/>
      <c r="DMA2" s="44" t="n"/>
      <c r="DMB2" s="44" t="n"/>
      <c r="DMC2" s="44" t="n"/>
      <c r="DMD2" s="44" t="n"/>
      <c r="DME2" s="44" t="n"/>
      <c r="DMF2" s="44" t="n"/>
      <c r="DMG2" s="44" t="n"/>
      <c r="DMH2" s="44" t="n"/>
      <c r="DMI2" s="44" t="n"/>
      <c r="DMJ2" s="44" t="n"/>
      <c r="DMK2" s="44" t="n"/>
      <c r="DML2" s="44" t="n"/>
      <c r="DMM2" s="44" t="n"/>
      <c r="DMN2" s="44" t="n"/>
      <c r="DMO2" s="44" t="n"/>
      <c r="DMP2" s="44" t="n"/>
      <c r="DMQ2" s="44" t="n"/>
      <c r="DMR2" s="44" t="n"/>
      <c r="DMS2" s="44" t="n"/>
      <c r="DMT2" s="44" t="n"/>
      <c r="DMU2" s="44" t="n"/>
      <c r="DMV2" s="44" t="n"/>
      <c r="DMW2" s="44" t="n"/>
      <c r="DMX2" s="44" t="n"/>
      <c r="DMY2" s="44" t="n"/>
      <c r="DMZ2" s="44" t="n"/>
      <c r="DNA2" s="44" t="n"/>
      <c r="DNB2" s="44" t="n"/>
      <c r="DNC2" s="44" t="n"/>
      <c r="DND2" s="44" t="n"/>
      <c r="DNE2" s="44" t="n"/>
      <c r="DNF2" s="44" t="n"/>
      <c r="DNG2" s="44" t="n"/>
      <c r="DNH2" s="44" t="n"/>
      <c r="DNI2" s="44" t="n"/>
      <c r="DNJ2" s="44" t="n"/>
      <c r="DNK2" s="44" t="n"/>
      <c r="DNL2" s="44" t="n"/>
      <c r="DNM2" s="44" t="n"/>
      <c r="DNN2" s="44" t="n"/>
      <c r="DNO2" s="44" t="n"/>
      <c r="DNP2" s="44" t="n"/>
      <c r="DNQ2" s="44" t="n"/>
      <c r="DNR2" s="44" t="n"/>
      <c r="DNS2" s="44" t="n"/>
      <c r="DNT2" s="44" t="n"/>
      <c r="DNU2" s="44" t="n"/>
      <c r="DNV2" s="44" t="n"/>
      <c r="DNW2" s="44" t="n"/>
      <c r="DNX2" s="44" t="n"/>
      <c r="DNY2" s="44" t="n"/>
      <c r="DNZ2" s="44" t="n"/>
      <c r="DOA2" s="44" t="n"/>
      <c r="DOB2" s="44" t="n"/>
      <c r="DOC2" s="44" t="n"/>
      <c r="DOD2" s="44" t="n"/>
      <c r="DOE2" s="44" t="n"/>
      <c r="DOF2" s="44" t="n"/>
      <c r="DOG2" s="44" t="n"/>
      <c r="DOH2" s="44" t="n"/>
      <c r="DOI2" s="44" t="n"/>
      <c r="DOJ2" s="44" t="n"/>
      <c r="DOK2" s="44" t="n"/>
      <c r="DOL2" s="44" t="n"/>
      <c r="DOM2" s="44" t="n"/>
      <c r="DON2" s="44" t="n"/>
      <c r="DOO2" s="44" t="n"/>
      <c r="DOP2" s="44" t="n"/>
      <c r="DOQ2" s="44" t="n"/>
      <c r="DOR2" s="44" t="n"/>
      <c r="DOS2" s="44" t="n"/>
      <c r="DOT2" s="44" t="n"/>
      <c r="DOU2" s="44" t="n"/>
      <c r="DOV2" s="44" t="n"/>
      <c r="DOW2" s="44" t="n"/>
      <c r="DOX2" s="44" t="n"/>
      <c r="DOY2" s="44" t="n"/>
      <c r="DOZ2" s="44" t="n"/>
      <c r="DPA2" s="44" t="n"/>
      <c r="DPB2" s="44" t="n"/>
      <c r="DPC2" s="44" t="n"/>
      <c r="DPD2" s="44" t="n"/>
      <c r="DPE2" s="44" t="n"/>
      <c r="DPF2" s="44" t="n"/>
      <c r="DPG2" s="44" t="n"/>
      <c r="DPH2" s="44" t="n"/>
      <c r="DPI2" s="44" t="n"/>
      <c r="DPJ2" s="44" t="n"/>
      <c r="DPK2" s="44" t="n"/>
      <c r="DPL2" s="44" t="n"/>
      <c r="DPM2" s="44" t="n"/>
      <c r="DPN2" s="44" t="n"/>
      <c r="DPO2" s="44" t="n"/>
      <c r="DPP2" s="44" t="n"/>
      <c r="DPQ2" s="44" t="n"/>
      <c r="DPR2" s="44" t="n"/>
      <c r="DPS2" s="44" t="n"/>
      <c r="DPT2" s="44" t="n"/>
      <c r="DPU2" s="44" t="n"/>
      <c r="DPV2" s="44" t="n"/>
      <c r="DPW2" s="44" t="n"/>
      <c r="DPX2" s="44" t="n"/>
      <c r="DPY2" s="44" t="n"/>
      <c r="DPZ2" s="44" t="n"/>
      <c r="DQA2" s="44" t="n"/>
      <c r="DQB2" s="44" t="n"/>
      <c r="DQC2" s="44" t="n"/>
      <c r="DQD2" s="44" t="n"/>
      <c r="DQE2" s="44" t="n"/>
      <c r="DQF2" s="44" t="n"/>
      <c r="DQG2" s="44" t="n"/>
      <c r="DQH2" s="44" t="n"/>
      <c r="DQI2" s="44" t="n"/>
      <c r="DQJ2" s="44" t="n"/>
      <c r="DQK2" s="44" t="n"/>
      <c r="DQL2" s="44" t="n"/>
      <c r="DQM2" s="44" t="n"/>
      <c r="DQN2" s="44" t="n"/>
      <c r="DQO2" s="44" t="n"/>
      <c r="DQP2" s="44" t="n"/>
      <c r="DQQ2" s="44" t="n"/>
      <c r="DQR2" s="44" t="n"/>
      <c r="DQS2" s="44" t="n"/>
      <c r="DQT2" s="44" t="n"/>
      <c r="DQU2" s="44" t="n"/>
      <c r="DQV2" s="44" t="n"/>
      <c r="DQW2" s="44" t="n"/>
      <c r="DQX2" s="44" t="n"/>
      <c r="DQY2" s="44" t="n"/>
      <c r="DQZ2" s="44" t="n"/>
      <c r="DRA2" s="44" t="n"/>
      <c r="DRB2" s="44" t="n"/>
      <c r="DRC2" s="44" t="n"/>
      <c r="DRD2" s="44" t="n"/>
      <c r="DRE2" s="44" t="n"/>
      <c r="DRF2" s="44" t="n"/>
      <c r="DRG2" s="44" t="n"/>
      <c r="DRH2" s="44" t="n"/>
      <c r="DRI2" s="44" t="n"/>
      <c r="DRJ2" s="44" t="n"/>
      <c r="DRK2" s="44" t="n"/>
      <c r="DRL2" s="44" t="n"/>
      <c r="DRM2" s="44" t="n"/>
      <c r="DRN2" s="44" t="n"/>
      <c r="DRO2" s="44" t="n"/>
      <c r="DRP2" s="44" t="n"/>
      <c r="DRQ2" s="44" t="n"/>
      <c r="DRR2" s="44" t="n"/>
      <c r="DRS2" s="44" t="n"/>
      <c r="DRT2" s="44" t="n"/>
      <c r="DRU2" s="44" t="n"/>
      <c r="DRV2" s="44" t="n"/>
      <c r="DRW2" s="44" t="n"/>
      <c r="DRX2" s="44" t="n"/>
      <c r="DRY2" s="44" t="n"/>
      <c r="DRZ2" s="44" t="n"/>
      <c r="DSA2" s="44" t="n"/>
      <c r="DSB2" s="44" t="n"/>
      <c r="DSC2" s="44" t="n"/>
      <c r="DSD2" s="44" t="n"/>
      <c r="DSE2" s="44" t="n"/>
      <c r="DSF2" s="44" t="n"/>
      <c r="DSG2" s="44" t="n"/>
      <c r="DSH2" s="44" t="n"/>
      <c r="DSI2" s="44" t="n"/>
      <c r="DSJ2" s="44" t="n"/>
      <c r="DSK2" s="44" t="n"/>
      <c r="DSL2" s="44" t="n"/>
      <c r="DSM2" s="44" t="n"/>
      <c r="DSN2" s="44" t="n"/>
      <c r="DSO2" s="44" t="n"/>
      <c r="DSP2" s="44" t="n"/>
      <c r="DSQ2" s="44" t="n"/>
      <c r="DSR2" s="44" t="n"/>
      <c r="DSS2" s="44" t="n"/>
      <c r="DST2" s="44" t="n"/>
      <c r="DSU2" s="44" t="n"/>
      <c r="DSV2" s="44" t="n"/>
      <c r="DSW2" s="44" t="n"/>
      <c r="DSX2" s="44" t="n"/>
      <c r="DSY2" s="44" t="n"/>
      <c r="DSZ2" s="44" t="n"/>
      <c r="DTA2" s="44" t="n"/>
      <c r="DTB2" s="44" t="n"/>
      <c r="DTC2" s="44" t="n"/>
      <c r="DTD2" s="44" t="n"/>
      <c r="DTE2" s="44" t="n"/>
      <c r="DTF2" s="44" t="n"/>
      <c r="DTG2" s="44" t="n"/>
      <c r="DTH2" s="44" t="n"/>
      <c r="DTI2" s="44" t="n"/>
      <c r="DTJ2" s="44" t="n"/>
      <c r="DTK2" s="44" t="n"/>
      <c r="DTL2" s="44" t="n"/>
      <c r="DTM2" s="44" t="n"/>
      <c r="DTN2" s="44" t="n"/>
      <c r="DTO2" s="44" t="n"/>
      <c r="DTP2" s="44" t="n"/>
      <c r="DTQ2" s="44" t="n"/>
      <c r="DTR2" s="44" t="n"/>
      <c r="DTS2" s="44" t="n"/>
      <c r="DTT2" s="44" t="n"/>
      <c r="DTU2" s="44" t="n"/>
      <c r="DTV2" s="44" t="n"/>
      <c r="DTW2" s="44" t="n"/>
      <c r="DTX2" s="44" t="n"/>
      <c r="DTY2" s="44" t="n"/>
      <c r="DTZ2" s="44" t="n"/>
      <c r="DUA2" s="44" t="n"/>
      <c r="DUB2" s="44" t="n"/>
      <c r="DUC2" s="44" t="n"/>
      <c r="DUD2" s="44" t="n"/>
      <c r="DUE2" s="44" t="n"/>
      <c r="DUF2" s="44" t="n"/>
      <c r="DUG2" s="44" t="n"/>
      <c r="DUH2" s="44" t="n"/>
      <c r="DUI2" s="44" t="n"/>
      <c r="DUJ2" s="44" t="n"/>
      <c r="DUK2" s="44" t="n"/>
      <c r="DUL2" s="44" t="n"/>
      <c r="DUM2" s="44" t="n"/>
      <c r="DUN2" s="44" t="n"/>
      <c r="DUO2" s="44" t="n"/>
      <c r="DUP2" s="44" t="n"/>
      <c r="DUQ2" s="44" t="n"/>
      <c r="DUR2" s="44" t="n"/>
      <c r="DUS2" s="44" t="n"/>
      <c r="DUT2" s="44" t="n"/>
      <c r="DUU2" s="44" t="n"/>
      <c r="DUV2" s="44" t="n"/>
      <c r="DUW2" s="44" t="n"/>
      <c r="DUX2" s="44" t="n"/>
      <c r="DUY2" s="44" t="n"/>
      <c r="DUZ2" s="44" t="n"/>
      <c r="DVA2" s="44" t="n"/>
      <c r="DVB2" s="44" t="n"/>
      <c r="DVC2" s="44" t="n"/>
      <c r="DVD2" s="44" t="n"/>
      <c r="DVE2" s="44" t="n"/>
      <c r="DVF2" s="44" t="n"/>
      <c r="DVG2" s="44" t="n"/>
      <c r="DVH2" s="44" t="n"/>
      <c r="DVI2" s="44" t="n"/>
      <c r="DVJ2" s="44" t="n"/>
      <c r="DVK2" s="44" t="n"/>
      <c r="DVL2" s="44" t="n"/>
      <c r="DVM2" s="44" t="n"/>
      <c r="DVN2" s="44" t="n"/>
      <c r="DVO2" s="44" t="n"/>
      <c r="DVP2" s="44" t="n"/>
      <c r="DVQ2" s="44" t="n"/>
      <c r="DVR2" s="44" t="n"/>
      <c r="DVS2" s="44" t="n"/>
      <c r="DVT2" s="44" t="n"/>
      <c r="DVU2" s="44" t="n"/>
      <c r="DVV2" s="44" t="n"/>
      <c r="DVW2" s="44" t="n"/>
      <c r="DVX2" s="44" t="n"/>
      <c r="DVY2" s="44" t="n"/>
      <c r="DVZ2" s="44" t="n"/>
      <c r="DWA2" s="44" t="n"/>
      <c r="DWB2" s="44" t="n"/>
      <c r="DWC2" s="44" t="n"/>
      <c r="DWD2" s="44" t="n"/>
      <c r="DWE2" s="44" t="n"/>
      <c r="DWF2" s="44" t="n"/>
      <c r="DWG2" s="44" t="n"/>
      <c r="DWH2" s="44" t="n"/>
      <c r="DWI2" s="44" t="n"/>
      <c r="DWJ2" s="44" t="n"/>
      <c r="DWK2" s="44" t="n"/>
      <c r="DWL2" s="44" t="n"/>
      <c r="DWM2" s="44" t="n"/>
      <c r="DWN2" s="44" t="n"/>
      <c r="DWO2" s="44" t="n"/>
      <c r="DWP2" s="44" t="n"/>
      <c r="DWQ2" s="44" t="n"/>
      <c r="DWR2" s="44" t="n"/>
      <c r="DWS2" s="44" t="n"/>
      <c r="DWT2" s="44" t="n"/>
      <c r="DWU2" s="44" t="n"/>
      <c r="DWV2" s="44" t="n"/>
      <c r="DWW2" s="44" t="n"/>
      <c r="DWX2" s="44" t="n"/>
      <c r="DWY2" s="44" t="n"/>
      <c r="DWZ2" s="44" t="n"/>
      <c r="DXA2" s="44" t="n"/>
      <c r="DXB2" s="44" t="n"/>
      <c r="DXC2" s="44" t="n"/>
      <c r="DXD2" s="44" t="n"/>
      <c r="DXE2" s="44" t="n"/>
      <c r="DXF2" s="44" t="n"/>
      <c r="DXG2" s="44" t="n"/>
      <c r="DXH2" s="44" t="n"/>
      <c r="DXI2" s="44" t="n"/>
      <c r="DXJ2" s="44" t="n"/>
      <c r="DXK2" s="44" t="n"/>
      <c r="DXL2" s="44" t="n"/>
      <c r="DXM2" s="44" t="n"/>
      <c r="DXN2" s="44" t="n"/>
      <c r="DXO2" s="44" t="n"/>
      <c r="DXP2" s="44" t="n"/>
      <c r="DXQ2" s="44" t="n"/>
      <c r="DXR2" s="44" t="n"/>
      <c r="DXS2" s="44" t="n"/>
      <c r="DXT2" s="44" t="n"/>
      <c r="DXU2" s="44" t="n"/>
      <c r="DXV2" s="44" t="n"/>
      <c r="DXW2" s="44" t="n"/>
      <c r="DXX2" s="44" t="n"/>
      <c r="DXY2" s="44" t="n"/>
      <c r="DXZ2" s="44" t="n"/>
      <c r="DYA2" s="44" t="n"/>
      <c r="DYB2" s="44" t="n"/>
      <c r="DYC2" s="44" t="n"/>
      <c r="DYD2" s="44" t="n"/>
      <c r="DYE2" s="44" t="n"/>
      <c r="DYF2" s="44" t="n"/>
      <c r="DYG2" s="44" t="n"/>
      <c r="DYH2" s="44" t="n"/>
      <c r="DYI2" s="44" t="n"/>
      <c r="DYJ2" s="44" t="n"/>
      <c r="DYK2" s="44" t="n"/>
      <c r="DYL2" s="44" t="n"/>
      <c r="DYM2" s="44" t="n"/>
      <c r="DYN2" s="44" t="n"/>
      <c r="DYO2" s="44" t="n"/>
      <c r="DYP2" s="44" t="n"/>
      <c r="DYQ2" s="44" t="n"/>
      <c r="DYR2" s="44" t="n"/>
      <c r="DYS2" s="44" t="n"/>
      <c r="DYT2" s="44" t="n"/>
      <c r="DYU2" s="44" t="n"/>
      <c r="DYV2" s="44" t="n"/>
      <c r="DYW2" s="44" t="n"/>
      <c r="DYX2" s="44" t="n"/>
      <c r="DYY2" s="44" t="n"/>
      <c r="DYZ2" s="44" t="n"/>
      <c r="DZA2" s="44" t="n"/>
      <c r="DZB2" s="44" t="n"/>
      <c r="DZC2" s="44" t="n"/>
      <c r="DZD2" s="44" t="n"/>
      <c r="DZE2" s="44" t="n"/>
      <c r="DZF2" s="44" t="n"/>
      <c r="DZG2" s="44" t="n"/>
      <c r="DZH2" s="44" t="n"/>
      <c r="DZI2" s="44" t="n"/>
      <c r="DZJ2" s="44" t="n"/>
      <c r="DZK2" s="44" t="n"/>
      <c r="DZL2" s="44" t="n"/>
      <c r="DZM2" s="44" t="n"/>
      <c r="DZN2" s="44" t="n"/>
      <c r="DZO2" s="44" t="n"/>
      <c r="DZP2" s="44" t="n"/>
      <c r="DZQ2" s="44" t="n"/>
      <c r="DZR2" s="44" t="n"/>
      <c r="DZS2" s="44" t="n"/>
      <c r="DZT2" s="44" t="n"/>
      <c r="DZU2" s="44" t="n"/>
      <c r="DZV2" s="44" t="n"/>
      <c r="DZW2" s="44" t="n"/>
      <c r="DZX2" s="44" t="n"/>
      <c r="DZY2" s="44" t="n"/>
      <c r="DZZ2" s="44" t="n"/>
      <c r="EAA2" s="44" t="n"/>
      <c r="EAB2" s="44" t="n"/>
      <c r="EAC2" s="44" t="n"/>
      <c r="EAD2" s="44" t="n"/>
      <c r="EAE2" s="44" t="n"/>
      <c r="EAF2" s="44" t="n"/>
      <c r="EAG2" s="44" t="n"/>
      <c r="EAH2" s="44" t="n"/>
      <c r="EAI2" s="44" t="n"/>
      <c r="EAJ2" s="44" t="n"/>
      <c r="EAK2" s="44" t="n"/>
      <c r="EAL2" s="44" t="n"/>
      <c r="EAM2" s="44" t="n"/>
      <c r="EAN2" s="44" t="n"/>
      <c r="EAO2" s="44" t="n"/>
      <c r="EAP2" s="44" t="n"/>
      <c r="EAQ2" s="44" t="n"/>
      <c r="EAR2" s="44" t="n"/>
      <c r="EAS2" s="44" t="n"/>
      <c r="EAT2" s="44" t="n"/>
      <c r="EAU2" s="44" t="n"/>
      <c r="EAV2" s="44" t="n"/>
      <c r="EAW2" s="44" t="n"/>
      <c r="EAX2" s="44" t="n"/>
      <c r="EAY2" s="44" t="n"/>
      <c r="EAZ2" s="44" t="n"/>
      <c r="EBA2" s="44" t="n"/>
      <c r="EBB2" s="44" t="n"/>
      <c r="EBC2" s="44" t="n"/>
      <c r="EBD2" s="44" t="n"/>
      <c r="EBE2" s="44" t="n"/>
      <c r="EBF2" s="44" t="n"/>
      <c r="EBG2" s="44" t="n"/>
      <c r="EBH2" s="44" t="n"/>
      <c r="EBI2" s="44" t="n"/>
      <c r="EBJ2" s="44" t="n"/>
      <c r="EBK2" s="44" t="n"/>
      <c r="EBL2" s="44" t="n"/>
      <c r="EBM2" s="44" t="n"/>
      <c r="EBN2" s="44" t="n"/>
      <c r="EBO2" s="44" t="n"/>
      <c r="EBP2" s="44" t="n"/>
      <c r="EBQ2" s="44" t="n"/>
      <c r="EBR2" s="44" t="n"/>
      <c r="EBS2" s="44" t="n"/>
      <c r="EBT2" s="44" t="n"/>
      <c r="EBU2" s="44" t="n"/>
      <c r="EBV2" s="44" t="n"/>
      <c r="EBW2" s="44" t="n"/>
      <c r="EBX2" s="44" t="n"/>
      <c r="EBY2" s="44" t="n"/>
      <c r="EBZ2" s="44" t="n"/>
      <c r="ECA2" s="44" t="n"/>
      <c r="ECB2" s="44" t="n"/>
      <c r="ECC2" s="44" t="n"/>
      <c r="ECD2" s="44" t="n"/>
      <c r="ECE2" s="44" t="n"/>
      <c r="ECF2" s="44" t="n"/>
      <c r="ECG2" s="44" t="n"/>
      <c r="ECH2" s="44" t="n"/>
      <c r="ECI2" s="44" t="n"/>
      <c r="ECJ2" s="44" t="n"/>
      <c r="ECK2" s="44" t="n"/>
      <c r="ECL2" s="44" t="n"/>
      <c r="ECM2" s="44" t="n"/>
      <c r="ECN2" s="44" t="n"/>
      <c r="ECO2" s="44" t="n"/>
      <c r="ECP2" s="44" t="n"/>
      <c r="ECQ2" s="44" t="n"/>
      <c r="ECR2" s="44" t="n"/>
      <c r="ECS2" s="44" t="n"/>
      <c r="ECT2" s="44" t="n"/>
      <c r="ECU2" s="44" t="n"/>
      <c r="ECV2" s="44" t="n"/>
      <c r="ECW2" s="44" t="n"/>
      <c r="ECX2" s="44" t="n"/>
      <c r="ECY2" s="44" t="n"/>
      <c r="ECZ2" s="44" t="n"/>
      <c r="EDA2" s="44" t="n"/>
      <c r="EDB2" s="44" t="n"/>
      <c r="EDC2" s="44" t="n"/>
      <c r="EDD2" s="44" t="n"/>
      <c r="EDE2" s="44" t="n"/>
      <c r="EDF2" s="44" t="n"/>
      <c r="EDG2" s="44" t="n"/>
      <c r="EDH2" s="44" t="n"/>
      <c r="EDI2" s="44" t="n"/>
      <c r="EDJ2" s="44" t="n"/>
      <c r="EDK2" s="44" t="n"/>
      <c r="EDL2" s="44" t="n"/>
      <c r="EDM2" s="44" t="n"/>
      <c r="EDN2" s="44" t="n"/>
      <c r="EDO2" s="44" t="n"/>
      <c r="EDP2" s="44" t="n"/>
      <c r="EDQ2" s="44" t="n"/>
      <c r="EDR2" s="44" t="n"/>
      <c r="EDS2" s="44" t="n"/>
      <c r="EDT2" s="44" t="n"/>
      <c r="EDU2" s="44" t="n"/>
      <c r="EDV2" s="44" t="n"/>
      <c r="EDW2" s="44" t="n"/>
      <c r="EDX2" s="44" t="n"/>
      <c r="EDY2" s="44" t="n"/>
      <c r="EDZ2" s="44" t="n"/>
      <c r="EEA2" s="44" t="n"/>
      <c r="EEB2" s="44" t="n"/>
      <c r="EEC2" s="44" t="n"/>
      <c r="EED2" s="44" t="n"/>
      <c r="EEE2" s="44" t="n"/>
      <c r="EEF2" s="44" t="n"/>
      <c r="EEG2" s="44" t="n"/>
      <c r="EEH2" s="44" t="n"/>
      <c r="EEI2" s="44" t="n"/>
      <c r="EEJ2" s="44" t="n"/>
      <c r="EEK2" s="44" t="n"/>
      <c r="EEL2" s="44" t="n"/>
      <c r="EEM2" s="44" t="n"/>
      <c r="EEN2" s="44" t="n"/>
      <c r="EEO2" s="44" t="n"/>
      <c r="EEP2" s="44" t="n"/>
      <c r="EEQ2" s="44" t="n"/>
      <c r="EER2" s="44" t="n"/>
      <c r="EES2" s="44" t="n"/>
      <c r="EET2" s="44" t="n"/>
      <c r="EEU2" s="44" t="n"/>
      <c r="EEV2" s="44" t="n"/>
      <c r="EEW2" s="44" t="n"/>
      <c r="EEX2" s="44" t="n"/>
      <c r="EEY2" s="44" t="n"/>
      <c r="EEZ2" s="44" t="n"/>
      <c r="EFA2" s="44" t="n"/>
      <c r="EFB2" s="44" t="n"/>
      <c r="EFC2" s="44" t="n"/>
      <c r="EFD2" s="44" t="n"/>
      <c r="EFE2" s="44" t="n"/>
      <c r="EFF2" s="44" t="n"/>
      <c r="EFG2" s="44" t="n"/>
      <c r="EFH2" s="44" t="n"/>
      <c r="EFI2" s="44" t="n"/>
      <c r="EFJ2" s="44" t="n"/>
      <c r="EFK2" s="44" t="n"/>
      <c r="EFL2" s="44" t="n"/>
      <c r="EFM2" s="44" t="n"/>
      <c r="EFN2" s="44" t="n"/>
      <c r="EFO2" s="44" t="n"/>
      <c r="EFP2" s="44" t="n"/>
      <c r="EFQ2" s="44" t="n"/>
      <c r="EFR2" s="44" t="n"/>
      <c r="EFS2" s="44" t="n"/>
      <c r="EFT2" s="44" t="n"/>
      <c r="EFU2" s="44" t="n"/>
      <c r="EFV2" s="44" t="n"/>
      <c r="EFW2" s="44" t="n"/>
      <c r="EFX2" s="44" t="n"/>
      <c r="EFY2" s="44" t="n"/>
      <c r="EFZ2" s="44" t="n"/>
      <c r="EGA2" s="44" t="n"/>
      <c r="EGB2" s="44" t="n"/>
      <c r="EGC2" s="44" t="n"/>
      <c r="EGD2" s="44" t="n"/>
      <c r="EGE2" s="44" t="n"/>
      <c r="EGF2" s="44" t="n"/>
      <c r="EGG2" s="44" t="n"/>
      <c r="EGH2" s="44" t="n"/>
      <c r="EGI2" s="44" t="n"/>
      <c r="EGJ2" s="44" t="n"/>
      <c r="EGK2" s="44" t="n"/>
      <c r="EGL2" s="44" t="n"/>
      <c r="EGM2" s="44" t="n"/>
      <c r="EGN2" s="44" t="n"/>
      <c r="EGO2" s="44" t="n"/>
      <c r="EGP2" s="44" t="n"/>
      <c r="EGQ2" s="44" t="n"/>
      <c r="EGR2" s="44" t="n"/>
      <c r="EGS2" s="44" t="n"/>
      <c r="EGT2" s="44" t="n"/>
      <c r="EGU2" s="44" t="n"/>
      <c r="EGV2" s="44" t="n"/>
      <c r="EGW2" s="44" t="n"/>
      <c r="EGX2" s="44" t="n"/>
      <c r="EGY2" s="44" t="n"/>
      <c r="EGZ2" s="44" t="n"/>
      <c r="EHA2" s="44" t="n"/>
      <c r="EHB2" s="44" t="n"/>
      <c r="EHC2" s="44" t="n"/>
      <c r="EHD2" s="44" t="n"/>
      <c r="EHE2" s="44" t="n"/>
      <c r="EHF2" s="44" t="n"/>
      <c r="EHG2" s="44" t="n"/>
      <c r="EHH2" s="44" t="n"/>
      <c r="EHI2" s="44" t="n"/>
      <c r="EHJ2" s="44" t="n"/>
      <c r="EHK2" s="44" t="n"/>
      <c r="EHL2" s="44" t="n"/>
      <c r="EHM2" s="44" t="n"/>
      <c r="EHN2" s="44" t="n"/>
      <c r="EHO2" s="44" t="n"/>
      <c r="EHP2" s="44" t="n"/>
      <c r="EHQ2" s="44" t="n"/>
      <c r="EHR2" s="44" t="n"/>
      <c r="EHS2" s="44" t="n"/>
      <c r="EHT2" s="44" t="n"/>
      <c r="EHU2" s="44" t="n"/>
      <c r="EHV2" s="44" t="n"/>
      <c r="EHW2" s="44" t="n"/>
      <c r="EHX2" s="44" t="n"/>
      <c r="EHY2" s="44" t="n"/>
      <c r="EHZ2" s="44" t="n"/>
      <c r="EIA2" s="44" t="n"/>
      <c r="EIB2" s="44" t="n"/>
      <c r="EIC2" s="44" t="n"/>
      <c r="EID2" s="44" t="n"/>
      <c r="EIE2" s="44" t="n"/>
      <c r="EIF2" s="44" t="n"/>
      <c r="EIG2" s="44" t="n"/>
      <c r="EIH2" s="44" t="n"/>
      <c r="EII2" s="44" t="n"/>
      <c r="EIJ2" s="44" t="n"/>
      <c r="EIK2" s="44" t="n"/>
      <c r="EIL2" s="44" t="n"/>
      <c r="EIM2" s="44" t="n"/>
      <c r="EIN2" s="44" t="n"/>
      <c r="EIO2" s="44" t="n"/>
      <c r="EIP2" s="44" t="n"/>
      <c r="EIQ2" s="44" t="n"/>
      <c r="EIR2" s="44" t="n"/>
      <c r="EIS2" s="44" t="n"/>
      <c r="EIT2" s="44" t="n"/>
      <c r="EIU2" s="44" t="n"/>
      <c r="EIV2" s="44" t="n"/>
      <c r="EIW2" s="44" t="n"/>
      <c r="EIX2" s="44" t="n"/>
      <c r="EIY2" s="44" t="n"/>
      <c r="EIZ2" s="44" t="n"/>
      <c r="EJA2" s="44" t="n"/>
      <c r="EJB2" s="44" t="n"/>
      <c r="EJC2" s="44" t="n"/>
      <c r="EJD2" s="44" t="n"/>
      <c r="EJE2" s="44" t="n"/>
      <c r="EJF2" s="44" t="n"/>
      <c r="EJG2" s="44" t="n"/>
      <c r="EJH2" s="44" t="n"/>
      <c r="EJI2" s="44" t="n"/>
      <c r="EJJ2" s="44" t="n"/>
      <c r="EJK2" s="44" t="n"/>
      <c r="EJL2" s="44" t="n"/>
      <c r="EJM2" s="44" t="n"/>
      <c r="EJN2" s="44" t="n"/>
      <c r="EJO2" s="44" t="n"/>
      <c r="EJP2" s="44" t="n"/>
      <c r="EJQ2" s="44" t="n"/>
      <c r="EJR2" s="44" t="n"/>
      <c r="EJS2" s="44" t="n"/>
      <c r="EJT2" s="44" t="n"/>
      <c r="EJU2" s="44" t="n"/>
      <c r="EJV2" s="44" t="n"/>
      <c r="EJW2" s="44" t="n"/>
      <c r="EJX2" s="44" t="n"/>
      <c r="EJY2" s="44" t="n"/>
      <c r="EJZ2" s="44" t="n"/>
      <c r="EKA2" s="44" t="n"/>
      <c r="EKB2" s="44" t="n"/>
      <c r="EKC2" s="44" t="n"/>
      <c r="EKD2" s="44" t="n"/>
      <c r="EKE2" s="44" t="n"/>
      <c r="EKF2" s="44" t="n"/>
      <c r="EKG2" s="44" t="n"/>
      <c r="EKH2" s="44" t="n"/>
      <c r="EKI2" s="44" t="n"/>
      <c r="EKJ2" s="44" t="n"/>
      <c r="EKK2" s="44" t="n"/>
      <c r="EKL2" s="44" t="n"/>
      <c r="EKM2" s="44" t="n"/>
      <c r="EKN2" s="44" t="n"/>
      <c r="EKO2" s="44" t="n"/>
      <c r="EKP2" s="44" t="n"/>
      <c r="EKQ2" s="44" t="n"/>
      <c r="EKR2" s="44" t="n"/>
      <c r="EKS2" s="44" t="n"/>
      <c r="EKT2" s="44" t="n"/>
      <c r="EKU2" s="44" t="n"/>
      <c r="EKV2" s="44" t="n"/>
      <c r="EKW2" s="44" t="n"/>
      <c r="EKX2" s="44" t="n"/>
      <c r="EKY2" s="44" t="n"/>
      <c r="EKZ2" s="44" t="n"/>
      <c r="ELA2" s="44" t="n"/>
      <c r="ELB2" s="44" t="n"/>
      <c r="ELC2" s="44" t="n"/>
      <c r="ELD2" s="44" t="n"/>
      <c r="ELE2" s="44" t="n"/>
      <c r="ELF2" s="44" t="n"/>
      <c r="ELG2" s="44" t="n"/>
      <c r="ELH2" s="44" t="n"/>
      <c r="ELI2" s="44" t="n"/>
      <c r="ELJ2" s="44" t="n"/>
      <c r="ELK2" s="44" t="n"/>
      <c r="ELL2" s="44" t="n"/>
      <c r="ELM2" s="44" t="n"/>
      <c r="ELN2" s="44" t="n"/>
      <c r="ELO2" s="44" t="n"/>
      <c r="ELP2" s="44" t="n"/>
      <c r="ELQ2" s="44" t="n"/>
      <c r="ELR2" s="44" t="n"/>
      <c r="ELS2" s="44" t="n"/>
      <c r="ELT2" s="44" t="n"/>
      <c r="ELU2" s="44" t="n"/>
      <c r="ELV2" s="44" t="n"/>
      <c r="ELW2" s="44" t="n"/>
      <c r="ELX2" s="44" t="n"/>
      <c r="ELY2" s="44" t="n"/>
      <c r="ELZ2" s="44" t="n"/>
      <c r="EMA2" s="44" t="n"/>
      <c r="EMB2" s="44" t="n"/>
      <c r="EMC2" s="44" t="n"/>
      <c r="EMD2" s="44" t="n"/>
      <c r="EME2" s="44" t="n"/>
      <c r="EMF2" s="44" t="n"/>
      <c r="EMG2" s="44" t="n"/>
      <c r="EMH2" s="44" t="n"/>
      <c r="EMI2" s="44" t="n"/>
      <c r="EMJ2" s="44" t="n"/>
      <c r="EMK2" s="44" t="n"/>
      <c r="EML2" s="44" t="n"/>
      <c r="EMM2" s="44" t="n"/>
      <c r="EMN2" s="44" t="n"/>
      <c r="EMO2" s="44" t="n"/>
      <c r="EMP2" s="44" t="n"/>
      <c r="EMQ2" s="44" t="n"/>
      <c r="EMR2" s="44" t="n"/>
      <c r="EMS2" s="44" t="n"/>
      <c r="EMT2" s="44" t="n"/>
      <c r="EMU2" s="44" t="n"/>
      <c r="EMV2" s="44" t="n"/>
      <c r="EMW2" s="44" t="n"/>
      <c r="EMX2" s="44" t="n"/>
      <c r="EMY2" s="44" t="n"/>
      <c r="EMZ2" s="44" t="n"/>
      <c r="ENA2" s="44" t="n"/>
      <c r="ENB2" s="44" t="n"/>
      <c r="ENC2" s="44" t="n"/>
      <c r="END2" s="44" t="n"/>
      <c r="ENE2" s="44" t="n"/>
      <c r="ENF2" s="44" t="n"/>
      <c r="ENG2" s="44" t="n"/>
      <c r="ENH2" s="44" t="n"/>
      <c r="ENI2" s="44" t="n"/>
      <c r="ENJ2" s="44" t="n"/>
      <c r="ENK2" s="44" t="n"/>
      <c r="ENL2" s="44" t="n"/>
      <c r="ENM2" s="44" t="n"/>
      <c r="ENN2" s="44" t="n"/>
      <c r="ENO2" s="44" t="n"/>
      <c r="ENP2" s="44" t="n"/>
      <c r="ENQ2" s="44" t="n"/>
      <c r="ENR2" s="44" t="n"/>
      <c r="ENS2" s="44" t="n"/>
      <c r="ENT2" s="44" t="n"/>
      <c r="ENU2" s="44" t="n"/>
      <c r="ENV2" s="44" t="n"/>
      <c r="ENW2" s="44" t="n"/>
      <c r="ENX2" s="44" t="n"/>
      <c r="ENY2" s="44" t="n"/>
      <c r="ENZ2" s="44" t="n"/>
      <c r="EOA2" s="44" t="n"/>
      <c r="EOB2" s="44" t="n"/>
      <c r="EOC2" s="44" t="n"/>
      <c r="EOD2" s="44" t="n"/>
      <c r="EOE2" s="44" t="n"/>
      <c r="EOF2" s="44" t="n"/>
      <c r="EOG2" s="44" t="n"/>
      <c r="EOH2" s="44" t="n"/>
      <c r="EOI2" s="44" t="n"/>
      <c r="EOJ2" s="44" t="n"/>
      <c r="EOK2" s="44" t="n"/>
      <c r="EOL2" s="44" t="n"/>
      <c r="EOM2" s="44" t="n"/>
      <c r="EON2" s="44" t="n"/>
      <c r="EOO2" s="44" t="n"/>
      <c r="EOP2" s="44" t="n"/>
      <c r="EOQ2" s="44" t="n"/>
      <c r="EOR2" s="44" t="n"/>
      <c r="EOS2" s="44" t="n"/>
      <c r="EOT2" s="44" t="n"/>
      <c r="EOU2" s="44" t="n"/>
      <c r="EOV2" s="44" t="n"/>
      <c r="EOW2" s="44" t="n"/>
      <c r="EOX2" s="44" t="n"/>
      <c r="EOY2" s="44" t="n"/>
      <c r="EOZ2" s="44" t="n"/>
      <c r="EPA2" s="44" t="n"/>
      <c r="EPB2" s="44" t="n"/>
      <c r="EPC2" s="44" t="n"/>
      <c r="EPD2" s="44" t="n"/>
      <c r="EPE2" s="44" t="n"/>
      <c r="EPF2" s="44" t="n"/>
      <c r="EPG2" s="44" t="n"/>
      <c r="EPH2" s="44" t="n"/>
      <c r="EPI2" s="44" t="n"/>
      <c r="EPJ2" s="44" t="n"/>
      <c r="EPK2" s="44" t="n"/>
      <c r="EPL2" s="44" t="n"/>
      <c r="EPM2" s="44" t="n"/>
      <c r="EPN2" s="44" t="n"/>
      <c r="EPO2" s="44" t="n"/>
      <c r="EPP2" s="44" t="n"/>
      <c r="EPQ2" s="44" t="n"/>
      <c r="EPR2" s="44" t="n"/>
      <c r="EPS2" s="44" t="n"/>
      <c r="EPT2" s="44" t="n"/>
      <c r="EPU2" s="44" t="n"/>
      <c r="EPV2" s="44" t="n"/>
      <c r="EPW2" s="44" t="n"/>
      <c r="EPX2" s="44" t="n"/>
      <c r="EPY2" s="44" t="n"/>
      <c r="EPZ2" s="44" t="n"/>
      <c r="EQA2" s="44" t="n"/>
      <c r="EQB2" s="44" t="n"/>
      <c r="EQC2" s="44" t="n"/>
      <c r="EQD2" s="44" t="n"/>
      <c r="EQE2" s="44" t="n"/>
      <c r="EQF2" s="44" t="n"/>
      <c r="EQG2" s="44" t="n"/>
      <c r="EQH2" s="44" t="n"/>
      <c r="EQI2" s="44" t="n"/>
      <c r="EQJ2" s="44" t="n"/>
      <c r="EQK2" s="44" t="n"/>
      <c r="EQL2" s="44" t="n"/>
      <c r="EQM2" s="44" t="n"/>
      <c r="EQN2" s="44" t="n"/>
      <c r="EQO2" s="44" t="n"/>
      <c r="EQP2" s="44" t="n"/>
      <c r="EQQ2" s="44" t="n"/>
      <c r="EQR2" s="44" t="n"/>
      <c r="EQS2" s="44" t="n"/>
      <c r="EQT2" s="44" t="n"/>
      <c r="EQU2" s="44" t="n"/>
      <c r="EQV2" s="44" t="n"/>
      <c r="EQW2" s="44" t="n"/>
      <c r="EQX2" s="44" t="n"/>
      <c r="EQY2" s="44" t="n"/>
      <c r="EQZ2" s="44" t="n"/>
      <c r="ERA2" s="44" t="n"/>
      <c r="ERB2" s="44" t="n"/>
      <c r="ERC2" s="44" t="n"/>
      <c r="ERD2" s="44" t="n"/>
      <c r="ERE2" s="44" t="n"/>
      <c r="ERF2" s="44" t="n"/>
      <c r="ERG2" s="44" t="n"/>
      <c r="ERH2" s="44" t="n"/>
      <c r="ERI2" s="44" t="n"/>
      <c r="ERJ2" s="44" t="n"/>
      <c r="ERK2" s="44" t="n"/>
      <c r="ERL2" s="44" t="n"/>
      <c r="ERM2" s="44" t="n"/>
      <c r="ERN2" s="44" t="n"/>
      <c r="ERO2" s="44" t="n"/>
      <c r="ERP2" s="44" t="n"/>
      <c r="ERQ2" s="44" t="n"/>
      <c r="ERR2" s="44" t="n"/>
      <c r="ERS2" s="44" t="n"/>
      <c r="ERT2" s="44" t="n"/>
      <c r="ERU2" s="44" t="n"/>
      <c r="ERV2" s="44" t="n"/>
      <c r="ERW2" s="44" t="n"/>
      <c r="ERX2" s="44" t="n"/>
      <c r="ERY2" s="44" t="n"/>
      <c r="ERZ2" s="44" t="n"/>
      <c r="ESA2" s="44" t="n"/>
      <c r="ESB2" s="44" t="n"/>
      <c r="ESC2" s="44" t="n"/>
      <c r="ESD2" s="44" t="n"/>
      <c r="ESE2" s="44" t="n"/>
      <c r="ESF2" s="44" t="n"/>
      <c r="ESG2" s="44" t="n"/>
      <c r="ESH2" s="44" t="n"/>
      <c r="ESI2" s="44" t="n"/>
      <c r="ESJ2" s="44" t="n"/>
      <c r="ESK2" s="44" t="n"/>
      <c r="ESL2" s="44" t="n"/>
      <c r="ESM2" s="44" t="n"/>
      <c r="ESN2" s="44" t="n"/>
      <c r="ESO2" s="44" t="n"/>
      <c r="ESP2" s="44" t="n"/>
      <c r="ESQ2" s="44" t="n"/>
      <c r="ESR2" s="44" t="n"/>
      <c r="ESS2" s="44" t="n"/>
      <c r="EST2" s="44" t="n"/>
      <c r="ESU2" s="44" t="n"/>
      <c r="ESV2" s="44" t="n"/>
      <c r="ESW2" s="44" t="n"/>
      <c r="ESX2" s="44" t="n"/>
      <c r="ESY2" s="44" t="n"/>
      <c r="ESZ2" s="44" t="n"/>
      <c r="ETA2" s="44" t="n"/>
      <c r="ETB2" s="44" t="n"/>
      <c r="ETC2" s="44" t="n"/>
      <c r="ETD2" s="44" t="n"/>
      <c r="ETE2" s="44" t="n"/>
      <c r="ETF2" s="44" t="n"/>
      <c r="ETG2" s="44" t="n"/>
      <c r="ETH2" s="44" t="n"/>
      <c r="ETI2" s="44" t="n"/>
      <c r="ETJ2" s="44" t="n"/>
      <c r="ETK2" s="44" t="n"/>
      <c r="ETL2" s="44" t="n"/>
      <c r="ETM2" s="44" t="n"/>
      <c r="ETN2" s="44" t="n"/>
      <c r="ETO2" s="44" t="n"/>
      <c r="ETP2" s="44" t="n"/>
      <c r="ETQ2" s="44" t="n"/>
      <c r="ETR2" s="44" t="n"/>
      <c r="ETS2" s="44" t="n"/>
      <c r="ETT2" s="44" t="n"/>
      <c r="ETU2" s="44" t="n"/>
      <c r="ETV2" s="44" t="n"/>
      <c r="ETW2" s="44" t="n"/>
      <c r="ETX2" s="44" t="n"/>
      <c r="ETY2" s="44" t="n"/>
      <c r="ETZ2" s="44" t="n"/>
      <c r="EUA2" s="44" t="n"/>
      <c r="EUB2" s="44" t="n"/>
      <c r="EUC2" s="44" t="n"/>
      <c r="EUD2" s="44" t="n"/>
      <c r="EUE2" s="44" t="n"/>
      <c r="EUF2" s="44" t="n"/>
      <c r="EUG2" s="44" t="n"/>
      <c r="EUH2" s="44" t="n"/>
      <c r="EUI2" s="44" t="n"/>
      <c r="EUJ2" s="44" t="n"/>
      <c r="EUK2" s="44" t="n"/>
      <c r="EUL2" s="44" t="n"/>
      <c r="EUM2" s="44" t="n"/>
      <c r="EUN2" s="44" t="n"/>
      <c r="EUO2" s="44" t="n"/>
      <c r="EUP2" s="44" t="n"/>
      <c r="EUQ2" s="44" t="n"/>
      <c r="EUR2" s="44" t="n"/>
      <c r="EUS2" s="44" t="n"/>
      <c r="EUT2" s="44" t="n"/>
      <c r="EUU2" s="44" t="n"/>
      <c r="EUV2" s="44" t="n"/>
      <c r="EUW2" s="44" t="n"/>
      <c r="EUX2" s="44" t="n"/>
      <c r="EUY2" s="44" t="n"/>
      <c r="EUZ2" s="44" t="n"/>
      <c r="EVA2" s="44" t="n"/>
      <c r="EVB2" s="44" t="n"/>
      <c r="EVC2" s="44" t="n"/>
      <c r="EVD2" s="44" t="n"/>
      <c r="EVE2" s="44" t="n"/>
      <c r="EVF2" s="44" t="n"/>
      <c r="EVG2" s="44" t="n"/>
      <c r="EVH2" s="44" t="n"/>
      <c r="EVI2" s="44" t="n"/>
      <c r="EVJ2" s="44" t="n"/>
      <c r="EVK2" s="44" t="n"/>
      <c r="EVL2" s="44" t="n"/>
      <c r="EVM2" s="44" t="n"/>
      <c r="EVN2" s="44" t="n"/>
      <c r="EVO2" s="44" t="n"/>
      <c r="EVP2" s="44" t="n"/>
      <c r="EVQ2" s="44" t="n"/>
      <c r="EVR2" s="44" t="n"/>
      <c r="EVS2" s="44" t="n"/>
      <c r="EVT2" s="44" t="n"/>
      <c r="EVU2" s="44" t="n"/>
      <c r="EVV2" s="44" t="n"/>
      <c r="EVW2" s="44" t="n"/>
      <c r="EVX2" s="44" t="n"/>
      <c r="EVY2" s="44" t="n"/>
      <c r="EVZ2" s="44" t="n"/>
      <c r="EWA2" s="44" t="n"/>
      <c r="EWB2" s="44" t="n"/>
      <c r="EWC2" s="44" t="n"/>
      <c r="EWD2" s="44" t="n"/>
      <c r="EWE2" s="44" t="n"/>
      <c r="EWF2" s="44" t="n"/>
      <c r="EWG2" s="44" t="n"/>
      <c r="EWH2" s="44" t="n"/>
      <c r="EWI2" s="44" t="n"/>
      <c r="EWJ2" s="44" t="n"/>
      <c r="EWK2" s="44" t="n"/>
      <c r="EWL2" s="44" t="n"/>
      <c r="EWM2" s="44" t="n"/>
      <c r="EWN2" s="44" t="n"/>
      <c r="EWO2" s="44" t="n"/>
      <c r="EWP2" s="44" t="n"/>
      <c r="EWQ2" s="44" t="n"/>
      <c r="EWR2" s="44" t="n"/>
      <c r="EWS2" s="44" t="n"/>
      <c r="EWT2" s="44" t="n"/>
      <c r="EWU2" s="44" t="n"/>
      <c r="EWV2" s="44" t="n"/>
      <c r="EWW2" s="44" t="n"/>
      <c r="EWX2" s="44" t="n"/>
      <c r="EWY2" s="44" t="n"/>
      <c r="EWZ2" s="44" t="n"/>
      <c r="EXA2" s="44" t="n"/>
      <c r="EXB2" s="44" t="n"/>
      <c r="EXC2" s="44" t="n"/>
      <c r="EXD2" s="44" t="n"/>
      <c r="EXE2" s="44" t="n"/>
      <c r="EXF2" s="44" t="n"/>
      <c r="EXG2" s="44" t="n"/>
      <c r="EXH2" s="44" t="n"/>
      <c r="EXI2" s="44" t="n"/>
      <c r="EXJ2" s="44" t="n"/>
      <c r="EXK2" s="44" t="n"/>
      <c r="EXL2" s="44" t="n"/>
      <c r="EXM2" s="44" t="n"/>
      <c r="EXN2" s="44" t="n"/>
      <c r="EXO2" s="44" t="n"/>
      <c r="EXP2" s="44" t="n"/>
      <c r="EXQ2" s="44" t="n"/>
      <c r="EXR2" s="44" t="n"/>
      <c r="EXS2" s="44" t="n"/>
      <c r="EXT2" s="44" t="n"/>
      <c r="EXU2" s="44" t="n"/>
      <c r="EXV2" s="44" t="n"/>
      <c r="EXW2" s="44" t="n"/>
      <c r="EXX2" s="44" t="n"/>
      <c r="EXY2" s="44" t="n"/>
      <c r="EXZ2" s="44" t="n"/>
      <c r="EYA2" s="44" t="n"/>
      <c r="EYB2" s="44" t="n"/>
      <c r="EYC2" s="44" t="n"/>
      <c r="EYD2" s="44" t="n"/>
      <c r="EYE2" s="44" t="n"/>
      <c r="EYF2" s="44" t="n"/>
      <c r="EYG2" s="44" t="n"/>
      <c r="EYH2" s="44" t="n"/>
      <c r="EYI2" s="44" t="n"/>
      <c r="EYJ2" s="44" t="n"/>
      <c r="EYK2" s="44" t="n"/>
      <c r="EYL2" s="44" t="n"/>
      <c r="EYM2" s="44" t="n"/>
      <c r="EYN2" s="44" t="n"/>
      <c r="EYO2" s="44" t="n"/>
      <c r="EYP2" s="44" t="n"/>
      <c r="EYQ2" s="44" t="n"/>
      <c r="EYR2" s="44" t="n"/>
      <c r="EYS2" s="44" t="n"/>
      <c r="EYT2" s="44" t="n"/>
      <c r="EYU2" s="44" t="n"/>
      <c r="EYV2" s="44" t="n"/>
      <c r="EYW2" s="44" t="n"/>
      <c r="EYX2" s="44" t="n"/>
      <c r="EYY2" s="44" t="n"/>
      <c r="EYZ2" s="44" t="n"/>
      <c r="EZA2" s="44" t="n"/>
      <c r="EZB2" s="44" t="n"/>
      <c r="EZC2" s="44" t="n"/>
      <c r="EZD2" s="44" t="n"/>
      <c r="EZE2" s="44" t="n"/>
      <c r="EZF2" s="44" t="n"/>
      <c r="EZG2" s="44" t="n"/>
      <c r="EZH2" s="44" t="n"/>
      <c r="EZI2" s="44" t="n"/>
      <c r="EZJ2" s="44" t="n"/>
      <c r="EZK2" s="44" t="n"/>
      <c r="EZL2" s="44" t="n"/>
      <c r="EZM2" s="44" t="n"/>
      <c r="EZN2" s="44" t="n"/>
      <c r="EZO2" s="44" t="n"/>
      <c r="EZP2" s="44" t="n"/>
      <c r="EZQ2" s="44" t="n"/>
      <c r="EZR2" s="44" t="n"/>
      <c r="EZS2" s="44" t="n"/>
      <c r="EZT2" s="44" t="n"/>
      <c r="EZU2" s="44" t="n"/>
      <c r="EZV2" s="44" t="n"/>
      <c r="EZW2" s="44" t="n"/>
      <c r="EZX2" s="44" t="n"/>
      <c r="EZY2" s="44" t="n"/>
      <c r="EZZ2" s="44" t="n"/>
      <c r="FAA2" s="44" t="n"/>
      <c r="FAB2" s="44" t="n"/>
      <c r="FAC2" s="44" t="n"/>
      <c r="FAD2" s="44" t="n"/>
      <c r="FAE2" s="44" t="n"/>
      <c r="FAF2" s="44" t="n"/>
      <c r="FAG2" s="44" t="n"/>
      <c r="FAH2" s="44" t="n"/>
      <c r="FAI2" s="44" t="n"/>
      <c r="FAJ2" s="44" t="n"/>
      <c r="FAK2" s="44" t="n"/>
      <c r="FAL2" s="44" t="n"/>
      <c r="FAM2" s="44" t="n"/>
      <c r="FAN2" s="44" t="n"/>
      <c r="FAO2" s="44" t="n"/>
      <c r="FAP2" s="44" t="n"/>
      <c r="FAQ2" s="44" t="n"/>
      <c r="FAR2" s="44" t="n"/>
      <c r="FAS2" s="44" t="n"/>
      <c r="FAT2" s="44" t="n"/>
      <c r="FAU2" s="44" t="n"/>
      <c r="FAV2" s="44" t="n"/>
      <c r="FAW2" s="44" t="n"/>
      <c r="FAX2" s="44" t="n"/>
      <c r="FAY2" s="44" t="n"/>
      <c r="FAZ2" s="44" t="n"/>
      <c r="FBA2" s="44" t="n"/>
      <c r="FBB2" s="44" t="n"/>
      <c r="FBC2" s="44" t="n"/>
      <c r="FBD2" s="44" t="n"/>
      <c r="FBE2" s="44" t="n"/>
      <c r="FBF2" s="44" t="n"/>
      <c r="FBG2" s="44" t="n"/>
      <c r="FBH2" s="44" t="n"/>
      <c r="FBI2" s="44" t="n"/>
      <c r="FBJ2" s="44" t="n"/>
      <c r="FBK2" s="44" t="n"/>
      <c r="FBL2" s="44" t="n"/>
      <c r="FBM2" s="44" t="n"/>
      <c r="FBN2" s="44" t="n"/>
      <c r="FBO2" s="44" t="n"/>
      <c r="FBP2" s="44" t="n"/>
      <c r="FBQ2" s="44" t="n"/>
      <c r="FBR2" s="44" t="n"/>
      <c r="FBS2" s="44" t="n"/>
      <c r="FBT2" s="44" t="n"/>
      <c r="FBU2" s="44" t="n"/>
      <c r="FBV2" s="44" t="n"/>
      <c r="FBW2" s="44" t="n"/>
      <c r="FBX2" s="44" t="n"/>
      <c r="FBY2" s="44" t="n"/>
      <c r="FBZ2" s="44" t="n"/>
      <c r="FCA2" s="44" t="n"/>
      <c r="FCB2" s="44" t="n"/>
      <c r="FCC2" s="44" t="n"/>
      <c r="FCD2" s="44" t="n"/>
      <c r="FCE2" s="44" t="n"/>
      <c r="FCF2" s="44" t="n"/>
      <c r="FCG2" s="44" t="n"/>
      <c r="FCH2" s="44" t="n"/>
      <c r="FCI2" s="44" t="n"/>
      <c r="FCJ2" s="44" t="n"/>
      <c r="FCK2" s="44" t="n"/>
      <c r="FCL2" s="44" t="n"/>
      <c r="FCM2" s="44" t="n"/>
      <c r="FCN2" s="44" t="n"/>
      <c r="FCO2" s="44" t="n"/>
      <c r="FCP2" s="44" t="n"/>
      <c r="FCQ2" s="44" t="n"/>
      <c r="FCR2" s="44" t="n"/>
      <c r="FCS2" s="44" t="n"/>
      <c r="FCT2" s="44" t="n"/>
      <c r="FCU2" s="44" t="n"/>
      <c r="FCV2" s="44" t="n"/>
      <c r="FCW2" s="44" t="n"/>
      <c r="FCX2" s="44" t="n"/>
      <c r="FCY2" s="44" t="n"/>
      <c r="FCZ2" s="44" t="n"/>
      <c r="FDA2" s="44" t="n"/>
      <c r="FDB2" s="44" t="n"/>
      <c r="FDC2" s="44" t="n"/>
      <c r="FDD2" s="44" t="n"/>
      <c r="FDE2" s="44" t="n"/>
      <c r="FDF2" s="44" t="n"/>
      <c r="FDG2" s="44" t="n"/>
      <c r="FDH2" s="44" t="n"/>
      <c r="FDI2" s="44" t="n"/>
      <c r="FDJ2" s="44" t="n"/>
      <c r="FDK2" s="44" t="n"/>
      <c r="FDL2" s="44" t="n"/>
      <c r="FDM2" s="44" t="n"/>
      <c r="FDN2" s="44" t="n"/>
      <c r="FDO2" s="44" t="n"/>
      <c r="FDP2" s="44" t="n"/>
      <c r="FDQ2" s="44" t="n"/>
      <c r="FDR2" s="44" t="n"/>
      <c r="FDS2" s="44" t="n"/>
      <c r="FDT2" s="44" t="n"/>
      <c r="FDU2" s="44" t="n"/>
      <c r="FDV2" s="44" t="n"/>
      <c r="FDW2" s="44" t="n"/>
      <c r="FDX2" s="44" t="n"/>
      <c r="FDY2" s="44" t="n"/>
      <c r="FDZ2" s="44" t="n"/>
      <c r="FEA2" s="44" t="n"/>
      <c r="FEB2" s="44" t="n"/>
      <c r="FEC2" s="44" t="n"/>
      <c r="FED2" s="44" t="n"/>
      <c r="FEE2" s="44" t="n"/>
      <c r="FEF2" s="44" t="n"/>
      <c r="FEG2" s="44" t="n"/>
      <c r="FEH2" s="44" t="n"/>
      <c r="FEI2" s="44" t="n"/>
      <c r="FEJ2" s="44" t="n"/>
      <c r="FEK2" s="44" t="n"/>
      <c r="FEL2" s="44" t="n"/>
      <c r="FEM2" s="44" t="n"/>
      <c r="FEN2" s="44" t="n"/>
      <c r="FEO2" s="44" t="n"/>
      <c r="FEP2" s="44" t="n"/>
      <c r="FEQ2" s="44" t="n"/>
      <c r="FER2" s="44" t="n"/>
      <c r="FES2" s="44" t="n"/>
      <c r="FET2" s="44" t="n"/>
      <c r="FEU2" s="44" t="n"/>
      <c r="FEV2" s="44" t="n"/>
      <c r="FEW2" s="44" t="n"/>
      <c r="FEX2" s="44" t="n"/>
      <c r="FEY2" s="44" t="n"/>
      <c r="FEZ2" s="44" t="n"/>
      <c r="FFA2" s="44" t="n"/>
      <c r="FFB2" s="44" t="n"/>
      <c r="FFC2" s="44" t="n"/>
      <c r="FFD2" s="44" t="n"/>
      <c r="FFE2" s="44" t="n"/>
      <c r="FFF2" s="44" t="n"/>
      <c r="FFG2" s="44" t="n"/>
      <c r="FFH2" s="44" t="n"/>
      <c r="FFI2" s="44" t="n"/>
      <c r="FFJ2" s="44" t="n"/>
      <c r="FFK2" s="44" t="n"/>
      <c r="FFL2" s="44" t="n"/>
      <c r="FFM2" s="44" t="n"/>
      <c r="FFN2" s="44" t="n"/>
      <c r="FFO2" s="44" t="n"/>
      <c r="FFP2" s="44" t="n"/>
      <c r="FFQ2" s="44" t="n"/>
      <c r="FFR2" s="44" t="n"/>
      <c r="FFS2" s="44" t="n"/>
      <c r="FFT2" s="44" t="n"/>
      <c r="FFU2" s="44" t="n"/>
      <c r="FFV2" s="44" t="n"/>
      <c r="FFW2" s="44" t="n"/>
      <c r="FFX2" s="44" t="n"/>
      <c r="FFY2" s="44" t="n"/>
      <c r="FFZ2" s="44" t="n"/>
      <c r="FGA2" s="44" t="n"/>
      <c r="FGB2" s="44" t="n"/>
      <c r="FGC2" s="44" t="n"/>
      <c r="FGD2" s="44" t="n"/>
      <c r="FGE2" s="44" t="n"/>
      <c r="FGF2" s="44" t="n"/>
      <c r="FGG2" s="44" t="n"/>
      <c r="FGH2" s="44" t="n"/>
      <c r="FGI2" s="44" t="n"/>
      <c r="FGJ2" s="44" t="n"/>
      <c r="FGK2" s="44" t="n"/>
      <c r="FGL2" s="44" t="n"/>
      <c r="FGM2" s="44" t="n"/>
      <c r="FGN2" s="44" t="n"/>
      <c r="FGO2" s="44" t="n"/>
      <c r="FGP2" s="44" t="n"/>
      <c r="FGQ2" s="44" t="n"/>
      <c r="FGR2" s="44" t="n"/>
      <c r="FGS2" s="44" t="n"/>
      <c r="FGT2" s="44" t="n"/>
      <c r="FGU2" s="44" t="n"/>
      <c r="FGV2" s="44" t="n"/>
      <c r="FGW2" s="44" t="n"/>
      <c r="FGX2" s="44" t="n"/>
      <c r="FGY2" s="44" t="n"/>
      <c r="FGZ2" s="44" t="n"/>
      <c r="FHA2" s="44" t="n"/>
      <c r="FHB2" s="44" t="n"/>
      <c r="FHC2" s="44" t="n"/>
      <c r="FHD2" s="44" t="n"/>
      <c r="FHE2" s="44" t="n"/>
      <c r="FHF2" s="44" t="n"/>
      <c r="FHG2" s="44" t="n"/>
      <c r="FHH2" s="44" t="n"/>
      <c r="FHI2" s="44" t="n"/>
      <c r="FHJ2" s="44" t="n"/>
      <c r="FHK2" s="44" t="n"/>
      <c r="FHL2" s="44" t="n"/>
      <c r="FHM2" s="44" t="n"/>
      <c r="FHN2" s="44" t="n"/>
      <c r="FHO2" s="44" t="n"/>
      <c r="FHP2" s="44" t="n"/>
      <c r="FHQ2" s="44" t="n"/>
      <c r="FHR2" s="44" t="n"/>
      <c r="FHS2" s="44" t="n"/>
      <c r="FHT2" s="44" t="n"/>
      <c r="FHU2" s="44" t="n"/>
      <c r="FHV2" s="44" t="n"/>
      <c r="FHW2" s="44" t="n"/>
      <c r="FHX2" s="44" t="n"/>
      <c r="FHY2" s="44" t="n"/>
      <c r="FHZ2" s="44" t="n"/>
      <c r="FIA2" s="44" t="n"/>
      <c r="FIB2" s="44" t="n"/>
      <c r="FIC2" s="44" t="n"/>
      <c r="FID2" s="44" t="n"/>
      <c r="FIE2" s="44" t="n"/>
      <c r="FIF2" s="44" t="n"/>
      <c r="FIG2" s="44" t="n"/>
      <c r="FIH2" s="44" t="n"/>
      <c r="FII2" s="44" t="n"/>
      <c r="FIJ2" s="44" t="n"/>
      <c r="FIK2" s="44" t="n"/>
      <c r="FIL2" s="44" t="n"/>
      <c r="FIM2" s="44" t="n"/>
      <c r="FIN2" s="44" t="n"/>
      <c r="FIO2" s="44" t="n"/>
      <c r="FIP2" s="44" t="n"/>
      <c r="FIQ2" s="44" t="n"/>
      <c r="FIR2" s="44" t="n"/>
      <c r="FIS2" s="44" t="n"/>
      <c r="FIT2" s="44" t="n"/>
      <c r="FIU2" s="44" t="n"/>
      <c r="FIV2" s="44" t="n"/>
      <c r="FIW2" s="44" t="n"/>
      <c r="FIX2" s="44" t="n"/>
      <c r="FIY2" s="44" t="n"/>
      <c r="FIZ2" s="44" t="n"/>
      <c r="FJA2" s="44" t="n"/>
      <c r="FJB2" s="44" t="n"/>
      <c r="FJC2" s="44" t="n"/>
      <c r="FJD2" s="44" t="n"/>
      <c r="FJE2" s="44" t="n"/>
      <c r="FJF2" s="44" t="n"/>
      <c r="FJG2" s="44" t="n"/>
      <c r="FJH2" s="44" t="n"/>
      <c r="FJI2" s="44" t="n"/>
      <c r="FJJ2" s="44" t="n"/>
      <c r="FJK2" s="44" t="n"/>
      <c r="FJL2" s="44" t="n"/>
      <c r="FJM2" s="44" t="n"/>
      <c r="FJN2" s="44" t="n"/>
      <c r="FJO2" s="44" t="n"/>
      <c r="FJP2" s="44" t="n"/>
      <c r="FJQ2" s="44" t="n"/>
      <c r="FJR2" s="44" t="n"/>
      <c r="FJS2" s="44" t="n"/>
      <c r="FJT2" s="44" t="n"/>
      <c r="FJU2" s="44" t="n"/>
      <c r="FJV2" s="44" t="n"/>
      <c r="FJW2" s="44" t="n"/>
      <c r="FJX2" s="44" t="n"/>
      <c r="FJY2" s="44" t="n"/>
      <c r="FJZ2" s="44" t="n"/>
      <c r="FKA2" s="44" t="n"/>
      <c r="FKB2" s="44" t="n"/>
      <c r="FKC2" s="44" t="n"/>
      <c r="FKD2" s="44" t="n"/>
      <c r="FKE2" s="44" t="n"/>
      <c r="FKF2" s="44" t="n"/>
      <c r="FKG2" s="44" t="n"/>
      <c r="FKH2" s="44" t="n"/>
      <c r="FKI2" s="44" t="n"/>
      <c r="FKJ2" s="44" t="n"/>
      <c r="FKK2" s="44" t="n"/>
      <c r="FKL2" s="44" t="n"/>
      <c r="FKM2" s="44" t="n"/>
      <c r="FKN2" s="44" t="n"/>
      <c r="FKO2" s="44" t="n"/>
      <c r="FKP2" s="44" t="n"/>
      <c r="FKQ2" s="44" t="n"/>
      <c r="FKR2" s="44" t="n"/>
      <c r="FKS2" s="44" t="n"/>
      <c r="FKT2" s="44" t="n"/>
      <c r="FKU2" s="44" t="n"/>
      <c r="FKV2" s="44" t="n"/>
      <c r="FKW2" s="44" t="n"/>
      <c r="FKX2" s="44" t="n"/>
      <c r="FKY2" s="44" t="n"/>
      <c r="FKZ2" s="44" t="n"/>
      <c r="FLA2" s="44" t="n"/>
      <c r="FLB2" s="44" t="n"/>
      <c r="FLC2" s="44" t="n"/>
      <c r="FLD2" s="44" t="n"/>
      <c r="FLE2" s="44" t="n"/>
      <c r="FLF2" s="44" t="n"/>
      <c r="FLG2" s="44" t="n"/>
      <c r="FLH2" s="44" t="n"/>
      <c r="FLI2" s="44" t="n"/>
      <c r="FLJ2" s="44" t="n"/>
      <c r="FLK2" s="44" t="n"/>
      <c r="FLL2" s="44" t="n"/>
      <c r="FLM2" s="44" t="n"/>
      <c r="FLN2" s="44" t="n"/>
      <c r="FLO2" s="44" t="n"/>
      <c r="FLP2" s="44" t="n"/>
      <c r="FLQ2" s="44" t="n"/>
      <c r="FLR2" s="44" t="n"/>
      <c r="FLS2" s="44" t="n"/>
      <c r="FLT2" s="44" t="n"/>
      <c r="FLU2" s="44" t="n"/>
      <c r="FLV2" s="44" t="n"/>
      <c r="FLW2" s="44" t="n"/>
      <c r="FLX2" s="44" t="n"/>
      <c r="FLY2" s="44" t="n"/>
      <c r="FLZ2" s="44" t="n"/>
      <c r="FMA2" s="44" t="n"/>
      <c r="FMB2" s="44" t="n"/>
      <c r="FMC2" s="44" t="n"/>
      <c r="FMD2" s="44" t="n"/>
      <c r="FME2" s="44" t="n"/>
      <c r="FMF2" s="44" t="n"/>
      <c r="FMG2" s="44" t="n"/>
      <c r="FMH2" s="44" t="n"/>
      <c r="FMI2" s="44" t="n"/>
      <c r="FMJ2" s="44" t="n"/>
      <c r="FMK2" s="44" t="n"/>
      <c r="FML2" s="44" t="n"/>
      <c r="FMM2" s="44" t="n"/>
      <c r="FMN2" s="44" t="n"/>
      <c r="FMO2" s="44" t="n"/>
      <c r="FMP2" s="44" t="n"/>
      <c r="FMQ2" s="44" t="n"/>
      <c r="FMR2" s="44" t="n"/>
      <c r="FMS2" s="44" t="n"/>
      <c r="FMT2" s="44" t="n"/>
      <c r="FMU2" s="44" t="n"/>
      <c r="FMV2" s="44" t="n"/>
      <c r="FMW2" s="44" t="n"/>
      <c r="FMX2" s="44" t="n"/>
      <c r="FMY2" s="44" t="n"/>
      <c r="FMZ2" s="44" t="n"/>
      <c r="FNA2" s="44" t="n"/>
      <c r="FNB2" s="44" t="n"/>
      <c r="FNC2" s="44" t="n"/>
      <c r="FND2" s="44" t="n"/>
      <c r="FNE2" s="44" t="n"/>
      <c r="FNF2" s="44" t="n"/>
      <c r="FNG2" s="44" t="n"/>
      <c r="FNH2" s="44" t="n"/>
      <c r="FNI2" s="44" t="n"/>
      <c r="FNJ2" s="44" t="n"/>
      <c r="FNK2" s="44" t="n"/>
      <c r="FNL2" s="44" t="n"/>
      <c r="FNM2" s="44" t="n"/>
      <c r="FNN2" s="44" t="n"/>
      <c r="FNO2" s="44" t="n"/>
      <c r="FNP2" s="44" t="n"/>
      <c r="FNQ2" s="44" t="n"/>
      <c r="FNR2" s="44" t="n"/>
      <c r="FNS2" s="44" t="n"/>
      <c r="FNT2" s="44" t="n"/>
      <c r="FNU2" s="44" t="n"/>
      <c r="FNV2" s="44" t="n"/>
      <c r="FNW2" s="44" t="n"/>
      <c r="FNX2" s="44" t="n"/>
      <c r="FNY2" s="44" t="n"/>
      <c r="FNZ2" s="44" t="n"/>
      <c r="FOA2" s="44" t="n"/>
      <c r="FOB2" s="44" t="n"/>
      <c r="FOC2" s="44" t="n"/>
      <c r="FOD2" s="44" t="n"/>
      <c r="FOE2" s="44" t="n"/>
      <c r="FOF2" s="44" t="n"/>
      <c r="FOG2" s="44" t="n"/>
      <c r="FOH2" s="44" t="n"/>
      <c r="FOI2" s="44" t="n"/>
      <c r="FOJ2" s="44" t="n"/>
      <c r="FOK2" s="44" t="n"/>
      <c r="FOL2" s="44" t="n"/>
      <c r="FOM2" s="44" t="n"/>
      <c r="FON2" s="44" t="n"/>
      <c r="FOO2" s="44" t="n"/>
      <c r="FOP2" s="44" t="n"/>
      <c r="FOQ2" s="44" t="n"/>
      <c r="FOR2" s="44" t="n"/>
      <c r="FOS2" s="44" t="n"/>
      <c r="FOT2" s="44" t="n"/>
      <c r="FOU2" s="44" t="n"/>
      <c r="FOV2" s="44" t="n"/>
      <c r="FOW2" s="44" t="n"/>
      <c r="FOX2" s="44" t="n"/>
      <c r="FOY2" s="44" t="n"/>
      <c r="FOZ2" s="44" t="n"/>
      <c r="FPA2" s="44" t="n"/>
      <c r="FPB2" s="44" t="n"/>
      <c r="FPC2" s="44" t="n"/>
      <c r="FPD2" s="44" t="n"/>
      <c r="FPE2" s="44" t="n"/>
      <c r="FPF2" s="44" t="n"/>
      <c r="FPG2" s="44" t="n"/>
      <c r="FPH2" s="44" t="n"/>
      <c r="FPI2" s="44" t="n"/>
      <c r="FPJ2" s="44" t="n"/>
      <c r="FPK2" s="44" t="n"/>
      <c r="FPL2" s="44" t="n"/>
      <c r="FPM2" s="44" t="n"/>
      <c r="FPN2" s="44" t="n"/>
      <c r="FPO2" s="44" t="n"/>
      <c r="FPP2" s="44" t="n"/>
      <c r="FPQ2" s="44" t="n"/>
      <c r="FPR2" s="44" t="n"/>
      <c r="FPS2" s="44" t="n"/>
      <c r="FPT2" s="44" t="n"/>
      <c r="FPU2" s="44" t="n"/>
      <c r="FPV2" s="44" t="n"/>
      <c r="FPW2" s="44" t="n"/>
      <c r="FPX2" s="44" t="n"/>
      <c r="FPY2" s="44" t="n"/>
      <c r="FPZ2" s="44" t="n"/>
      <c r="FQA2" s="44" t="n"/>
      <c r="FQB2" s="44" t="n"/>
      <c r="FQC2" s="44" t="n"/>
      <c r="FQD2" s="44" t="n"/>
      <c r="FQE2" s="44" t="n"/>
      <c r="FQF2" s="44" t="n"/>
      <c r="FQG2" s="44" t="n"/>
      <c r="FQH2" s="44" t="n"/>
      <c r="FQI2" s="44" t="n"/>
      <c r="FQJ2" s="44" t="n"/>
      <c r="FQK2" s="44" t="n"/>
      <c r="FQL2" s="44" t="n"/>
      <c r="FQM2" s="44" t="n"/>
      <c r="FQN2" s="44" t="n"/>
      <c r="FQO2" s="44" t="n"/>
      <c r="FQP2" s="44" t="n"/>
      <c r="FQQ2" s="44" t="n"/>
      <c r="FQR2" s="44" t="n"/>
      <c r="FQS2" s="44" t="n"/>
      <c r="FQT2" s="44" t="n"/>
      <c r="FQU2" s="44" t="n"/>
      <c r="FQV2" s="44" t="n"/>
      <c r="FQW2" s="44" t="n"/>
      <c r="FQX2" s="44" t="n"/>
      <c r="FQY2" s="44" t="n"/>
      <c r="FQZ2" s="44" t="n"/>
      <c r="FRA2" s="44" t="n"/>
      <c r="FRB2" s="44" t="n"/>
      <c r="FRC2" s="44" t="n"/>
      <c r="FRD2" s="44" t="n"/>
      <c r="FRE2" s="44" t="n"/>
      <c r="FRF2" s="44" t="n"/>
      <c r="FRG2" s="44" t="n"/>
      <c r="FRH2" s="44" t="n"/>
      <c r="FRI2" s="44" t="n"/>
      <c r="FRJ2" s="44" t="n"/>
      <c r="FRK2" s="44" t="n"/>
      <c r="FRL2" s="44" t="n"/>
      <c r="FRM2" s="44" t="n"/>
      <c r="FRN2" s="44" t="n"/>
      <c r="FRO2" s="44" t="n"/>
      <c r="FRP2" s="44" t="n"/>
      <c r="FRQ2" s="44" t="n"/>
      <c r="FRR2" s="44" t="n"/>
      <c r="FRS2" s="44" t="n"/>
      <c r="FRT2" s="44" t="n"/>
      <c r="FRU2" s="44" t="n"/>
      <c r="FRV2" s="44" t="n"/>
      <c r="FRW2" s="44" t="n"/>
      <c r="FRX2" s="44" t="n"/>
      <c r="FRY2" s="44" t="n"/>
      <c r="FRZ2" s="44" t="n"/>
      <c r="FSA2" s="44" t="n"/>
      <c r="FSB2" s="44" t="n"/>
      <c r="FSC2" s="44" t="n"/>
      <c r="FSD2" s="44" t="n"/>
      <c r="FSE2" s="44" t="n"/>
      <c r="FSF2" s="44" t="n"/>
      <c r="FSG2" s="44" t="n"/>
      <c r="FSH2" s="44" t="n"/>
      <c r="FSI2" s="44" t="n"/>
      <c r="FSJ2" s="44" t="n"/>
      <c r="FSK2" s="44" t="n"/>
      <c r="FSL2" s="44" t="n"/>
      <c r="FSM2" s="44" t="n"/>
      <c r="FSN2" s="44" t="n"/>
      <c r="FSO2" s="44" t="n"/>
      <c r="FSP2" s="44" t="n"/>
      <c r="FSQ2" s="44" t="n"/>
      <c r="FSR2" s="44" t="n"/>
      <c r="FSS2" s="44" t="n"/>
      <c r="FST2" s="44" t="n"/>
      <c r="FSU2" s="44" t="n"/>
      <c r="FSV2" s="44" t="n"/>
      <c r="FSW2" s="44" t="n"/>
      <c r="FSX2" s="44" t="n"/>
      <c r="FSY2" s="44" t="n"/>
      <c r="FSZ2" s="44" t="n"/>
      <c r="FTA2" s="44" t="n"/>
      <c r="FTB2" s="44" t="n"/>
      <c r="FTC2" s="44" t="n"/>
      <c r="FTD2" s="44" t="n"/>
      <c r="FTE2" s="44" t="n"/>
      <c r="FTF2" s="44" t="n"/>
      <c r="FTG2" s="44" t="n"/>
      <c r="FTH2" s="44" t="n"/>
      <c r="FTI2" s="44" t="n"/>
      <c r="FTJ2" s="44" t="n"/>
      <c r="FTK2" s="44" t="n"/>
      <c r="FTL2" s="44" t="n"/>
      <c r="FTM2" s="44" t="n"/>
      <c r="FTN2" s="44" t="n"/>
      <c r="FTO2" s="44" t="n"/>
      <c r="FTP2" s="44" t="n"/>
      <c r="FTQ2" s="44" t="n"/>
      <c r="FTR2" s="44" t="n"/>
      <c r="FTS2" s="44" t="n"/>
      <c r="FTT2" s="44" t="n"/>
      <c r="FTU2" s="44" t="n"/>
      <c r="FTV2" s="44" t="n"/>
      <c r="FTW2" s="44" t="n"/>
      <c r="FTX2" s="44" t="n"/>
      <c r="FTY2" s="44" t="n"/>
      <c r="FTZ2" s="44" t="n"/>
      <c r="FUA2" s="44" t="n"/>
      <c r="FUB2" s="44" t="n"/>
      <c r="FUC2" s="44" t="n"/>
      <c r="FUD2" s="44" t="n"/>
      <c r="FUE2" s="44" t="n"/>
      <c r="FUF2" s="44" t="n"/>
      <c r="FUG2" s="44" t="n"/>
      <c r="FUH2" s="44" t="n"/>
      <c r="FUI2" s="44" t="n"/>
      <c r="FUJ2" s="44" t="n"/>
      <c r="FUK2" s="44" t="n"/>
      <c r="FUL2" s="44" t="n"/>
      <c r="FUM2" s="44" t="n"/>
      <c r="FUN2" s="44" t="n"/>
      <c r="FUO2" s="44" t="n"/>
      <c r="FUP2" s="44" t="n"/>
      <c r="FUQ2" s="44" t="n"/>
      <c r="FUR2" s="44" t="n"/>
      <c r="FUS2" s="44" t="n"/>
      <c r="FUT2" s="44" t="n"/>
      <c r="FUU2" s="44" t="n"/>
      <c r="FUV2" s="44" t="n"/>
      <c r="FUW2" s="44" t="n"/>
      <c r="FUX2" s="44" t="n"/>
      <c r="FUY2" s="44" t="n"/>
      <c r="FUZ2" s="44" t="n"/>
      <c r="FVA2" s="44" t="n"/>
      <c r="FVB2" s="44" t="n"/>
      <c r="FVC2" s="44" t="n"/>
      <c r="FVD2" s="44" t="n"/>
      <c r="FVE2" s="44" t="n"/>
      <c r="FVF2" s="44" t="n"/>
      <c r="FVG2" s="44" t="n"/>
      <c r="FVH2" s="44" t="n"/>
      <c r="FVI2" s="44" t="n"/>
      <c r="FVJ2" s="44" t="n"/>
      <c r="FVK2" s="44" t="n"/>
      <c r="FVL2" s="44" t="n"/>
      <c r="FVM2" s="44" t="n"/>
      <c r="FVN2" s="44" t="n"/>
      <c r="FVO2" s="44" t="n"/>
      <c r="FVP2" s="44" t="n"/>
      <c r="FVQ2" s="44" t="n"/>
      <c r="FVR2" s="44" t="n"/>
      <c r="FVS2" s="44" t="n"/>
      <c r="FVT2" s="44" t="n"/>
      <c r="FVU2" s="44" t="n"/>
      <c r="FVV2" s="44" t="n"/>
      <c r="FVW2" s="44" t="n"/>
      <c r="FVX2" s="44" t="n"/>
      <c r="FVY2" s="44" t="n"/>
      <c r="FVZ2" s="44" t="n"/>
      <c r="FWA2" s="44" t="n"/>
      <c r="FWB2" s="44" t="n"/>
      <c r="FWC2" s="44" t="n"/>
      <c r="FWD2" s="44" t="n"/>
      <c r="FWE2" s="44" t="n"/>
      <c r="FWF2" s="44" t="n"/>
      <c r="FWG2" s="44" t="n"/>
      <c r="FWH2" s="44" t="n"/>
      <c r="FWI2" s="44" t="n"/>
      <c r="FWJ2" s="44" t="n"/>
      <c r="FWK2" s="44" t="n"/>
      <c r="FWL2" s="44" t="n"/>
      <c r="FWM2" s="44" t="n"/>
      <c r="FWN2" s="44" t="n"/>
      <c r="FWO2" s="44" t="n"/>
      <c r="FWP2" s="44" t="n"/>
      <c r="FWQ2" s="44" t="n"/>
      <c r="FWR2" s="44" t="n"/>
      <c r="FWS2" s="44" t="n"/>
      <c r="FWT2" s="44" t="n"/>
      <c r="FWU2" s="44" t="n"/>
      <c r="FWV2" s="44" t="n"/>
      <c r="FWW2" s="44" t="n"/>
      <c r="FWX2" s="44" t="n"/>
      <c r="FWY2" s="44" t="n"/>
      <c r="FWZ2" s="44" t="n"/>
      <c r="FXA2" s="44" t="n"/>
      <c r="FXB2" s="44" t="n"/>
      <c r="FXC2" s="44" t="n"/>
      <c r="FXD2" s="44" t="n"/>
      <c r="FXE2" s="44" t="n"/>
      <c r="FXF2" s="44" t="n"/>
      <c r="FXG2" s="44" t="n"/>
      <c r="FXH2" s="44" t="n"/>
      <c r="FXI2" s="44" t="n"/>
      <c r="FXJ2" s="44" t="n"/>
      <c r="FXK2" s="44" t="n"/>
      <c r="FXL2" s="44" t="n"/>
      <c r="FXM2" s="44" t="n"/>
      <c r="FXN2" s="44" t="n"/>
      <c r="FXO2" s="44" t="n"/>
      <c r="FXP2" s="44" t="n"/>
      <c r="FXQ2" s="44" t="n"/>
      <c r="FXR2" s="44" t="n"/>
      <c r="FXS2" s="44" t="n"/>
      <c r="FXT2" s="44" t="n"/>
      <c r="FXU2" s="44" t="n"/>
      <c r="FXV2" s="44" t="n"/>
      <c r="FXW2" s="44" t="n"/>
      <c r="FXX2" s="44" t="n"/>
      <c r="FXY2" s="44" t="n"/>
      <c r="FXZ2" s="44" t="n"/>
      <c r="FYA2" s="44" t="n"/>
      <c r="FYB2" s="44" t="n"/>
      <c r="FYC2" s="44" t="n"/>
      <c r="FYD2" s="44" t="n"/>
      <c r="FYE2" s="44" t="n"/>
      <c r="FYF2" s="44" t="n"/>
      <c r="FYG2" s="44" t="n"/>
      <c r="FYH2" s="44" t="n"/>
      <c r="FYI2" s="44" t="n"/>
      <c r="FYJ2" s="44" t="n"/>
      <c r="FYK2" s="44" t="n"/>
      <c r="FYL2" s="44" t="n"/>
      <c r="FYM2" s="44" t="n"/>
      <c r="FYN2" s="44" t="n"/>
      <c r="FYO2" s="44" t="n"/>
      <c r="FYP2" s="44" t="n"/>
      <c r="FYQ2" s="44" t="n"/>
      <c r="FYR2" s="44" t="n"/>
      <c r="FYS2" s="44" t="n"/>
      <c r="FYT2" s="44" t="n"/>
      <c r="FYU2" s="44" t="n"/>
      <c r="FYV2" s="44" t="n"/>
      <c r="FYW2" s="44" t="n"/>
      <c r="FYX2" s="44" t="n"/>
      <c r="FYY2" s="44" t="n"/>
      <c r="FYZ2" s="44" t="n"/>
      <c r="FZA2" s="44" t="n"/>
      <c r="FZB2" s="44" t="n"/>
      <c r="FZC2" s="44" t="n"/>
      <c r="FZD2" s="44" t="n"/>
      <c r="FZE2" s="44" t="n"/>
      <c r="FZF2" s="44" t="n"/>
      <c r="FZG2" s="44" t="n"/>
      <c r="FZH2" s="44" t="n"/>
      <c r="FZI2" s="44" t="n"/>
      <c r="FZJ2" s="44" t="n"/>
      <c r="FZK2" s="44" t="n"/>
      <c r="FZL2" s="44" t="n"/>
      <c r="FZM2" s="44" t="n"/>
      <c r="FZN2" s="44" t="n"/>
      <c r="FZO2" s="44" t="n"/>
      <c r="FZP2" s="44" t="n"/>
      <c r="FZQ2" s="44" t="n"/>
      <c r="FZR2" s="44" t="n"/>
      <c r="FZS2" s="44" t="n"/>
      <c r="FZT2" s="44" t="n"/>
      <c r="FZU2" s="44" t="n"/>
      <c r="FZV2" s="44" t="n"/>
      <c r="FZW2" s="44" t="n"/>
      <c r="FZX2" s="44" t="n"/>
      <c r="FZY2" s="44" t="n"/>
      <c r="FZZ2" s="44" t="n"/>
      <c r="GAA2" s="44" t="n"/>
      <c r="GAB2" s="44" t="n"/>
      <c r="GAC2" s="44" t="n"/>
      <c r="GAD2" s="44" t="n"/>
      <c r="GAE2" s="44" t="n"/>
      <c r="GAF2" s="44" t="n"/>
      <c r="GAG2" s="44" t="n"/>
      <c r="GAH2" s="44" t="n"/>
      <c r="GAI2" s="44" t="n"/>
      <c r="GAJ2" s="44" t="n"/>
      <c r="GAK2" s="44" t="n"/>
      <c r="GAL2" s="44" t="n"/>
      <c r="GAM2" s="44" t="n"/>
      <c r="GAN2" s="44" t="n"/>
      <c r="GAO2" s="44" t="n"/>
      <c r="GAP2" s="44" t="n"/>
      <c r="GAQ2" s="44" t="n"/>
      <c r="GAR2" s="44" t="n"/>
      <c r="GAS2" s="44" t="n"/>
      <c r="GAT2" s="44" t="n"/>
      <c r="GAU2" s="44" t="n"/>
      <c r="GAV2" s="44" t="n"/>
      <c r="GAW2" s="44" t="n"/>
      <c r="GAX2" s="44" t="n"/>
      <c r="GAY2" s="44" t="n"/>
      <c r="GAZ2" s="44" t="n"/>
      <c r="GBA2" s="44" t="n"/>
      <c r="GBB2" s="44" t="n"/>
      <c r="GBC2" s="44" t="n"/>
      <c r="GBD2" s="44" t="n"/>
      <c r="GBE2" s="44" t="n"/>
      <c r="GBF2" s="44" t="n"/>
      <c r="GBG2" s="44" t="n"/>
      <c r="GBH2" s="44" t="n"/>
      <c r="GBI2" s="44" t="n"/>
      <c r="GBJ2" s="44" t="n"/>
      <c r="GBK2" s="44" t="n"/>
      <c r="GBL2" s="44" t="n"/>
      <c r="GBM2" s="44" t="n"/>
      <c r="GBN2" s="44" t="n"/>
      <c r="GBO2" s="44" t="n"/>
      <c r="GBP2" s="44" t="n"/>
      <c r="GBQ2" s="44" t="n"/>
      <c r="GBR2" s="44" t="n"/>
      <c r="GBS2" s="44" t="n"/>
      <c r="GBT2" s="44" t="n"/>
      <c r="GBU2" s="44" t="n"/>
      <c r="GBV2" s="44" t="n"/>
      <c r="GBW2" s="44" t="n"/>
      <c r="GBX2" s="44" t="n"/>
      <c r="GBY2" s="44" t="n"/>
      <c r="GBZ2" s="44" t="n"/>
      <c r="GCA2" s="44" t="n"/>
      <c r="GCB2" s="44" t="n"/>
      <c r="GCC2" s="44" t="n"/>
      <c r="GCD2" s="44" t="n"/>
      <c r="GCE2" s="44" t="n"/>
      <c r="GCF2" s="44" t="n"/>
      <c r="GCG2" s="44" t="n"/>
      <c r="GCH2" s="44" t="n"/>
      <c r="GCI2" s="44" t="n"/>
      <c r="GCJ2" s="44" t="n"/>
      <c r="GCK2" s="44" t="n"/>
      <c r="GCL2" s="44" t="n"/>
      <c r="GCM2" s="44" t="n"/>
      <c r="GCN2" s="44" t="n"/>
      <c r="GCO2" s="44" t="n"/>
      <c r="GCP2" s="44" t="n"/>
      <c r="GCQ2" s="44" t="n"/>
      <c r="GCR2" s="44" t="n"/>
      <c r="GCS2" s="44" t="n"/>
      <c r="GCT2" s="44" t="n"/>
      <c r="GCU2" s="44" t="n"/>
      <c r="GCV2" s="44" t="n"/>
      <c r="GCW2" s="44" t="n"/>
      <c r="GCX2" s="44" t="n"/>
      <c r="GCY2" s="44" t="n"/>
      <c r="GCZ2" s="44" t="n"/>
      <c r="GDA2" s="44" t="n"/>
      <c r="GDB2" s="44" t="n"/>
      <c r="GDC2" s="44" t="n"/>
      <c r="GDD2" s="44" t="n"/>
      <c r="GDE2" s="44" t="n"/>
      <c r="GDF2" s="44" t="n"/>
      <c r="GDG2" s="44" t="n"/>
      <c r="GDH2" s="44" t="n"/>
      <c r="GDI2" s="44" t="n"/>
      <c r="GDJ2" s="44" t="n"/>
      <c r="GDK2" s="44" t="n"/>
      <c r="GDL2" s="44" t="n"/>
      <c r="GDM2" s="44" t="n"/>
      <c r="GDN2" s="44" t="n"/>
      <c r="GDO2" s="44" t="n"/>
      <c r="GDP2" s="44" t="n"/>
      <c r="GDQ2" s="44" t="n"/>
      <c r="GDR2" s="44" t="n"/>
      <c r="GDS2" s="44" t="n"/>
      <c r="GDT2" s="44" t="n"/>
      <c r="GDU2" s="44" t="n"/>
      <c r="GDV2" s="44" t="n"/>
      <c r="GDW2" s="44" t="n"/>
      <c r="GDX2" s="44" t="n"/>
      <c r="GDY2" s="44" t="n"/>
      <c r="GDZ2" s="44" t="n"/>
      <c r="GEA2" s="44" t="n"/>
      <c r="GEB2" s="44" t="n"/>
      <c r="GEC2" s="44" t="n"/>
      <c r="GED2" s="44" t="n"/>
      <c r="GEE2" s="44" t="n"/>
      <c r="GEF2" s="44" t="n"/>
      <c r="GEG2" s="44" t="n"/>
      <c r="GEH2" s="44" t="n"/>
      <c r="GEI2" s="44" t="n"/>
      <c r="GEJ2" s="44" t="n"/>
      <c r="GEK2" s="44" t="n"/>
      <c r="GEL2" s="44" t="n"/>
      <c r="GEM2" s="44" t="n"/>
      <c r="GEN2" s="44" t="n"/>
      <c r="GEO2" s="44" t="n"/>
      <c r="GEP2" s="44" t="n"/>
      <c r="GEQ2" s="44" t="n"/>
      <c r="GER2" s="44" t="n"/>
      <c r="GES2" s="44" t="n"/>
      <c r="GET2" s="44" t="n"/>
      <c r="GEU2" s="44" t="n"/>
      <c r="GEV2" s="44" t="n"/>
      <c r="GEW2" s="44" t="n"/>
      <c r="GEX2" s="44" t="n"/>
      <c r="GEY2" s="44" t="n"/>
      <c r="GEZ2" s="44" t="n"/>
      <c r="GFA2" s="44" t="n"/>
      <c r="GFB2" s="44" t="n"/>
      <c r="GFC2" s="44" t="n"/>
      <c r="GFD2" s="44" t="n"/>
      <c r="GFE2" s="44" t="n"/>
      <c r="GFF2" s="44" t="n"/>
      <c r="GFG2" s="44" t="n"/>
      <c r="GFH2" s="44" t="n"/>
      <c r="GFI2" s="44" t="n"/>
      <c r="GFJ2" s="44" t="n"/>
      <c r="GFK2" s="44" t="n"/>
      <c r="GFL2" s="44" t="n"/>
      <c r="GFM2" s="44" t="n"/>
      <c r="GFN2" s="44" t="n"/>
      <c r="GFO2" s="44" t="n"/>
      <c r="GFP2" s="44" t="n"/>
      <c r="GFQ2" s="44" t="n"/>
      <c r="GFR2" s="44" t="n"/>
      <c r="GFS2" s="44" t="n"/>
      <c r="GFT2" s="44" t="n"/>
      <c r="GFU2" s="44" t="n"/>
      <c r="GFV2" s="44" t="n"/>
      <c r="GFW2" s="44" t="n"/>
      <c r="GFX2" s="44" t="n"/>
      <c r="GFY2" s="44" t="n"/>
      <c r="GFZ2" s="44" t="n"/>
      <c r="GGA2" s="44" t="n"/>
      <c r="GGB2" s="44" t="n"/>
      <c r="GGC2" s="44" t="n"/>
      <c r="GGD2" s="44" t="n"/>
      <c r="GGE2" s="44" t="n"/>
      <c r="GGF2" s="44" t="n"/>
      <c r="GGG2" s="44" t="n"/>
      <c r="GGH2" s="44" t="n"/>
      <c r="GGI2" s="44" t="n"/>
      <c r="GGJ2" s="44" t="n"/>
      <c r="GGK2" s="44" t="n"/>
      <c r="GGL2" s="44" t="n"/>
      <c r="GGM2" s="44" t="n"/>
      <c r="GGN2" s="44" t="n"/>
      <c r="GGO2" s="44" t="n"/>
      <c r="GGP2" s="44" t="n"/>
      <c r="GGQ2" s="44" t="n"/>
      <c r="GGR2" s="44" t="n"/>
      <c r="GGS2" s="44" t="n"/>
      <c r="GGT2" s="44" t="n"/>
      <c r="GGU2" s="44" t="n"/>
      <c r="GGV2" s="44" t="n"/>
      <c r="GGW2" s="44" t="n"/>
      <c r="GGX2" s="44" t="n"/>
      <c r="GGY2" s="44" t="n"/>
      <c r="GGZ2" s="44" t="n"/>
      <c r="GHA2" s="44" t="n"/>
      <c r="GHB2" s="44" t="n"/>
      <c r="GHC2" s="44" t="n"/>
      <c r="GHD2" s="44" t="n"/>
      <c r="GHE2" s="44" t="n"/>
      <c r="GHF2" s="44" t="n"/>
      <c r="GHG2" s="44" t="n"/>
      <c r="GHH2" s="44" t="n"/>
      <c r="GHI2" s="44" t="n"/>
      <c r="GHJ2" s="44" t="n"/>
      <c r="GHK2" s="44" t="n"/>
      <c r="GHL2" s="44" t="n"/>
      <c r="GHM2" s="44" t="n"/>
      <c r="GHN2" s="44" t="n"/>
      <c r="GHO2" s="44" t="n"/>
      <c r="GHP2" s="44" t="n"/>
      <c r="GHQ2" s="44" t="n"/>
      <c r="GHR2" s="44" t="n"/>
      <c r="GHS2" s="44" t="n"/>
      <c r="GHT2" s="44" t="n"/>
      <c r="GHU2" s="44" t="n"/>
      <c r="GHV2" s="44" t="n"/>
      <c r="GHW2" s="44" t="n"/>
      <c r="GHX2" s="44" t="n"/>
      <c r="GHY2" s="44" t="n"/>
      <c r="GHZ2" s="44" t="n"/>
      <c r="GIA2" s="44" t="n"/>
      <c r="GIB2" s="44" t="n"/>
      <c r="GIC2" s="44" t="n"/>
      <c r="GID2" s="44" t="n"/>
      <c r="GIE2" s="44" t="n"/>
      <c r="GIF2" s="44" t="n"/>
      <c r="GIG2" s="44" t="n"/>
      <c r="GIH2" s="44" t="n"/>
      <c r="GII2" s="44" t="n"/>
      <c r="GIJ2" s="44" t="n"/>
      <c r="GIK2" s="44" t="n"/>
      <c r="GIL2" s="44" t="n"/>
      <c r="GIM2" s="44" t="n"/>
      <c r="GIN2" s="44" t="n"/>
      <c r="GIO2" s="44" t="n"/>
      <c r="GIP2" s="44" t="n"/>
      <c r="GIQ2" s="44" t="n"/>
      <c r="GIR2" s="44" t="n"/>
      <c r="GIS2" s="44" t="n"/>
      <c r="GIT2" s="44" t="n"/>
      <c r="GIU2" s="44" t="n"/>
      <c r="GIV2" s="44" t="n"/>
      <c r="GIW2" s="44" t="n"/>
      <c r="GIX2" s="44" t="n"/>
      <c r="GIY2" s="44" t="n"/>
      <c r="GIZ2" s="44" t="n"/>
      <c r="GJA2" s="44" t="n"/>
      <c r="GJB2" s="44" t="n"/>
      <c r="GJC2" s="44" t="n"/>
      <c r="GJD2" s="44" t="n"/>
      <c r="GJE2" s="44" t="n"/>
      <c r="GJF2" s="44" t="n"/>
      <c r="GJG2" s="44" t="n"/>
      <c r="GJH2" s="44" t="n"/>
      <c r="GJI2" s="44" t="n"/>
      <c r="GJJ2" s="44" t="n"/>
      <c r="GJK2" s="44" t="n"/>
      <c r="GJL2" s="44" t="n"/>
      <c r="GJM2" s="44" t="n"/>
      <c r="GJN2" s="44" t="n"/>
      <c r="GJO2" s="44" t="n"/>
      <c r="GJP2" s="44" t="n"/>
      <c r="GJQ2" s="44" t="n"/>
      <c r="GJR2" s="44" t="n"/>
      <c r="GJS2" s="44" t="n"/>
      <c r="GJT2" s="44" t="n"/>
      <c r="GJU2" s="44" t="n"/>
      <c r="GJV2" s="44" t="n"/>
      <c r="GJW2" s="44" t="n"/>
      <c r="GJX2" s="44" t="n"/>
      <c r="GJY2" s="44" t="n"/>
      <c r="GJZ2" s="44" t="n"/>
      <c r="GKA2" s="44" t="n"/>
      <c r="GKB2" s="44" t="n"/>
      <c r="GKC2" s="44" t="n"/>
      <c r="GKD2" s="44" t="n"/>
      <c r="GKE2" s="44" t="n"/>
      <c r="GKF2" s="44" t="n"/>
      <c r="GKG2" s="44" t="n"/>
      <c r="GKH2" s="44" t="n"/>
      <c r="GKI2" s="44" t="n"/>
      <c r="GKJ2" s="44" t="n"/>
      <c r="GKK2" s="44" t="n"/>
      <c r="GKL2" s="44" t="n"/>
      <c r="GKM2" s="44" t="n"/>
      <c r="GKN2" s="44" t="n"/>
      <c r="GKO2" s="44" t="n"/>
      <c r="GKP2" s="44" t="n"/>
      <c r="GKQ2" s="44" t="n"/>
      <c r="GKR2" s="44" t="n"/>
      <c r="GKS2" s="44" t="n"/>
      <c r="GKT2" s="44" t="n"/>
      <c r="GKU2" s="44" t="n"/>
      <c r="GKV2" s="44" t="n"/>
      <c r="GKW2" s="44" t="n"/>
      <c r="GKX2" s="44" t="n"/>
      <c r="GKY2" s="44" t="n"/>
      <c r="GKZ2" s="44" t="n"/>
      <c r="GLA2" s="44" t="n"/>
      <c r="GLB2" s="44" t="n"/>
      <c r="GLC2" s="44" t="n"/>
      <c r="GLD2" s="44" t="n"/>
      <c r="GLE2" s="44" t="n"/>
      <c r="GLF2" s="44" t="n"/>
      <c r="GLG2" s="44" t="n"/>
      <c r="GLH2" s="44" t="n"/>
      <c r="GLI2" s="44" t="n"/>
      <c r="GLJ2" s="44" t="n"/>
      <c r="GLK2" s="44" t="n"/>
      <c r="GLL2" s="44" t="n"/>
      <c r="GLM2" s="44" t="n"/>
      <c r="GLN2" s="44" t="n"/>
      <c r="GLO2" s="44" t="n"/>
      <c r="GLP2" s="44" t="n"/>
      <c r="GLQ2" s="44" t="n"/>
      <c r="GLR2" s="44" t="n"/>
      <c r="GLS2" s="44" t="n"/>
      <c r="GLT2" s="44" t="n"/>
      <c r="GLU2" s="44" t="n"/>
      <c r="GLV2" s="44" t="n"/>
      <c r="GLW2" s="44" t="n"/>
      <c r="GLX2" s="44" t="n"/>
      <c r="GLY2" s="44" t="n"/>
      <c r="GLZ2" s="44" t="n"/>
      <c r="GMA2" s="44" t="n"/>
      <c r="GMB2" s="44" t="n"/>
      <c r="GMC2" s="44" t="n"/>
      <c r="GMD2" s="44" t="n"/>
      <c r="GME2" s="44" t="n"/>
      <c r="GMF2" s="44" t="n"/>
      <c r="GMG2" s="44" t="n"/>
      <c r="GMH2" s="44" t="n"/>
      <c r="GMI2" s="44" t="n"/>
      <c r="GMJ2" s="44" t="n"/>
      <c r="GMK2" s="44" t="n"/>
      <c r="GML2" s="44" t="n"/>
      <c r="GMM2" s="44" t="n"/>
      <c r="GMN2" s="44" t="n"/>
      <c r="GMO2" s="44" t="n"/>
      <c r="GMP2" s="44" t="n"/>
      <c r="GMQ2" s="44" t="n"/>
      <c r="GMR2" s="44" t="n"/>
      <c r="GMS2" s="44" t="n"/>
      <c r="GMT2" s="44" t="n"/>
      <c r="GMU2" s="44" t="n"/>
      <c r="GMV2" s="44" t="n"/>
      <c r="GMW2" s="44" t="n"/>
      <c r="GMX2" s="44" t="n"/>
      <c r="GMY2" s="44" t="n"/>
      <c r="GMZ2" s="44" t="n"/>
      <c r="GNA2" s="44" t="n"/>
      <c r="GNB2" s="44" t="n"/>
      <c r="GNC2" s="44" t="n"/>
      <c r="GND2" s="44" t="n"/>
      <c r="GNE2" s="44" t="n"/>
      <c r="GNF2" s="44" t="n"/>
      <c r="GNG2" s="44" t="n"/>
      <c r="GNH2" s="44" t="n"/>
      <c r="GNI2" s="44" t="n"/>
      <c r="GNJ2" s="44" t="n"/>
      <c r="GNK2" s="44" t="n"/>
      <c r="GNL2" s="44" t="n"/>
      <c r="GNM2" s="44" t="n"/>
      <c r="GNN2" s="44" t="n"/>
      <c r="GNO2" s="44" t="n"/>
      <c r="GNP2" s="44" t="n"/>
      <c r="GNQ2" s="44" t="n"/>
      <c r="GNR2" s="44" t="n"/>
      <c r="GNS2" s="44" t="n"/>
      <c r="GNT2" s="44" t="n"/>
      <c r="GNU2" s="44" t="n"/>
      <c r="GNV2" s="44" t="n"/>
      <c r="GNW2" s="44" t="n"/>
      <c r="GNX2" s="44" t="n"/>
      <c r="GNY2" s="44" t="n"/>
      <c r="GNZ2" s="44" t="n"/>
      <c r="GOA2" s="44" t="n"/>
      <c r="GOB2" s="44" t="n"/>
      <c r="GOC2" s="44" t="n"/>
      <c r="GOD2" s="44" t="n"/>
      <c r="GOE2" s="44" t="n"/>
      <c r="GOF2" s="44" t="n"/>
      <c r="GOG2" s="44" t="n"/>
      <c r="GOH2" s="44" t="n"/>
      <c r="GOI2" s="44" t="n"/>
      <c r="GOJ2" s="44" t="n"/>
      <c r="GOK2" s="44" t="n"/>
      <c r="GOL2" s="44" t="n"/>
      <c r="GOM2" s="44" t="n"/>
      <c r="GON2" s="44" t="n"/>
      <c r="GOO2" s="44" t="n"/>
      <c r="GOP2" s="44" t="n"/>
      <c r="GOQ2" s="44" t="n"/>
      <c r="GOR2" s="44" t="n"/>
      <c r="GOS2" s="44" t="n"/>
      <c r="GOT2" s="44" t="n"/>
      <c r="GOU2" s="44" t="n"/>
      <c r="GOV2" s="44" t="n"/>
      <c r="GOW2" s="44" t="n"/>
      <c r="GOX2" s="44" t="n"/>
      <c r="GOY2" s="44" t="n"/>
      <c r="GOZ2" s="44" t="n"/>
      <c r="GPA2" s="44" t="n"/>
      <c r="GPB2" s="44" t="n"/>
      <c r="GPC2" s="44" t="n"/>
      <c r="GPD2" s="44" t="n"/>
      <c r="GPE2" s="44" t="n"/>
      <c r="GPF2" s="44" t="n"/>
      <c r="GPG2" s="44" t="n"/>
      <c r="GPH2" s="44" t="n"/>
      <c r="GPI2" s="44" t="n"/>
      <c r="GPJ2" s="44" t="n"/>
      <c r="GPK2" s="44" t="n"/>
      <c r="GPL2" s="44" t="n"/>
      <c r="GPM2" s="44" t="n"/>
      <c r="GPN2" s="44" t="n"/>
      <c r="GPO2" s="44" t="n"/>
      <c r="GPP2" s="44" t="n"/>
      <c r="GPQ2" s="44" t="n"/>
      <c r="GPR2" s="44" t="n"/>
      <c r="GPS2" s="44" t="n"/>
      <c r="GPT2" s="44" t="n"/>
      <c r="GPU2" s="44" t="n"/>
      <c r="GPV2" s="44" t="n"/>
      <c r="GPW2" s="44" t="n"/>
      <c r="GPX2" s="44" t="n"/>
      <c r="GPY2" s="44" t="n"/>
      <c r="GPZ2" s="44" t="n"/>
      <c r="GQA2" s="44" t="n"/>
      <c r="GQB2" s="44" t="n"/>
      <c r="GQC2" s="44" t="n"/>
      <c r="GQD2" s="44" t="n"/>
      <c r="GQE2" s="44" t="n"/>
      <c r="GQF2" s="44" t="n"/>
      <c r="GQG2" s="44" t="n"/>
      <c r="GQH2" s="44" t="n"/>
      <c r="GQI2" s="44" t="n"/>
      <c r="GQJ2" s="44" t="n"/>
      <c r="GQK2" s="44" t="n"/>
      <c r="GQL2" s="44" t="n"/>
      <c r="GQM2" s="44" t="n"/>
      <c r="GQN2" s="44" t="n"/>
      <c r="GQO2" s="44" t="n"/>
      <c r="GQP2" s="44" t="n"/>
      <c r="GQQ2" s="44" t="n"/>
      <c r="GQR2" s="44" t="n"/>
      <c r="GQS2" s="44" t="n"/>
      <c r="GQT2" s="44" t="n"/>
      <c r="GQU2" s="44" t="n"/>
      <c r="GQV2" s="44" t="n"/>
      <c r="GQW2" s="44" t="n"/>
      <c r="GQX2" s="44" t="n"/>
      <c r="GQY2" s="44" t="n"/>
      <c r="GQZ2" s="44" t="n"/>
      <c r="GRA2" s="44" t="n"/>
      <c r="GRB2" s="44" t="n"/>
      <c r="GRC2" s="44" t="n"/>
      <c r="GRD2" s="44" t="n"/>
      <c r="GRE2" s="44" t="n"/>
      <c r="GRF2" s="44" t="n"/>
      <c r="GRG2" s="44" t="n"/>
      <c r="GRH2" s="44" t="n"/>
      <c r="GRI2" s="44" t="n"/>
      <c r="GRJ2" s="44" t="n"/>
      <c r="GRK2" s="44" t="n"/>
      <c r="GRL2" s="44" t="n"/>
      <c r="GRM2" s="44" t="n"/>
      <c r="GRN2" s="44" t="n"/>
      <c r="GRO2" s="44" t="n"/>
      <c r="GRP2" s="44" t="n"/>
      <c r="GRQ2" s="44" t="n"/>
      <c r="GRR2" s="44" t="n"/>
      <c r="GRS2" s="44" t="n"/>
      <c r="GRT2" s="44" t="n"/>
      <c r="GRU2" s="44" t="n"/>
      <c r="GRV2" s="44" t="n"/>
      <c r="GRW2" s="44" t="n"/>
      <c r="GRX2" s="44" t="n"/>
      <c r="GRY2" s="44" t="n"/>
      <c r="GRZ2" s="44" t="n"/>
      <c r="GSA2" s="44" t="n"/>
      <c r="GSB2" s="44" t="n"/>
      <c r="GSC2" s="44" t="n"/>
      <c r="GSD2" s="44" t="n"/>
      <c r="GSE2" s="44" t="n"/>
      <c r="GSF2" s="44" t="n"/>
      <c r="GSG2" s="44" t="n"/>
      <c r="GSH2" s="44" t="n"/>
      <c r="GSI2" s="44" t="n"/>
      <c r="GSJ2" s="44" t="n"/>
      <c r="GSK2" s="44" t="n"/>
      <c r="GSL2" s="44" t="n"/>
      <c r="GSM2" s="44" t="n"/>
      <c r="GSN2" s="44" t="n"/>
      <c r="GSO2" s="44" t="n"/>
      <c r="GSP2" s="44" t="n"/>
      <c r="GSQ2" s="44" t="n"/>
      <c r="GSR2" s="44" t="n"/>
      <c r="GSS2" s="44" t="n"/>
      <c r="GST2" s="44" t="n"/>
      <c r="GSU2" s="44" t="n"/>
      <c r="GSV2" s="44" t="n"/>
      <c r="GSW2" s="44" t="n"/>
      <c r="GSX2" s="44" t="n"/>
      <c r="GSY2" s="44" t="n"/>
      <c r="GSZ2" s="44" t="n"/>
      <c r="GTA2" s="44" t="n"/>
      <c r="GTB2" s="44" t="n"/>
      <c r="GTC2" s="44" t="n"/>
      <c r="GTD2" s="44" t="n"/>
      <c r="GTE2" s="44" t="n"/>
      <c r="GTF2" s="44" t="n"/>
      <c r="GTG2" s="44" t="n"/>
      <c r="GTH2" s="44" t="n"/>
      <c r="GTI2" s="44" t="n"/>
      <c r="GTJ2" s="44" t="n"/>
      <c r="GTK2" s="44" t="n"/>
      <c r="GTL2" s="44" t="n"/>
      <c r="GTM2" s="44" t="n"/>
      <c r="GTN2" s="44" t="n"/>
      <c r="GTO2" s="44" t="n"/>
      <c r="GTP2" s="44" t="n"/>
      <c r="GTQ2" s="44" t="n"/>
      <c r="GTR2" s="44" t="n"/>
      <c r="GTS2" s="44" t="n"/>
      <c r="GTT2" s="44" t="n"/>
      <c r="GTU2" s="44" t="n"/>
      <c r="GTV2" s="44" t="n"/>
      <c r="GTW2" s="44" t="n"/>
      <c r="GTX2" s="44" t="n"/>
      <c r="GTY2" s="44" t="n"/>
      <c r="GTZ2" s="44" t="n"/>
      <c r="GUA2" s="44" t="n"/>
      <c r="GUB2" s="44" t="n"/>
      <c r="GUC2" s="44" t="n"/>
      <c r="GUD2" s="44" t="n"/>
      <c r="GUE2" s="44" t="n"/>
      <c r="GUF2" s="44" t="n"/>
      <c r="GUG2" s="44" t="n"/>
      <c r="GUH2" s="44" t="n"/>
      <c r="GUI2" s="44" t="n"/>
      <c r="GUJ2" s="44" t="n"/>
      <c r="GUK2" s="44" t="n"/>
      <c r="GUL2" s="44" t="n"/>
      <c r="GUM2" s="44" t="n"/>
      <c r="GUN2" s="44" t="n"/>
      <c r="GUO2" s="44" t="n"/>
      <c r="GUP2" s="44" t="n"/>
      <c r="GUQ2" s="44" t="n"/>
      <c r="GUR2" s="44" t="n"/>
      <c r="GUS2" s="44" t="n"/>
      <c r="GUT2" s="44" t="n"/>
      <c r="GUU2" s="44" t="n"/>
      <c r="GUV2" s="44" t="n"/>
      <c r="GUW2" s="44" t="n"/>
      <c r="GUX2" s="44" t="n"/>
      <c r="GUY2" s="44" t="n"/>
      <c r="GUZ2" s="44" t="n"/>
      <c r="GVA2" s="44" t="n"/>
      <c r="GVB2" s="44" t="n"/>
      <c r="GVC2" s="44" t="n"/>
      <c r="GVD2" s="44" t="n"/>
      <c r="GVE2" s="44" t="n"/>
      <c r="GVF2" s="44" t="n"/>
      <c r="GVG2" s="44" t="n"/>
      <c r="GVH2" s="44" t="n"/>
      <c r="GVI2" s="44" t="n"/>
      <c r="GVJ2" s="44" t="n"/>
      <c r="GVK2" s="44" t="n"/>
      <c r="GVL2" s="44" t="n"/>
      <c r="GVM2" s="44" t="n"/>
      <c r="GVN2" s="44" t="n"/>
      <c r="GVO2" s="44" t="n"/>
      <c r="GVP2" s="44" t="n"/>
      <c r="GVQ2" s="44" t="n"/>
      <c r="GVR2" s="44" t="n"/>
      <c r="GVS2" s="44" t="n"/>
      <c r="GVT2" s="44" t="n"/>
      <c r="GVU2" s="44" t="n"/>
      <c r="GVV2" s="44" t="n"/>
      <c r="GVW2" s="44" t="n"/>
      <c r="GVX2" s="44" t="n"/>
      <c r="GVY2" s="44" t="n"/>
      <c r="GVZ2" s="44" t="n"/>
      <c r="GWA2" s="44" t="n"/>
      <c r="GWB2" s="44" t="n"/>
      <c r="GWC2" s="44" t="n"/>
      <c r="GWD2" s="44" t="n"/>
      <c r="GWE2" s="44" t="n"/>
      <c r="GWF2" s="44" t="n"/>
      <c r="GWG2" s="44" t="n"/>
      <c r="GWH2" s="44" t="n"/>
      <c r="GWI2" s="44" t="n"/>
      <c r="GWJ2" s="44" t="n"/>
      <c r="GWK2" s="44" t="n"/>
      <c r="GWL2" s="44" t="n"/>
      <c r="GWM2" s="44" t="n"/>
      <c r="GWN2" s="44" t="n"/>
      <c r="GWO2" s="44" t="n"/>
      <c r="GWP2" s="44" t="n"/>
      <c r="GWQ2" s="44" t="n"/>
      <c r="GWR2" s="44" t="n"/>
      <c r="GWS2" s="44" t="n"/>
      <c r="GWT2" s="44" t="n"/>
      <c r="GWU2" s="44" t="n"/>
      <c r="GWV2" s="44" t="n"/>
      <c r="GWW2" s="44" t="n"/>
      <c r="GWX2" s="44" t="n"/>
      <c r="GWY2" s="44" t="n"/>
      <c r="GWZ2" s="44" t="n"/>
      <c r="GXA2" s="44" t="n"/>
      <c r="GXB2" s="44" t="n"/>
      <c r="GXC2" s="44" t="n"/>
      <c r="GXD2" s="44" t="n"/>
      <c r="GXE2" s="44" t="n"/>
      <c r="GXF2" s="44" t="n"/>
      <c r="GXG2" s="44" t="n"/>
      <c r="GXH2" s="44" t="n"/>
      <c r="GXI2" s="44" t="n"/>
      <c r="GXJ2" s="44" t="n"/>
      <c r="GXK2" s="44" t="n"/>
      <c r="GXL2" s="44" t="n"/>
      <c r="GXM2" s="44" t="n"/>
      <c r="GXN2" s="44" t="n"/>
      <c r="GXO2" s="44" t="n"/>
      <c r="GXP2" s="44" t="n"/>
      <c r="GXQ2" s="44" t="n"/>
      <c r="GXR2" s="44" t="n"/>
      <c r="GXS2" s="44" t="n"/>
      <c r="GXT2" s="44" t="n"/>
      <c r="GXU2" s="44" t="n"/>
      <c r="GXV2" s="44" t="n"/>
      <c r="GXW2" s="44" t="n"/>
      <c r="GXX2" s="44" t="n"/>
      <c r="GXY2" s="44" t="n"/>
      <c r="GXZ2" s="44" t="n"/>
      <c r="GYA2" s="44" t="n"/>
      <c r="GYB2" s="44" t="n"/>
      <c r="GYC2" s="44" t="n"/>
      <c r="GYD2" s="44" t="n"/>
      <c r="GYE2" s="44" t="n"/>
      <c r="GYF2" s="44" t="n"/>
      <c r="GYG2" s="44" t="n"/>
      <c r="GYH2" s="44" t="n"/>
      <c r="GYI2" s="44" t="n"/>
      <c r="GYJ2" s="44" t="n"/>
      <c r="GYK2" s="44" t="n"/>
      <c r="GYL2" s="44" t="n"/>
      <c r="GYM2" s="44" t="n"/>
      <c r="GYN2" s="44" t="n"/>
      <c r="GYO2" s="44" t="n"/>
      <c r="GYP2" s="44" t="n"/>
      <c r="GYQ2" s="44" t="n"/>
      <c r="GYR2" s="44" t="n"/>
      <c r="GYS2" s="44" t="n"/>
      <c r="GYT2" s="44" t="n"/>
      <c r="GYU2" s="44" t="n"/>
      <c r="GYV2" s="44" t="n"/>
      <c r="GYW2" s="44" t="n"/>
      <c r="GYX2" s="44" t="n"/>
      <c r="GYY2" s="44" t="n"/>
      <c r="GYZ2" s="44" t="n"/>
      <c r="GZA2" s="44" t="n"/>
      <c r="GZB2" s="44" t="n"/>
      <c r="GZC2" s="44" t="n"/>
      <c r="GZD2" s="44" t="n"/>
      <c r="GZE2" s="44" t="n"/>
      <c r="GZF2" s="44" t="n"/>
      <c r="GZG2" s="44" t="n"/>
      <c r="GZH2" s="44" t="n"/>
      <c r="GZI2" s="44" t="n"/>
      <c r="GZJ2" s="44" t="n"/>
      <c r="GZK2" s="44" t="n"/>
      <c r="GZL2" s="44" t="n"/>
      <c r="GZM2" s="44" t="n"/>
      <c r="GZN2" s="44" t="n"/>
      <c r="GZO2" s="44" t="n"/>
      <c r="GZP2" s="44" t="n"/>
      <c r="GZQ2" s="44" t="n"/>
      <c r="GZR2" s="44" t="n"/>
      <c r="GZS2" s="44" t="n"/>
      <c r="GZT2" s="44" t="n"/>
      <c r="GZU2" s="44" t="n"/>
      <c r="GZV2" s="44" t="n"/>
      <c r="GZW2" s="44" t="n"/>
      <c r="GZX2" s="44" t="n"/>
      <c r="GZY2" s="44" t="n"/>
      <c r="GZZ2" s="44" t="n"/>
      <c r="HAA2" s="44" t="n"/>
      <c r="HAB2" s="44" t="n"/>
      <c r="HAC2" s="44" t="n"/>
      <c r="HAD2" s="44" t="n"/>
      <c r="HAE2" s="44" t="n"/>
      <c r="HAF2" s="44" t="n"/>
      <c r="HAG2" s="44" t="n"/>
      <c r="HAH2" s="44" t="n"/>
      <c r="HAI2" s="44" t="n"/>
      <c r="HAJ2" s="44" t="n"/>
      <c r="HAK2" s="44" t="n"/>
      <c r="HAL2" s="44" t="n"/>
      <c r="HAM2" s="44" t="n"/>
      <c r="HAN2" s="44" t="n"/>
      <c r="HAO2" s="44" t="n"/>
      <c r="HAP2" s="44" t="n"/>
      <c r="HAQ2" s="44" t="n"/>
      <c r="HAR2" s="44" t="n"/>
      <c r="HAS2" s="44" t="n"/>
      <c r="HAT2" s="44" t="n"/>
      <c r="HAU2" s="44" t="n"/>
      <c r="HAV2" s="44" t="n"/>
      <c r="HAW2" s="44" t="n"/>
      <c r="HAX2" s="44" t="n"/>
      <c r="HAY2" s="44" t="n"/>
      <c r="HAZ2" s="44" t="n"/>
      <c r="HBA2" s="44" t="n"/>
      <c r="HBB2" s="44" t="n"/>
      <c r="HBC2" s="44" t="n"/>
      <c r="HBD2" s="44" t="n"/>
      <c r="HBE2" s="44" t="n"/>
      <c r="HBF2" s="44" t="n"/>
      <c r="HBG2" s="44" t="n"/>
      <c r="HBH2" s="44" t="n"/>
      <c r="HBI2" s="44" t="n"/>
      <c r="HBJ2" s="44" t="n"/>
      <c r="HBK2" s="44" t="n"/>
      <c r="HBL2" s="44" t="n"/>
      <c r="HBM2" s="44" t="n"/>
      <c r="HBN2" s="44" t="n"/>
      <c r="HBO2" s="44" t="n"/>
      <c r="HBP2" s="44" t="n"/>
      <c r="HBQ2" s="44" t="n"/>
      <c r="HBR2" s="44" t="n"/>
      <c r="HBS2" s="44" t="n"/>
      <c r="HBT2" s="44" t="n"/>
      <c r="HBU2" s="44" t="n"/>
      <c r="HBV2" s="44" t="n"/>
      <c r="HBW2" s="44" t="n"/>
      <c r="HBX2" s="44" t="n"/>
      <c r="HBY2" s="44" t="n"/>
      <c r="HBZ2" s="44" t="n"/>
      <c r="HCA2" s="44" t="n"/>
      <c r="HCB2" s="44" t="n"/>
      <c r="HCC2" s="44" t="n"/>
      <c r="HCD2" s="44" t="n"/>
      <c r="HCE2" s="44" t="n"/>
      <c r="HCF2" s="44" t="n"/>
      <c r="HCG2" s="44" t="n"/>
      <c r="HCH2" s="44" t="n"/>
      <c r="HCI2" s="44" t="n"/>
      <c r="HCJ2" s="44" t="n"/>
      <c r="HCK2" s="44" t="n"/>
      <c r="HCL2" s="44" t="n"/>
      <c r="HCM2" s="44" t="n"/>
      <c r="HCN2" s="44" t="n"/>
      <c r="HCO2" s="44" t="n"/>
      <c r="HCP2" s="44" t="n"/>
      <c r="HCQ2" s="44" t="n"/>
      <c r="HCR2" s="44" t="n"/>
      <c r="HCS2" s="44" t="n"/>
      <c r="HCT2" s="44" t="n"/>
      <c r="HCU2" s="44" t="n"/>
      <c r="HCV2" s="44" t="n"/>
      <c r="HCW2" s="44" t="n"/>
      <c r="HCX2" s="44" t="n"/>
      <c r="HCY2" s="44" t="n"/>
      <c r="HCZ2" s="44" t="n"/>
      <c r="HDA2" s="44" t="n"/>
      <c r="HDB2" s="44" t="n"/>
      <c r="HDC2" s="44" t="n"/>
      <c r="HDD2" s="44" t="n"/>
      <c r="HDE2" s="44" t="n"/>
      <c r="HDF2" s="44" t="n"/>
      <c r="HDG2" s="44" t="n"/>
      <c r="HDH2" s="44" t="n"/>
      <c r="HDI2" s="44" t="n"/>
      <c r="HDJ2" s="44" t="n"/>
      <c r="HDK2" s="44" t="n"/>
      <c r="HDL2" s="44" t="n"/>
      <c r="HDM2" s="44" t="n"/>
      <c r="HDN2" s="44" t="n"/>
      <c r="HDO2" s="44" t="n"/>
      <c r="HDP2" s="44" t="n"/>
      <c r="HDQ2" s="44" t="n"/>
      <c r="HDR2" s="44" t="n"/>
      <c r="HDS2" s="44" t="n"/>
      <c r="HDT2" s="44" t="n"/>
      <c r="HDU2" s="44" t="n"/>
      <c r="HDV2" s="44" t="n"/>
      <c r="HDW2" s="44" t="n"/>
      <c r="HDX2" s="44" t="n"/>
      <c r="HDY2" s="44" t="n"/>
      <c r="HDZ2" s="44" t="n"/>
      <c r="HEA2" s="44" t="n"/>
      <c r="HEB2" s="44" t="n"/>
      <c r="HEC2" s="44" t="n"/>
      <c r="HED2" s="44" t="n"/>
      <c r="HEE2" s="44" t="n"/>
      <c r="HEF2" s="44" t="n"/>
      <c r="HEG2" s="44" t="n"/>
      <c r="HEH2" s="44" t="n"/>
      <c r="HEI2" s="44" t="n"/>
      <c r="HEJ2" s="44" t="n"/>
      <c r="HEK2" s="44" t="n"/>
      <c r="HEL2" s="44" t="n"/>
      <c r="HEM2" s="44" t="n"/>
      <c r="HEN2" s="44" t="n"/>
      <c r="HEO2" s="44" t="n"/>
      <c r="HEP2" s="44" t="n"/>
      <c r="HEQ2" s="44" t="n"/>
      <c r="HER2" s="44" t="n"/>
      <c r="HES2" s="44" t="n"/>
      <c r="HET2" s="44" t="n"/>
      <c r="HEU2" s="44" t="n"/>
      <c r="HEV2" s="44" t="n"/>
      <c r="HEW2" s="44" t="n"/>
      <c r="HEX2" s="44" t="n"/>
      <c r="HEY2" s="44" t="n"/>
      <c r="HEZ2" s="44" t="n"/>
      <c r="HFA2" s="44" t="n"/>
      <c r="HFB2" s="44" t="n"/>
      <c r="HFC2" s="44" t="n"/>
      <c r="HFD2" s="44" t="n"/>
      <c r="HFE2" s="44" t="n"/>
      <c r="HFF2" s="44" t="n"/>
      <c r="HFG2" s="44" t="n"/>
      <c r="HFH2" s="44" t="n"/>
      <c r="HFI2" s="44" t="n"/>
      <c r="HFJ2" s="44" t="n"/>
      <c r="HFK2" s="44" t="n"/>
      <c r="HFL2" s="44" t="n"/>
      <c r="HFM2" s="44" t="n"/>
      <c r="HFN2" s="44" t="n"/>
      <c r="HFO2" s="44" t="n"/>
      <c r="HFP2" s="44" t="n"/>
      <c r="HFQ2" s="44" t="n"/>
      <c r="HFR2" s="44" t="n"/>
      <c r="HFS2" s="44" t="n"/>
      <c r="HFT2" s="44" t="n"/>
      <c r="HFU2" s="44" t="n"/>
      <c r="HFV2" s="44" t="n"/>
      <c r="HFW2" s="44" t="n"/>
      <c r="HFX2" s="44" t="n"/>
      <c r="HFY2" s="44" t="n"/>
      <c r="HFZ2" s="44" t="n"/>
      <c r="HGA2" s="44" t="n"/>
      <c r="HGB2" s="44" t="n"/>
      <c r="HGC2" s="44" t="n"/>
      <c r="HGD2" s="44" t="n"/>
      <c r="HGE2" s="44" t="n"/>
      <c r="HGF2" s="44" t="n"/>
      <c r="HGG2" s="44" t="n"/>
      <c r="HGH2" s="44" t="n"/>
      <c r="HGI2" s="44" t="n"/>
      <c r="HGJ2" s="44" t="n"/>
      <c r="HGK2" s="44" t="n"/>
      <c r="HGL2" s="44" t="n"/>
      <c r="HGM2" s="44" t="n"/>
      <c r="HGN2" s="44" t="n"/>
      <c r="HGO2" s="44" t="n"/>
      <c r="HGP2" s="44" t="n"/>
      <c r="HGQ2" s="44" t="n"/>
      <c r="HGR2" s="44" t="n"/>
      <c r="HGS2" s="44" t="n"/>
      <c r="HGT2" s="44" t="n"/>
      <c r="HGU2" s="44" t="n"/>
      <c r="HGV2" s="44" t="n"/>
      <c r="HGW2" s="44" t="n"/>
      <c r="HGX2" s="44" t="n"/>
      <c r="HGY2" s="44" t="n"/>
      <c r="HGZ2" s="44" t="n"/>
      <c r="HHA2" s="44" t="n"/>
      <c r="HHB2" s="44" t="n"/>
      <c r="HHC2" s="44" t="n"/>
      <c r="HHD2" s="44" t="n"/>
      <c r="HHE2" s="44" t="n"/>
      <c r="HHF2" s="44" t="n"/>
      <c r="HHG2" s="44" t="n"/>
      <c r="HHH2" s="44" t="n"/>
      <c r="HHI2" s="44" t="n"/>
      <c r="HHJ2" s="44" t="n"/>
      <c r="HHK2" s="44" t="n"/>
      <c r="HHL2" s="44" t="n"/>
      <c r="HHM2" s="44" t="n"/>
      <c r="HHN2" s="44" t="n"/>
      <c r="HHO2" s="44" t="n"/>
      <c r="HHP2" s="44" t="n"/>
      <c r="HHQ2" s="44" t="n"/>
      <c r="HHR2" s="44" t="n"/>
      <c r="HHS2" s="44" t="n"/>
      <c r="HHT2" s="44" t="n"/>
      <c r="HHU2" s="44" t="n"/>
      <c r="HHV2" s="44" t="n"/>
      <c r="HHW2" s="44" t="n"/>
      <c r="HHX2" s="44" t="n"/>
      <c r="HHY2" s="44" t="n"/>
      <c r="HHZ2" s="44" t="n"/>
      <c r="HIA2" s="44" t="n"/>
      <c r="HIB2" s="44" t="n"/>
      <c r="HIC2" s="44" t="n"/>
      <c r="HID2" s="44" t="n"/>
      <c r="HIE2" s="44" t="n"/>
      <c r="HIF2" s="44" t="n"/>
      <c r="HIG2" s="44" t="n"/>
      <c r="HIH2" s="44" t="n"/>
      <c r="HII2" s="44" t="n"/>
      <c r="HIJ2" s="44" t="n"/>
      <c r="HIK2" s="44" t="n"/>
      <c r="HIL2" s="44" t="n"/>
      <c r="HIM2" s="44" t="n"/>
      <c r="HIN2" s="44" t="n"/>
      <c r="HIO2" s="44" t="n"/>
      <c r="HIP2" s="44" t="n"/>
      <c r="HIQ2" s="44" t="n"/>
      <c r="HIR2" s="44" t="n"/>
      <c r="HIS2" s="44" t="n"/>
      <c r="HIT2" s="44" t="n"/>
      <c r="HIU2" s="44" t="n"/>
      <c r="HIV2" s="44" t="n"/>
      <c r="HIW2" s="44" t="n"/>
      <c r="HIX2" s="44" t="n"/>
      <c r="HIY2" s="44" t="n"/>
      <c r="HIZ2" s="44" t="n"/>
      <c r="HJA2" s="44" t="n"/>
      <c r="HJB2" s="44" t="n"/>
      <c r="HJC2" s="44" t="n"/>
      <c r="HJD2" s="44" t="n"/>
      <c r="HJE2" s="44" t="n"/>
      <c r="HJF2" s="44" t="n"/>
      <c r="HJG2" s="44" t="n"/>
      <c r="HJH2" s="44" t="n"/>
      <c r="HJI2" s="44" t="n"/>
      <c r="HJJ2" s="44" t="n"/>
      <c r="HJK2" s="44" t="n"/>
      <c r="HJL2" s="44" t="n"/>
      <c r="HJM2" s="44" t="n"/>
      <c r="HJN2" s="44" t="n"/>
      <c r="HJO2" s="44" t="n"/>
      <c r="HJP2" s="44" t="n"/>
      <c r="HJQ2" s="44" t="n"/>
      <c r="HJR2" s="44" t="n"/>
      <c r="HJS2" s="44" t="n"/>
      <c r="HJT2" s="44" t="n"/>
      <c r="HJU2" s="44" t="n"/>
      <c r="HJV2" s="44" t="n"/>
      <c r="HJW2" s="44" t="n"/>
      <c r="HJX2" s="44" t="n"/>
      <c r="HJY2" s="44" t="n"/>
      <c r="HJZ2" s="44" t="n"/>
      <c r="HKA2" s="44" t="n"/>
      <c r="HKB2" s="44" t="n"/>
      <c r="HKC2" s="44" t="n"/>
      <c r="HKD2" s="44" t="n"/>
      <c r="HKE2" s="44" t="n"/>
      <c r="HKF2" s="44" t="n"/>
      <c r="HKG2" s="44" t="n"/>
      <c r="HKH2" s="44" t="n"/>
      <c r="HKI2" s="44" t="n"/>
      <c r="HKJ2" s="44" t="n"/>
      <c r="HKK2" s="44" t="n"/>
      <c r="HKL2" s="44" t="n"/>
      <c r="HKM2" s="44" t="n"/>
      <c r="HKN2" s="44" t="n"/>
      <c r="HKO2" s="44" t="n"/>
      <c r="HKP2" s="44" t="n"/>
      <c r="HKQ2" s="44" t="n"/>
      <c r="HKR2" s="44" t="n"/>
      <c r="HKS2" s="44" t="n"/>
      <c r="HKT2" s="44" t="n"/>
      <c r="HKU2" s="44" t="n"/>
      <c r="HKV2" s="44" t="n"/>
      <c r="HKW2" s="44" t="n"/>
      <c r="HKX2" s="44" t="n"/>
      <c r="HKY2" s="44" t="n"/>
      <c r="HKZ2" s="44" t="n"/>
      <c r="HLA2" s="44" t="n"/>
      <c r="HLB2" s="44" t="n"/>
      <c r="HLC2" s="44" t="n"/>
      <c r="HLD2" s="44" t="n"/>
      <c r="HLE2" s="44" t="n"/>
      <c r="HLF2" s="44" t="n"/>
      <c r="HLG2" s="44" t="n"/>
      <c r="HLH2" s="44" t="n"/>
      <c r="HLI2" s="44" t="n"/>
      <c r="HLJ2" s="44" t="n"/>
      <c r="HLK2" s="44" t="n"/>
      <c r="HLL2" s="44" t="n"/>
      <c r="HLM2" s="44" t="n"/>
      <c r="HLN2" s="44" t="n"/>
      <c r="HLO2" s="44" t="n"/>
      <c r="HLP2" s="44" t="n"/>
      <c r="HLQ2" s="44" t="n"/>
      <c r="HLR2" s="44" t="n"/>
      <c r="HLS2" s="44" t="n"/>
      <c r="HLT2" s="44" t="n"/>
      <c r="HLU2" s="44" t="n"/>
      <c r="HLV2" s="44" t="n"/>
      <c r="HLW2" s="44" t="n"/>
      <c r="HLX2" s="44" t="n"/>
      <c r="HLY2" s="44" t="n"/>
      <c r="HLZ2" s="44" t="n"/>
      <c r="HMA2" s="44" t="n"/>
      <c r="HMB2" s="44" t="n"/>
      <c r="HMC2" s="44" t="n"/>
      <c r="HMD2" s="44" t="n"/>
      <c r="HME2" s="44" t="n"/>
      <c r="HMF2" s="44" t="n"/>
      <c r="HMG2" s="44" t="n"/>
      <c r="HMH2" s="44" t="n"/>
      <c r="HMI2" s="44" t="n"/>
      <c r="HMJ2" s="44" t="n"/>
      <c r="HMK2" s="44" t="n"/>
      <c r="HML2" s="44" t="n"/>
      <c r="HMM2" s="44" t="n"/>
      <c r="HMN2" s="44" t="n"/>
      <c r="HMO2" s="44" t="n"/>
      <c r="HMP2" s="44" t="n"/>
      <c r="HMQ2" s="44" t="n"/>
      <c r="HMR2" s="44" t="n"/>
      <c r="HMS2" s="44" t="n"/>
      <c r="HMT2" s="44" t="n"/>
      <c r="HMU2" s="44" t="n"/>
      <c r="HMV2" s="44" t="n"/>
      <c r="HMW2" s="44" t="n"/>
      <c r="HMX2" s="44" t="n"/>
      <c r="HMY2" s="44" t="n"/>
      <c r="HMZ2" s="44" t="n"/>
      <c r="HNA2" s="44" t="n"/>
      <c r="HNB2" s="44" t="n"/>
      <c r="HNC2" s="44" t="n"/>
      <c r="HND2" s="44" t="n"/>
      <c r="HNE2" s="44" t="n"/>
      <c r="HNF2" s="44" t="n"/>
      <c r="HNG2" s="44" t="n"/>
      <c r="HNH2" s="44" t="n"/>
      <c r="HNI2" s="44" t="n"/>
      <c r="HNJ2" s="44" t="n"/>
      <c r="HNK2" s="44" t="n"/>
      <c r="HNL2" s="44" t="n"/>
      <c r="HNM2" s="44" t="n"/>
      <c r="HNN2" s="44" t="n"/>
      <c r="HNO2" s="44" t="n"/>
      <c r="HNP2" s="44" t="n"/>
      <c r="HNQ2" s="44" t="n"/>
      <c r="HNR2" s="44" t="n"/>
      <c r="HNS2" s="44" t="n"/>
      <c r="HNT2" s="44" t="n"/>
      <c r="HNU2" s="44" t="n"/>
      <c r="HNV2" s="44" t="n"/>
      <c r="HNW2" s="44" t="n"/>
      <c r="HNX2" s="44" t="n"/>
      <c r="HNY2" s="44" t="n"/>
      <c r="HNZ2" s="44" t="n"/>
      <c r="HOA2" s="44" t="n"/>
      <c r="HOB2" s="44" t="n"/>
      <c r="HOC2" s="44" t="n"/>
      <c r="HOD2" s="44" t="n"/>
      <c r="HOE2" s="44" t="n"/>
      <c r="HOF2" s="44" t="n"/>
      <c r="HOG2" s="44" t="n"/>
      <c r="HOH2" s="44" t="n"/>
      <c r="HOI2" s="44" t="n"/>
      <c r="HOJ2" s="44" t="n"/>
      <c r="HOK2" s="44" t="n"/>
      <c r="HOL2" s="44" t="n"/>
      <c r="HOM2" s="44" t="n"/>
      <c r="HON2" s="44" t="n"/>
      <c r="HOO2" s="44" t="n"/>
      <c r="HOP2" s="44" t="n"/>
      <c r="HOQ2" s="44" t="n"/>
      <c r="HOR2" s="44" t="n"/>
      <c r="HOS2" s="44" t="n"/>
      <c r="HOT2" s="44" t="n"/>
      <c r="HOU2" s="44" t="n"/>
      <c r="HOV2" s="44" t="n"/>
      <c r="HOW2" s="44" t="n"/>
      <c r="HOX2" s="44" t="n"/>
      <c r="HOY2" s="44" t="n"/>
      <c r="HOZ2" s="44" t="n"/>
      <c r="HPA2" s="44" t="n"/>
      <c r="HPB2" s="44" t="n"/>
      <c r="HPC2" s="44" t="n"/>
      <c r="HPD2" s="44" t="n"/>
      <c r="HPE2" s="44" t="n"/>
      <c r="HPF2" s="44" t="n"/>
      <c r="HPG2" s="44" t="n"/>
      <c r="HPH2" s="44" t="n"/>
      <c r="HPI2" s="44" t="n"/>
      <c r="HPJ2" s="44" t="n"/>
      <c r="HPK2" s="44" t="n"/>
      <c r="HPL2" s="44" t="n"/>
      <c r="HPM2" s="44" t="n"/>
      <c r="HPN2" s="44" t="n"/>
      <c r="HPO2" s="44" t="n"/>
      <c r="HPP2" s="44" t="n"/>
      <c r="HPQ2" s="44" t="n"/>
      <c r="HPR2" s="44" t="n"/>
      <c r="HPS2" s="44" t="n"/>
      <c r="HPT2" s="44" t="n"/>
      <c r="HPU2" s="44" t="n"/>
      <c r="HPV2" s="44" t="n"/>
      <c r="HPW2" s="44" t="n"/>
      <c r="HPX2" s="44" t="n"/>
      <c r="HPY2" s="44" t="n"/>
      <c r="HPZ2" s="44" t="n"/>
      <c r="HQA2" s="44" t="n"/>
      <c r="HQB2" s="44" t="n"/>
      <c r="HQC2" s="44" t="n"/>
      <c r="HQD2" s="44" t="n"/>
      <c r="HQE2" s="44" t="n"/>
      <c r="HQF2" s="44" t="n"/>
      <c r="HQG2" s="44" t="n"/>
      <c r="HQH2" s="44" t="n"/>
      <c r="HQI2" s="44" t="n"/>
      <c r="HQJ2" s="44" t="n"/>
      <c r="HQK2" s="44" t="n"/>
      <c r="HQL2" s="44" t="n"/>
      <c r="HQM2" s="44" t="n"/>
      <c r="HQN2" s="44" t="n"/>
      <c r="HQO2" s="44" t="n"/>
      <c r="HQP2" s="44" t="n"/>
      <c r="HQQ2" s="44" t="n"/>
      <c r="HQR2" s="44" t="n"/>
      <c r="HQS2" s="44" t="n"/>
      <c r="HQT2" s="44" t="n"/>
      <c r="HQU2" s="44" t="n"/>
      <c r="HQV2" s="44" t="n"/>
      <c r="HQW2" s="44" t="n"/>
      <c r="HQX2" s="44" t="n"/>
      <c r="HQY2" s="44" t="n"/>
      <c r="HQZ2" s="44" t="n"/>
      <c r="HRA2" s="44" t="n"/>
      <c r="HRB2" s="44" t="n"/>
      <c r="HRC2" s="44" t="n"/>
      <c r="HRD2" s="44" t="n"/>
      <c r="HRE2" s="44" t="n"/>
      <c r="HRF2" s="44" t="n"/>
      <c r="HRG2" s="44" t="n"/>
      <c r="HRH2" s="44" t="n"/>
      <c r="HRI2" s="44" t="n"/>
      <c r="HRJ2" s="44" t="n"/>
      <c r="HRK2" s="44" t="n"/>
      <c r="HRL2" s="44" t="n"/>
      <c r="HRM2" s="44" t="n"/>
      <c r="HRN2" s="44" t="n"/>
      <c r="HRO2" s="44" t="n"/>
      <c r="HRP2" s="44" t="n"/>
      <c r="HRQ2" s="44" t="n"/>
      <c r="HRR2" s="44" t="n"/>
      <c r="HRS2" s="44" t="n"/>
      <c r="HRT2" s="44" t="n"/>
      <c r="HRU2" s="44" t="n"/>
      <c r="HRV2" s="44" t="n"/>
      <c r="HRW2" s="44" t="n"/>
      <c r="HRX2" s="44" t="n"/>
      <c r="HRY2" s="44" t="n"/>
      <c r="HRZ2" s="44" t="n"/>
      <c r="HSA2" s="44" t="n"/>
      <c r="HSB2" s="44" t="n"/>
      <c r="HSC2" s="44" t="n"/>
      <c r="HSD2" s="44" t="n"/>
      <c r="HSE2" s="44" t="n"/>
      <c r="HSF2" s="44" t="n"/>
      <c r="HSG2" s="44" t="n"/>
      <c r="HSH2" s="44" t="n"/>
      <c r="HSI2" s="44" t="n"/>
      <c r="HSJ2" s="44" t="n"/>
      <c r="HSK2" s="44" t="n"/>
      <c r="HSL2" s="44" t="n"/>
      <c r="HSM2" s="44" t="n"/>
      <c r="HSN2" s="44" t="n"/>
      <c r="HSO2" s="44" t="n"/>
      <c r="HSP2" s="44" t="n"/>
      <c r="HSQ2" s="44" t="n"/>
      <c r="HSR2" s="44" t="n"/>
      <c r="HSS2" s="44" t="n"/>
      <c r="HST2" s="44" t="n"/>
      <c r="HSU2" s="44" t="n"/>
      <c r="HSV2" s="44" t="n"/>
      <c r="HSW2" s="44" t="n"/>
      <c r="HSX2" s="44" t="n"/>
      <c r="HSY2" s="44" t="n"/>
      <c r="HSZ2" s="44" t="n"/>
      <c r="HTA2" s="44" t="n"/>
      <c r="HTB2" s="44" t="n"/>
      <c r="HTC2" s="44" t="n"/>
      <c r="HTD2" s="44" t="n"/>
      <c r="HTE2" s="44" t="n"/>
      <c r="HTF2" s="44" t="n"/>
      <c r="HTG2" s="44" t="n"/>
      <c r="HTH2" s="44" t="n"/>
      <c r="HTI2" s="44" t="n"/>
      <c r="HTJ2" s="44" t="n"/>
      <c r="HTK2" s="44" t="n"/>
      <c r="HTL2" s="44" t="n"/>
      <c r="HTM2" s="44" t="n"/>
      <c r="HTN2" s="44" t="n"/>
      <c r="HTO2" s="44" t="n"/>
      <c r="HTP2" s="44" t="n"/>
      <c r="HTQ2" s="44" t="n"/>
      <c r="HTR2" s="44" t="n"/>
      <c r="HTS2" s="44" t="n"/>
      <c r="HTT2" s="44" t="n"/>
      <c r="HTU2" s="44" t="n"/>
      <c r="HTV2" s="44" t="n"/>
      <c r="HTW2" s="44" t="n"/>
      <c r="HTX2" s="44" t="n"/>
      <c r="HTY2" s="44" t="n"/>
      <c r="HTZ2" s="44" t="n"/>
      <c r="HUA2" s="44" t="n"/>
      <c r="HUB2" s="44" t="n"/>
      <c r="HUC2" s="44" t="n"/>
      <c r="HUD2" s="44" t="n"/>
      <c r="HUE2" s="44" t="n"/>
      <c r="HUF2" s="44" t="n"/>
      <c r="HUG2" s="44" t="n"/>
      <c r="HUH2" s="44" t="n"/>
      <c r="HUI2" s="44" t="n"/>
      <c r="HUJ2" s="44" t="n"/>
      <c r="HUK2" s="44" t="n"/>
      <c r="HUL2" s="44" t="n"/>
      <c r="HUM2" s="44" t="n"/>
      <c r="HUN2" s="44" t="n"/>
      <c r="HUO2" s="44" t="n"/>
      <c r="HUP2" s="44" t="n"/>
      <c r="HUQ2" s="44" t="n"/>
      <c r="HUR2" s="44" t="n"/>
      <c r="HUS2" s="44" t="n"/>
      <c r="HUT2" s="44" t="n"/>
      <c r="HUU2" s="44" t="n"/>
      <c r="HUV2" s="44" t="n"/>
      <c r="HUW2" s="44" t="n"/>
      <c r="HUX2" s="44" t="n"/>
      <c r="HUY2" s="44" t="n"/>
      <c r="HUZ2" s="44" t="n"/>
      <c r="HVA2" s="44" t="n"/>
      <c r="HVB2" s="44" t="n"/>
      <c r="HVC2" s="44" t="n"/>
      <c r="HVD2" s="44" t="n"/>
      <c r="HVE2" s="44" t="n"/>
      <c r="HVF2" s="44" t="n"/>
      <c r="HVG2" s="44" t="n"/>
      <c r="HVH2" s="44" t="n"/>
      <c r="HVI2" s="44" t="n"/>
      <c r="HVJ2" s="44" t="n"/>
      <c r="HVK2" s="44" t="n"/>
      <c r="HVL2" s="44" t="n"/>
      <c r="HVM2" s="44" t="n"/>
      <c r="HVN2" s="44" t="n"/>
      <c r="HVO2" s="44" t="n"/>
      <c r="HVP2" s="44" t="n"/>
      <c r="HVQ2" s="44" t="n"/>
      <c r="HVR2" s="44" t="n"/>
      <c r="HVS2" s="44" t="n"/>
      <c r="HVT2" s="44" t="n"/>
      <c r="HVU2" s="44" t="n"/>
      <c r="HVV2" s="44" t="n"/>
      <c r="HVW2" s="44" t="n"/>
      <c r="HVX2" s="44" t="n"/>
      <c r="HVY2" s="44" t="n"/>
      <c r="HVZ2" s="44" t="n"/>
      <c r="HWA2" s="44" t="n"/>
      <c r="HWB2" s="44" t="n"/>
      <c r="HWC2" s="44" t="n"/>
      <c r="HWD2" s="44" t="n"/>
      <c r="HWE2" s="44" t="n"/>
      <c r="HWF2" s="44" t="n"/>
      <c r="HWG2" s="44" t="n"/>
      <c r="HWH2" s="44" t="n"/>
      <c r="HWI2" s="44" t="n"/>
      <c r="HWJ2" s="44" t="n"/>
      <c r="HWK2" s="44" t="n"/>
      <c r="HWL2" s="44" t="n"/>
      <c r="HWM2" s="44" t="n"/>
      <c r="HWN2" s="44" t="n"/>
      <c r="HWO2" s="44" t="n"/>
      <c r="HWP2" s="44" t="n"/>
      <c r="HWQ2" s="44" t="n"/>
      <c r="HWR2" s="44" t="n"/>
      <c r="HWS2" s="44" t="n"/>
      <c r="HWT2" s="44" t="n"/>
      <c r="HWU2" s="44" t="n"/>
      <c r="HWV2" s="44" t="n"/>
      <c r="HWW2" s="44" t="n"/>
      <c r="HWX2" s="44" t="n"/>
      <c r="HWY2" s="44" t="n"/>
      <c r="HWZ2" s="44" t="n"/>
      <c r="HXA2" s="44" t="n"/>
      <c r="HXB2" s="44" t="n"/>
      <c r="HXC2" s="44" t="n"/>
      <c r="HXD2" s="44" t="n"/>
      <c r="HXE2" s="44" t="n"/>
      <c r="HXF2" s="44" t="n"/>
      <c r="HXG2" s="44" t="n"/>
      <c r="HXH2" s="44" t="n"/>
      <c r="HXI2" s="44" t="n"/>
      <c r="HXJ2" s="44" t="n"/>
      <c r="HXK2" s="44" t="n"/>
      <c r="HXL2" s="44" t="n"/>
      <c r="HXM2" s="44" t="n"/>
      <c r="HXN2" s="44" t="n"/>
      <c r="HXO2" s="44" t="n"/>
      <c r="HXP2" s="44" t="n"/>
      <c r="HXQ2" s="44" t="n"/>
      <c r="HXR2" s="44" t="n"/>
      <c r="HXS2" s="44" t="n"/>
      <c r="HXT2" s="44" t="n"/>
      <c r="HXU2" s="44" t="n"/>
      <c r="HXV2" s="44" t="n"/>
      <c r="HXW2" s="44" t="n"/>
      <c r="HXX2" s="44" t="n"/>
      <c r="HXY2" s="44" t="n"/>
      <c r="HXZ2" s="44" t="n"/>
      <c r="HYA2" s="44" t="n"/>
      <c r="HYB2" s="44" t="n"/>
      <c r="HYC2" s="44" t="n"/>
      <c r="HYD2" s="44" t="n"/>
      <c r="HYE2" s="44" t="n"/>
      <c r="HYF2" s="44" t="n"/>
      <c r="HYG2" s="44" t="n"/>
      <c r="HYH2" s="44" t="n"/>
      <c r="HYI2" s="44" t="n"/>
      <c r="HYJ2" s="44" t="n"/>
      <c r="HYK2" s="44" t="n"/>
      <c r="HYL2" s="44" t="n"/>
      <c r="HYM2" s="44" t="n"/>
      <c r="HYN2" s="44" t="n"/>
      <c r="HYO2" s="44" t="n"/>
      <c r="HYP2" s="44" t="n"/>
      <c r="HYQ2" s="44" t="n"/>
      <c r="HYR2" s="44" t="n"/>
      <c r="HYS2" s="44" t="n"/>
      <c r="HYT2" s="44" t="n"/>
      <c r="HYU2" s="44" t="n"/>
      <c r="HYV2" s="44" t="n"/>
      <c r="HYW2" s="44" t="n"/>
      <c r="HYX2" s="44" t="n"/>
      <c r="HYY2" s="44" t="n"/>
      <c r="HYZ2" s="44" t="n"/>
      <c r="HZA2" s="44" t="n"/>
      <c r="HZB2" s="44" t="n"/>
      <c r="HZC2" s="44" t="n"/>
      <c r="HZD2" s="44" t="n"/>
      <c r="HZE2" s="44" t="n"/>
      <c r="HZF2" s="44" t="n"/>
      <c r="HZG2" s="44" t="n"/>
      <c r="HZH2" s="44" t="n"/>
      <c r="HZI2" s="44" t="n"/>
      <c r="HZJ2" s="44" t="n"/>
      <c r="HZK2" s="44" t="n"/>
      <c r="HZL2" s="44" t="n"/>
      <c r="HZM2" s="44" t="n"/>
      <c r="HZN2" s="44" t="n"/>
      <c r="HZO2" s="44" t="n"/>
      <c r="HZP2" s="44" t="n"/>
      <c r="HZQ2" s="44" t="n"/>
      <c r="HZR2" s="44" t="n"/>
      <c r="HZS2" s="44" t="n"/>
      <c r="HZT2" s="44" t="n"/>
      <c r="HZU2" s="44" t="n"/>
      <c r="HZV2" s="44" t="n"/>
      <c r="HZW2" s="44" t="n"/>
      <c r="HZX2" s="44" t="n"/>
      <c r="HZY2" s="44" t="n"/>
      <c r="HZZ2" s="44" t="n"/>
      <c r="IAA2" s="44" t="n"/>
      <c r="IAB2" s="44" t="n"/>
      <c r="IAC2" s="44" t="n"/>
      <c r="IAD2" s="44" t="n"/>
      <c r="IAE2" s="44" t="n"/>
      <c r="IAF2" s="44" t="n"/>
      <c r="IAG2" s="44" t="n"/>
      <c r="IAH2" s="44" t="n"/>
      <c r="IAI2" s="44" t="n"/>
      <c r="IAJ2" s="44" t="n"/>
      <c r="IAK2" s="44" t="n"/>
      <c r="IAL2" s="44" t="n"/>
      <c r="IAM2" s="44" t="n"/>
      <c r="IAN2" s="44" t="n"/>
      <c r="IAO2" s="44" t="n"/>
      <c r="IAP2" s="44" t="n"/>
      <c r="IAQ2" s="44" t="n"/>
      <c r="IAR2" s="44" t="n"/>
      <c r="IAS2" s="44" t="n"/>
      <c r="IAT2" s="44" t="n"/>
      <c r="IAU2" s="44" t="n"/>
      <c r="IAV2" s="44" t="n"/>
      <c r="IAW2" s="44" t="n"/>
      <c r="IAX2" s="44" t="n"/>
      <c r="IAY2" s="44" t="n"/>
      <c r="IAZ2" s="44" t="n"/>
      <c r="IBA2" s="44" t="n"/>
      <c r="IBB2" s="44" t="n"/>
      <c r="IBC2" s="44" t="n"/>
      <c r="IBD2" s="44" t="n"/>
      <c r="IBE2" s="44" t="n"/>
      <c r="IBF2" s="44" t="n"/>
      <c r="IBG2" s="44" t="n"/>
      <c r="IBH2" s="44" t="n"/>
      <c r="IBI2" s="44" t="n"/>
      <c r="IBJ2" s="44" t="n"/>
      <c r="IBK2" s="44" t="n"/>
      <c r="IBL2" s="44" t="n"/>
      <c r="IBM2" s="44" t="n"/>
      <c r="IBN2" s="44" t="n"/>
      <c r="IBO2" s="44" t="n"/>
      <c r="IBP2" s="44" t="n"/>
      <c r="IBQ2" s="44" t="n"/>
      <c r="IBR2" s="44" t="n"/>
      <c r="IBS2" s="44" t="n"/>
      <c r="IBT2" s="44" t="n"/>
      <c r="IBU2" s="44" t="n"/>
      <c r="IBV2" s="44" t="n"/>
      <c r="IBW2" s="44" t="n"/>
      <c r="IBX2" s="44" t="n"/>
      <c r="IBY2" s="44" t="n"/>
      <c r="IBZ2" s="44" t="n"/>
      <c r="ICA2" s="44" t="n"/>
      <c r="ICB2" s="44" t="n"/>
      <c r="ICC2" s="44" t="n"/>
      <c r="ICD2" s="44" t="n"/>
      <c r="ICE2" s="44" t="n"/>
      <c r="ICF2" s="44" t="n"/>
      <c r="ICG2" s="44" t="n"/>
      <c r="ICH2" s="44" t="n"/>
      <c r="ICI2" s="44" t="n"/>
      <c r="ICJ2" s="44" t="n"/>
      <c r="ICK2" s="44" t="n"/>
      <c r="ICL2" s="44" t="n"/>
      <c r="ICM2" s="44" t="n"/>
      <c r="ICN2" s="44" t="n"/>
      <c r="ICO2" s="44" t="n"/>
      <c r="ICP2" s="44" t="n"/>
      <c r="ICQ2" s="44" t="n"/>
      <c r="ICR2" s="44" t="n"/>
      <c r="ICS2" s="44" t="n"/>
      <c r="ICT2" s="44" t="n"/>
      <c r="ICU2" s="44" t="n"/>
      <c r="ICV2" s="44" t="n"/>
      <c r="ICW2" s="44" t="n"/>
      <c r="ICX2" s="44" t="n"/>
      <c r="ICY2" s="44" t="n"/>
      <c r="ICZ2" s="44" t="n"/>
      <c r="IDA2" s="44" t="n"/>
      <c r="IDB2" s="44" t="n"/>
      <c r="IDC2" s="44" t="n"/>
      <c r="IDD2" s="44" t="n"/>
      <c r="IDE2" s="44" t="n"/>
      <c r="IDF2" s="44" t="n"/>
      <c r="IDG2" s="44" t="n"/>
      <c r="IDH2" s="44" t="n"/>
      <c r="IDI2" s="44" t="n"/>
      <c r="IDJ2" s="44" t="n"/>
      <c r="IDK2" s="44" t="n"/>
      <c r="IDL2" s="44" t="n"/>
      <c r="IDM2" s="44" t="n"/>
      <c r="IDN2" s="44" t="n"/>
      <c r="IDO2" s="44" t="n"/>
      <c r="IDP2" s="44" t="n"/>
      <c r="IDQ2" s="44" t="n"/>
      <c r="IDR2" s="44" t="n"/>
      <c r="IDS2" s="44" t="n"/>
      <c r="IDT2" s="44" t="n"/>
      <c r="IDU2" s="44" t="n"/>
      <c r="IDV2" s="44" t="n"/>
      <c r="IDW2" s="44" t="n"/>
      <c r="IDX2" s="44" t="n"/>
      <c r="IDY2" s="44" t="n"/>
      <c r="IDZ2" s="44" t="n"/>
      <c r="IEA2" s="44" t="n"/>
      <c r="IEB2" s="44" t="n"/>
      <c r="IEC2" s="44" t="n"/>
      <c r="IED2" s="44" t="n"/>
      <c r="IEE2" s="44" t="n"/>
      <c r="IEF2" s="44" t="n"/>
      <c r="IEG2" s="44" t="n"/>
      <c r="IEH2" s="44" t="n"/>
      <c r="IEI2" s="44" t="n"/>
      <c r="IEJ2" s="44" t="n"/>
      <c r="IEK2" s="44" t="n"/>
      <c r="IEL2" s="44" t="n"/>
      <c r="IEM2" s="44" t="n"/>
      <c r="IEN2" s="44" t="n"/>
      <c r="IEO2" s="44" t="n"/>
      <c r="IEP2" s="44" t="n"/>
      <c r="IEQ2" s="44" t="n"/>
      <c r="IER2" s="44" t="n"/>
      <c r="IES2" s="44" t="n"/>
      <c r="IET2" s="44" t="n"/>
      <c r="IEU2" s="44" t="n"/>
      <c r="IEV2" s="44" t="n"/>
      <c r="IEW2" s="44" t="n"/>
      <c r="IEX2" s="44" t="n"/>
      <c r="IEY2" s="44" t="n"/>
      <c r="IEZ2" s="44" t="n"/>
      <c r="IFA2" s="44" t="n"/>
      <c r="IFB2" s="44" t="n"/>
      <c r="IFC2" s="44" t="n"/>
      <c r="IFD2" s="44" t="n"/>
      <c r="IFE2" s="44" t="n"/>
      <c r="IFF2" s="44" t="n"/>
      <c r="IFG2" s="44" t="n"/>
      <c r="IFH2" s="44" t="n"/>
      <c r="IFI2" s="44" t="n"/>
      <c r="IFJ2" s="44" t="n"/>
      <c r="IFK2" s="44" t="n"/>
      <c r="IFL2" s="44" t="n"/>
      <c r="IFM2" s="44" t="n"/>
      <c r="IFN2" s="44" t="n"/>
      <c r="IFO2" s="44" t="n"/>
      <c r="IFP2" s="44" t="n"/>
      <c r="IFQ2" s="44" t="n"/>
      <c r="IFR2" s="44" t="n"/>
      <c r="IFS2" s="44" t="n"/>
      <c r="IFT2" s="44" t="n"/>
      <c r="IFU2" s="44" t="n"/>
      <c r="IFV2" s="44" t="n"/>
      <c r="IFW2" s="44" t="n"/>
      <c r="IFX2" s="44" t="n"/>
      <c r="IFY2" s="44" t="n"/>
      <c r="IFZ2" s="44" t="n"/>
      <c r="IGA2" s="44" t="n"/>
      <c r="IGB2" s="44" t="n"/>
      <c r="IGC2" s="44" t="n"/>
      <c r="IGD2" s="44" t="n"/>
      <c r="IGE2" s="44" t="n"/>
      <c r="IGF2" s="44" t="n"/>
      <c r="IGG2" s="44" t="n"/>
      <c r="IGH2" s="44" t="n"/>
      <c r="IGI2" s="44" t="n"/>
      <c r="IGJ2" s="44" t="n"/>
      <c r="IGK2" s="44" t="n"/>
      <c r="IGL2" s="44" t="n"/>
      <c r="IGM2" s="44" t="n"/>
      <c r="IGN2" s="44" t="n"/>
      <c r="IGO2" s="44" t="n"/>
      <c r="IGP2" s="44" t="n"/>
      <c r="IGQ2" s="44" t="n"/>
      <c r="IGR2" s="44" t="n"/>
      <c r="IGS2" s="44" t="n"/>
      <c r="IGT2" s="44" t="n"/>
      <c r="IGU2" s="44" t="n"/>
      <c r="IGV2" s="44" t="n"/>
      <c r="IGW2" s="44" t="n"/>
      <c r="IGX2" s="44" t="n"/>
      <c r="IGY2" s="44" t="n"/>
      <c r="IGZ2" s="44" t="n"/>
      <c r="IHA2" s="44" t="n"/>
      <c r="IHB2" s="44" t="n"/>
      <c r="IHC2" s="44" t="n"/>
      <c r="IHD2" s="44" t="n"/>
      <c r="IHE2" s="44" t="n"/>
      <c r="IHF2" s="44" t="n"/>
      <c r="IHG2" s="44" t="n"/>
      <c r="IHH2" s="44" t="n"/>
      <c r="IHI2" s="44" t="n"/>
      <c r="IHJ2" s="44" t="n"/>
      <c r="IHK2" s="44" t="n"/>
      <c r="IHL2" s="44" t="n"/>
      <c r="IHM2" s="44" t="n"/>
      <c r="IHN2" s="44" t="n"/>
      <c r="IHO2" s="44" t="n"/>
      <c r="IHP2" s="44" t="n"/>
      <c r="IHQ2" s="44" t="n"/>
      <c r="IHR2" s="44" t="n"/>
      <c r="IHS2" s="44" t="n"/>
      <c r="IHT2" s="44" t="n"/>
      <c r="IHU2" s="44" t="n"/>
      <c r="IHV2" s="44" t="n"/>
      <c r="IHW2" s="44" t="n"/>
      <c r="IHX2" s="44" t="n"/>
      <c r="IHY2" s="44" t="n"/>
      <c r="IHZ2" s="44" t="n"/>
      <c r="IIA2" s="44" t="n"/>
      <c r="IIB2" s="44" t="n"/>
      <c r="IIC2" s="44" t="n"/>
      <c r="IID2" s="44" t="n"/>
      <c r="IIE2" s="44" t="n"/>
      <c r="IIF2" s="44" t="n"/>
      <c r="IIG2" s="44" t="n"/>
      <c r="IIH2" s="44" t="n"/>
      <c r="III2" s="44" t="n"/>
      <c r="IIJ2" s="44" t="n"/>
      <c r="IIK2" s="44" t="n"/>
      <c r="IIL2" s="44" t="n"/>
      <c r="IIM2" s="44" t="n"/>
      <c r="IIN2" s="44" t="n"/>
      <c r="IIO2" s="44" t="n"/>
      <c r="IIP2" s="44" t="n"/>
      <c r="IIQ2" s="44" t="n"/>
      <c r="IIR2" s="44" t="n"/>
      <c r="IIS2" s="44" t="n"/>
      <c r="IIT2" s="44" t="n"/>
      <c r="IIU2" s="44" t="n"/>
      <c r="IIV2" s="44" t="n"/>
      <c r="IIW2" s="44" t="n"/>
      <c r="IIX2" s="44" t="n"/>
      <c r="IIY2" s="44" t="n"/>
      <c r="IIZ2" s="44" t="n"/>
      <c r="IJA2" s="44" t="n"/>
      <c r="IJB2" s="44" t="n"/>
      <c r="IJC2" s="44" t="n"/>
      <c r="IJD2" s="44" t="n"/>
      <c r="IJE2" s="44" t="n"/>
      <c r="IJF2" s="44" t="n"/>
      <c r="IJG2" s="44" t="n"/>
      <c r="IJH2" s="44" t="n"/>
      <c r="IJI2" s="44" t="n"/>
      <c r="IJJ2" s="44" t="n"/>
      <c r="IJK2" s="44" t="n"/>
      <c r="IJL2" s="44" t="n"/>
      <c r="IJM2" s="44" t="n"/>
      <c r="IJN2" s="44" t="n"/>
      <c r="IJO2" s="44" t="n"/>
      <c r="IJP2" s="44" t="n"/>
      <c r="IJQ2" s="44" t="n"/>
      <c r="IJR2" s="44" t="n"/>
      <c r="IJS2" s="44" t="n"/>
      <c r="IJT2" s="44" t="n"/>
      <c r="IJU2" s="44" t="n"/>
      <c r="IJV2" s="44" t="n"/>
      <c r="IJW2" s="44" t="n"/>
      <c r="IJX2" s="44" t="n"/>
      <c r="IJY2" s="44" t="n"/>
      <c r="IJZ2" s="44" t="n"/>
      <c r="IKA2" s="44" t="n"/>
      <c r="IKB2" s="44" t="n"/>
      <c r="IKC2" s="44" t="n"/>
      <c r="IKD2" s="44" t="n"/>
      <c r="IKE2" s="44" t="n"/>
      <c r="IKF2" s="44" t="n"/>
      <c r="IKG2" s="44" t="n"/>
      <c r="IKH2" s="44" t="n"/>
      <c r="IKI2" s="44" t="n"/>
      <c r="IKJ2" s="44" t="n"/>
      <c r="IKK2" s="44" t="n"/>
      <c r="IKL2" s="44" t="n"/>
      <c r="IKM2" s="44" t="n"/>
      <c r="IKN2" s="44" t="n"/>
      <c r="IKO2" s="44" t="n"/>
      <c r="IKP2" s="44" t="n"/>
      <c r="IKQ2" s="44" t="n"/>
      <c r="IKR2" s="44" t="n"/>
      <c r="IKS2" s="44" t="n"/>
      <c r="IKT2" s="44" t="n"/>
      <c r="IKU2" s="44" t="n"/>
      <c r="IKV2" s="44" t="n"/>
      <c r="IKW2" s="44" t="n"/>
      <c r="IKX2" s="44" t="n"/>
      <c r="IKY2" s="44" t="n"/>
      <c r="IKZ2" s="44" t="n"/>
      <c r="ILA2" s="44" t="n"/>
      <c r="ILB2" s="44" t="n"/>
      <c r="ILC2" s="44" t="n"/>
      <c r="ILD2" s="44" t="n"/>
      <c r="ILE2" s="44" t="n"/>
      <c r="ILF2" s="44" t="n"/>
      <c r="ILG2" s="44" t="n"/>
      <c r="ILH2" s="44" t="n"/>
      <c r="ILI2" s="44" t="n"/>
      <c r="ILJ2" s="44" t="n"/>
      <c r="ILK2" s="44" t="n"/>
      <c r="ILL2" s="44" t="n"/>
      <c r="ILM2" s="44" t="n"/>
      <c r="ILN2" s="44" t="n"/>
      <c r="ILO2" s="44" t="n"/>
      <c r="ILP2" s="44" t="n"/>
      <c r="ILQ2" s="44" t="n"/>
      <c r="ILR2" s="44" t="n"/>
      <c r="ILS2" s="44" t="n"/>
      <c r="ILT2" s="44" t="n"/>
      <c r="ILU2" s="44" t="n"/>
      <c r="ILV2" s="44" t="n"/>
      <c r="ILW2" s="44" t="n"/>
      <c r="ILX2" s="44" t="n"/>
      <c r="ILY2" s="44" t="n"/>
      <c r="ILZ2" s="44" t="n"/>
      <c r="IMA2" s="44" t="n"/>
      <c r="IMB2" s="44" t="n"/>
      <c r="IMC2" s="44" t="n"/>
      <c r="IMD2" s="44" t="n"/>
      <c r="IME2" s="44" t="n"/>
      <c r="IMF2" s="44" t="n"/>
      <c r="IMG2" s="44" t="n"/>
      <c r="IMH2" s="44" t="n"/>
      <c r="IMI2" s="44" t="n"/>
      <c r="IMJ2" s="44" t="n"/>
      <c r="IMK2" s="44" t="n"/>
      <c r="IML2" s="44" t="n"/>
      <c r="IMM2" s="44" t="n"/>
      <c r="IMN2" s="44" t="n"/>
      <c r="IMO2" s="44" t="n"/>
      <c r="IMP2" s="44" t="n"/>
      <c r="IMQ2" s="44" t="n"/>
      <c r="IMR2" s="44" t="n"/>
      <c r="IMS2" s="44" t="n"/>
      <c r="IMT2" s="44" t="n"/>
      <c r="IMU2" s="44" t="n"/>
      <c r="IMV2" s="44" t="n"/>
      <c r="IMW2" s="44" t="n"/>
      <c r="IMX2" s="44" t="n"/>
      <c r="IMY2" s="44" t="n"/>
      <c r="IMZ2" s="44" t="n"/>
      <c r="INA2" s="44" t="n"/>
      <c r="INB2" s="44" t="n"/>
      <c r="INC2" s="44" t="n"/>
      <c r="IND2" s="44" t="n"/>
      <c r="INE2" s="44" t="n"/>
      <c r="INF2" s="44" t="n"/>
      <c r="ING2" s="44" t="n"/>
      <c r="INH2" s="44" t="n"/>
      <c r="INI2" s="44" t="n"/>
      <c r="INJ2" s="44" t="n"/>
      <c r="INK2" s="44" t="n"/>
      <c r="INL2" s="44" t="n"/>
      <c r="INM2" s="44" t="n"/>
      <c r="INN2" s="44" t="n"/>
      <c r="INO2" s="44" t="n"/>
      <c r="INP2" s="44" t="n"/>
      <c r="INQ2" s="44" t="n"/>
      <c r="INR2" s="44" t="n"/>
      <c r="INS2" s="44" t="n"/>
      <c r="INT2" s="44" t="n"/>
      <c r="INU2" s="44" t="n"/>
      <c r="INV2" s="44" t="n"/>
      <c r="INW2" s="44" t="n"/>
      <c r="INX2" s="44" t="n"/>
      <c r="INY2" s="44" t="n"/>
      <c r="INZ2" s="44" t="n"/>
      <c r="IOA2" s="44" t="n"/>
      <c r="IOB2" s="44" t="n"/>
      <c r="IOC2" s="44" t="n"/>
      <c r="IOD2" s="44" t="n"/>
      <c r="IOE2" s="44" t="n"/>
      <c r="IOF2" s="44" t="n"/>
      <c r="IOG2" s="44" t="n"/>
      <c r="IOH2" s="44" t="n"/>
      <c r="IOI2" s="44" t="n"/>
      <c r="IOJ2" s="44" t="n"/>
      <c r="IOK2" s="44" t="n"/>
      <c r="IOL2" s="44" t="n"/>
      <c r="IOM2" s="44" t="n"/>
      <c r="ION2" s="44" t="n"/>
      <c r="IOO2" s="44" t="n"/>
      <c r="IOP2" s="44" t="n"/>
      <c r="IOQ2" s="44" t="n"/>
      <c r="IOR2" s="44" t="n"/>
      <c r="IOS2" s="44" t="n"/>
      <c r="IOT2" s="44" t="n"/>
      <c r="IOU2" s="44" t="n"/>
      <c r="IOV2" s="44" t="n"/>
      <c r="IOW2" s="44" t="n"/>
      <c r="IOX2" s="44" t="n"/>
      <c r="IOY2" s="44" t="n"/>
      <c r="IOZ2" s="44" t="n"/>
      <c r="IPA2" s="44" t="n"/>
      <c r="IPB2" s="44" t="n"/>
      <c r="IPC2" s="44" t="n"/>
      <c r="IPD2" s="44" t="n"/>
      <c r="IPE2" s="44" t="n"/>
      <c r="IPF2" s="44" t="n"/>
      <c r="IPG2" s="44" t="n"/>
      <c r="IPH2" s="44" t="n"/>
      <c r="IPI2" s="44" t="n"/>
      <c r="IPJ2" s="44" t="n"/>
      <c r="IPK2" s="44" t="n"/>
      <c r="IPL2" s="44" t="n"/>
      <c r="IPM2" s="44" t="n"/>
      <c r="IPN2" s="44" t="n"/>
      <c r="IPO2" s="44" t="n"/>
      <c r="IPP2" s="44" t="n"/>
      <c r="IPQ2" s="44" t="n"/>
      <c r="IPR2" s="44" t="n"/>
      <c r="IPS2" s="44" t="n"/>
      <c r="IPT2" s="44" t="n"/>
      <c r="IPU2" s="44" t="n"/>
      <c r="IPV2" s="44" t="n"/>
      <c r="IPW2" s="44" t="n"/>
      <c r="IPX2" s="44" t="n"/>
      <c r="IPY2" s="44" t="n"/>
      <c r="IPZ2" s="44" t="n"/>
      <c r="IQA2" s="44" t="n"/>
      <c r="IQB2" s="44" t="n"/>
      <c r="IQC2" s="44" t="n"/>
      <c r="IQD2" s="44" t="n"/>
      <c r="IQE2" s="44" t="n"/>
      <c r="IQF2" s="44" t="n"/>
      <c r="IQG2" s="44" t="n"/>
      <c r="IQH2" s="44" t="n"/>
      <c r="IQI2" s="44" t="n"/>
      <c r="IQJ2" s="44" t="n"/>
      <c r="IQK2" s="44" t="n"/>
      <c r="IQL2" s="44" t="n"/>
      <c r="IQM2" s="44" t="n"/>
      <c r="IQN2" s="44" t="n"/>
      <c r="IQO2" s="44" t="n"/>
      <c r="IQP2" s="44" t="n"/>
      <c r="IQQ2" s="44" t="n"/>
      <c r="IQR2" s="44" t="n"/>
      <c r="IQS2" s="44" t="n"/>
      <c r="IQT2" s="44" t="n"/>
      <c r="IQU2" s="44" t="n"/>
      <c r="IQV2" s="44" t="n"/>
      <c r="IQW2" s="44" t="n"/>
      <c r="IQX2" s="44" t="n"/>
      <c r="IQY2" s="44" t="n"/>
      <c r="IQZ2" s="44" t="n"/>
      <c r="IRA2" s="44" t="n"/>
      <c r="IRB2" s="44" t="n"/>
      <c r="IRC2" s="44" t="n"/>
      <c r="IRD2" s="44" t="n"/>
      <c r="IRE2" s="44" t="n"/>
      <c r="IRF2" s="44" t="n"/>
      <c r="IRG2" s="44" t="n"/>
      <c r="IRH2" s="44" t="n"/>
      <c r="IRI2" s="44" t="n"/>
      <c r="IRJ2" s="44" t="n"/>
      <c r="IRK2" s="44" t="n"/>
      <c r="IRL2" s="44" t="n"/>
      <c r="IRM2" s="44" t="n"/>
      <c r="IRN2" s="44" t="n"/>
      <c r="IRO2" s="44" t="n"/>
      <c r="IRP2" s="44" t="n"/>
      <c r="IRQ2" s="44" t="n"/>
      <c r="IRR2" s="44" t="n"/>
      <c r="IRS2" s="44" t="n"/>
      <c r="IRT2" s="44" t="n"/>
      <c r="IRU2" s="44" t="n"/>
      <c r="IRV2" s="44" t="n"/>
      <c r="IRW2" s="44" t="n"/>
      <c r="IRX2" s="44" t="n"/>
      <c r="IRY2" s="44" t="n"/>
      <c r="IRZ2" s="44" t="n"/>
      <c r="ISA2" s="44" t="n"/>
      <c r="ISB2" s="44" t="n"/>
      <c r="ISC2" s="44" t="n"/>
      <c r="ISD2" s="44" t="n"/>
      <c r="ISE2" s="44" t="n"/>
      <c r="ISF2" s="44" t="n"/>
      <c r="ISG2" s="44" t="n"/>
      <c r="ISH2" s="44" t="n"/>
      <c r="ISI2" s="44" t="n"/>
      <c r="ISJ2" s="44" t="n"/>
      <c r="ISK2" s="44" t="n"/>
      <c r="ISL2" s="44" t="n"/>
      <c r="ISM2" s="44" t="n"/>
      <c r="ISN2" s="44" t="n"/>
      <c r="ISO2" s="44" t="n"/>
      <c r="ISP2" s="44" t="n"/>
      <c r="ISQ2" s="44" t="n"/>
      <c r="ISR2" s="44" t="n"/>
      <c r="ISS2" s="44" t="n"/>
      <c r="IST2" s="44" t="n"/>
      <c r="ISU2" s="44" t="n"/>
      <c r="ISV2" s="44" t="n"/>
      <c r="ISW2" s="44" t="n"/>
      <c r="ISX2" s="44" t="n"/>
      <c r="ISY2" s="44" t="n"/>
      <c r="ISZ2" s="44" t="n"/>
      <c r="ITA2" s="44" t="n"/>
      <c r="ITB2" s="44" t="n"/>
      <c r="ITC2" s="44" t="n"/>
      <c r="ITD2" s="44" t="n"/>
      <c r="ITE2" s="44" t="n"/>
      <c r="ITF2" s="44" t="n"/>
      <c r="ITG2" s="44" t="n"/>
      <c r="ITH2" s="44" t="n"/>
      <c r="ITI2" s="44" t="n"/>
      <c r="ITJ2" s="44" t="n"/>
      <c r="ITK2" s="44" t="n"/>
      <c r="ITL2" s="44" t="n"/>
      <c r="ITM2" s="44" t="n"/>
      <c r="ITN2" s="44" t="n"/>
      <c r="ITO2" s="44" t="n"/>
      <c r="ITP2" s="44" t="n"/>
      <c r="ITQ2" s="44" t="n"/>
      <c r="ITR2" s="44" t="n"/>
      <c r="ITS2" s="44" t="n"/>
      <c r="ITT2" s="44" t="n"/>
      <c r="ITU2" s="44" t="n"/>
      <c r="ITV2" s="44" t="n"/>
      <c r="ITW2" s="44" t="n"/>
      <c r="ITX2" s="44" t="n"/>
      <c r="ITY2" s="44" t="n"/>
      <c r="ITZ2" s="44" t="n"/>
      <c r="IUA2" s="44" t="n"/>
      <c r="IUB2" s="44" t="n"/>
      <c r="IUC2" s="44" t="n"/>
      <c r="IUD2" s="44" t="n"/>
      <c r="IUE2" s="44" t="n"/>
      <c r="IUF2" s="44" t="n"/>
      <c r="IUG2" s="44" t="n"/>
      <c r="IUH2" s="44" t="n"/>
      <c r="IUI2" s="44" t="n"/>
      <c r="IUJ2" s="44" t="n"/>
      <c r="IUK2" s="44" t="n"/>
      <c r="IUL2" s="44" t="n"/>
      <c r="IUM2" s="44" t="n"/>
      <c r="IUN2" s="44" t="n"/>
      <c r="IUO2" s="44" t="n"/>
      <c r="IUP2" s="44" t="n"/>
      <c r="IUQ2" s="44" t="n"/>
      <c r="IUR2" s="44" t="n"/>
      <c r="IUS2" s="44" t="n"/>
      <c r="IUT2" s="44" t="n"/>
      <c r="IUU2" s="44" t="n"/>
      <c r="IUV2" s="44" t="n"/>
      <c r="IUW2" s="44" t="n"/>
      <c r="IUX2" s="44" t="n"/>
      <c r="IUY2" s="44" t="n"/>
      <c r="IUZ2" s="44" t="n"/>
      <c r="IVA2" s="44" t="n"/>
      <c r="IVB2" s="44" t="n"/>
      <c r="IVC2" s="44" t="n"/>
      <c r="IVD2" s="44" t="n"/>
      <c r="IVE2" s="44" t="n"/>
      <c r="IVF2" s="44" t="n"/>
      <c r="IVG2" s="44" t="n"/>
      <c r="IVH2" s="44" t="n"/>
      <c r="IVI2" s="44" t="n"/>
      <c r="IVJ2" s="44" t="n"/>
      <c r="IVK2" s="44" t="n"/>
      <c r="IVL2" s="44" t="n"/>
      <c r="IVM2" s="44" t="n"/>
      <c r="IVN2" s="44" t="n"/>
      <c r="IVO2" s="44" t="n"/>
      <c r="IVP2" s="44" t="n"/>
      <c r="IVQ2" s="44" t="n"/>
      <c r="IVR2" s="44" t="n"/>
      <c r="IVS2" s="44" t="n"/>
      <c r="IVT2" s="44" t="n"/>
      <c r="IVU2" s="44" t="n"/>
      <c r="IVV2" s="44" t="n"/>
      <c r="IVW2" s="44" t="n"/>
      <c r="IVX2" s="44" t="n"/>
      <c r="IVY2" s="44" t="n"/>
      <c r="IVZ2" s="44" t="n"/>
      <c r="IWA2" s="44" t="n"/>
      <c r="IWB2" s="44" t="n"/>
      <c r="IWC2" s="44" t="n"/>
      <c r="IWD2" s="44" t="n"/>
      <c r="IWE2" s="44" t="n"/>
      <c r="IWF2" s="44" t="n"/>
      <c r="IWG2" s="44" t="n"/>
      <c r="IWH2" s="44" t="n"/>
      <c r="IWI2" s="44" t="n"/>
      <c r="IWJ2" s="44" t="n"/>
      <c r="IWK2" s="44" t="n"/>
      <c r="IWL2" s="44" t="n"/>
      <c r="IWM2" s="44" t="n"/>
      <c r="IWN2" s="44" t="n"/>
      <c r="IWO2" s="44" t="n"/>
      <c r="IWP2" s="44" t="n"/>
      <c r="IWQ2" s="44" t="n"/>
      <c r="IWR2" s="44" t="n"/>
      <c r="IWS2" s="44" t="n"/>
      <c r="IWT2" s="44" t="n"/>
      <c r="IWU2" s="44" t="n"/>
      <c r="IWV2" s="44" t="n"/>
      <c r="IWW2" s="44" t="n"/>
      <c r="IWX2" s="44" t="n"/>
      <c r="IWY2" s="44" t="n"/>
      <c r="IWZ2" s="44" t="n"/>
      <c r="IXA2" s="44" t="n"/>
      <c r="IXB2" s="44" t="n"/>
      <c r="IXC2" s="44" t="n"/>
      <c r="IXD2" s="44" t="n"/>
      <c r="IXE2" s="44" t="n"/>
      <c r="IXF2" s="44" t="n"/>
      <c r="IXG2" s="44" t="n"/>
      <c r="IXH2" s="44" t="n"/>
      <c r="IXI2" s="44" t="n"/>
      <c r="IXJ2" s="44" t="n"/>
      <c r="IXK2" s="44" t="n"/>
      <c r="IXL2" s="44" t="n"/>
      <c r="IXM2" s="44" t="n"/>
      <c r="IXN2" s="44" t="n"/>
      <c r="IXO2" s="44" t="n"/>
      <c r="IXP2" s="44" t="n"/>
      <c r="IXQ2" s="44" t="n"/>
      <c r="IXR2" s="44" t="n"/>
      <c r="IXS2" s="44" t="n"/>
      <c r="IXT2" s="44" t="n"/>
      <c r="IXU2" s="44" t="n"/>
      <c r="IXV2" s="44" t="n"/>
      <c r="IXW2" s="44" t="n"/>
      <c r="IXX2" s="44" t="n"/>
      <c r="IXY2" s="44" t="n"/>
      <c r="IXZ2" s="44" t="n"/>
      <c r="IYA2" s="44" t="n"/>
      <c r="IYB2" s="44" t="n"/>
      <c r="IYC2" s="44" t="n"/>
      <c r="IYD2" s="44" t="n"/>
      <c r="IYE2" s="44" t="n"/>
      <c r="IYF2" s="44" t="n"/>
      <c r="IYG2" s="44" t="n"/>
      <c r="IYH2" s="44" t="n"/>
      <c r="IYI2" s="44" t="n"/>
      <c r="IYJ2" s="44" t="n"/>
      <c r="IYK2" s="44" t="n"/>
      <c r="IYL2" s="44" t="n"/>
      <c r="IYM2" s="44" t="n"/>
      <c r="IYN2" s="44" t="n"/>
      <c r="IYO2" s="44" t="n"/>
      <c r="IYP2" s="44" t="n"/>
      <c r="IYQ2" s="44" t="n"/>
      <c r="IYR2" s="44" t="n"/>
      <c r="IYS2" s="44" t="n"/>
      <c r="IYT2" s="44" t="n"/>
      <c r="IYU2" s="44" t="n"/>
      <c r="IYV2" s="44" t="n"/>
      <c r="IYW2" s="44" t="n"/>
      <c r="IYX2" s="44" t="n"/>
      <c r="IYY2" s="44" t="n"/>
      <c r="IYZ2" s="44" t="n"/>
      <c r="IZA2" s="44" t="n"/>
      <c r="IZB2" s="44" t="n"/>
      <c r="IZC2" s="44" t="n"/>
      <c r="IZD2" s="44" t="n"/>
      <c r="IZE2" s="44" t="n"/>
      <c r="IZF2" s="44" t="n"/>
      <c r="IZG2" s="44" t="n"/>
      <c r="IZH2" s="44" t="n"/>
      <c r="IZI2" s="44" t="n"/>
      <c r="IZJ2" s="44" t="n"/>
      <c r="IZK2" s="44" t="n"/>
      <c r="IZL2" s="44" t="n"/>
      <c r="IZM2" s="44" t="n"/>
      <c r="IZN2" s="44" t="n"/>
      <c r="IZO2" s="44" t="n"/>
      <c r="IZP2" s="44" t="n"/>
      <c r="IZQ2" s="44" t="n"/>
      <c r="IZR2" s="44" t="n"/>
      <c r="IZS2" s="44" t="n"/>
      <c r="IZT2" s="44" t="n"/>
      <c r="IZU2" s="44" t="n"/>
      <c r="IZV2" s="44" t="n"/>
      <c r="IZW2" s="44" t="n"/>
      <c r="IZX2" s="44" t="n"/>
      <c r="IZY2" s="44" t="n"/>
      <c r="IZZ2" s="44" t="n"/>
      <c r="JAA2" s="44" t="n"/>
      <c r="JAB2" s="44" t="n"/>
      <c r="JAC2" s="44" t="n"/>
      <c r="JAD2" s="44" t="n"/>
      <c r="JAE2" s="44" t="n"/>
      <c r="JAF2" s="44" t="n"/>
      <c r="JAG2" s="44" t="n"/>
      <c r="JAH2" s="44" t="n"/>
      <c r="JAI2" s="44" t="n"/>
      <c r="JAJ2" s="44" t="n"/>
      <c r="JAK2" s="44" t="n"/>
      <c r="JAL2" s="44" t="n"/>
      <c r="JAM2" s="44" t="n"/>
      <c r="JAN2" s="44" t="n"/>
      <c r="JAO2" s="44" t="n"/>
      <c r="JAP2" s="44" t="n"/>
      <c r="JAQ2" s="44" t="n"/>
      <c r="JAR2" s="44" t="n"/>
      <c r="JAS2" s="44" t="n"/>
      <c r="JAT2" s="44" t="n"/>
      <c r="JAU2" s="44" t="n"/>
      <c r="JAV2" s="44" t="n"/>
      <c r="JAW2" s="44" t="n"/>
      <c r="JAX2" s="44" t="n"/>
      <c r="JAY2" s="44" t="n"/>
      <c r="JAZ2" s="44" t="n"/>
      <c r="JBA2" s="44" t="n"/>
      <c r="JBB2" s="44" t="n"/>
      <c r="JBC2" s="44" t="n"/>
      <c r="JBD2" s="44" t="n"/>
      <c r="JBE2" s="44" t="n"/>
      <c r="JBF2" s="44" t="n"/>
      <c r="JBG2" s="44" t="n"/>
      <c r="JBH2" s="44" t="n"/>
      <c r="JBI2" s="44" t="n"/>
      <c r="JBJ2" s="44" t="n"/>
      <c r="JBK2" s="44" t="n"/>
      <c r="JBL2" s="44" t="n"/>
      <c r="JBM2" s="44" t="n"/>
      <c r="JBN2" s="44" t="n"/>
      <c r="JBO2" s="44" t="n"/>
      <c r="JBP2" s="44" t="n"/>
      <c r="JBQ2" s="44" t="n"/>
      <c r="JBR2" s="44" t="n"/>
      <c r="JBS2" s="44" t="n"/>
      <c r="JBT2" s="44" t="n"/>
      <c r="JBU2" s="44" t="n"/>
      <c r="JBV2" s="44" t="n"/>
      <c r="JBW2" s="44" t="n"/>
      <c r="JBX2" s="44" t="n"/>
      <c r="JBY2" s="44" t="n"/>
      <c r="JBZ2" s="44" t="n"/>
      <c r="JCA2" s="44" t="n"/>
      <c r="JCB2" s="44" t="n"/>
      <c r="JCC2" s="44" t="n"/>
      <c r="JCD2" s="44" t="n"/>
      <c r="JCE2" s="44" t="n"/>
      <c r="JCF2" s="44" t="n"/>
      <c r="JCG2" s="44" t="n"/>
      <c r="JCH2" s="44" t="n"/>
      <c r="JCI2" s="44" t="n"/>
      <c r="JCJ2" s="44" t="n"/>
      <c r="JCK2" s="44" t="n"/>
      <c r="JCL2" s="44" t="n"/>
      <c r="JCM2" s="44" t="n"/>
      <c r="JCN2" s="44" t="n"/>
      <c r="JCO2" s="44" t="n"/>
      <c r="JCP2" s="44" t="n"/>
      <c r="JCQ2" s="44" t="n"/>
      <c r="JCR2" s="44" t="n"/>
      <c r="JCS2" s="44" t="n"/>
      <c r="JCT2" s="44" t="n"/>
      <c r="JCU2" s="44" t="n"/>
      <c r="JCV2" s="44" t="n"/>
      <c r="JCW2" s="44" t="n"/>
      <c r="JCX2" s="44" t="n"/>
      <c r="JCY2" s="44" t="n"/>
      <c r="JCZ2" s="44" t="n"/>
      <c r="JDA2" s="44" t="n"/>
      <c r="JDB2" s="44" t="n"/>
      <c r="JDC2" s="44" t="n"/>
      <c r="JDD2" s="44" t="n"/>
      <c r="JDE2" s="44" t="n"/>
      <c r="JDF2" s="44" t="n"/>
      <c r="JDG2" s="44" t="n"/>
      <c r="JDH2" s="44" t="n"/>
      <c r="JDI2" s="44" t="n"/>
      <c r="JDJ2" s="44" t="n"/>
      <c r="JDK2" s="44" t="n"/>
      <c r="JDL2" s="44" t="n"/>
      <c r="JDM2" s="44" t="n"/>
      <c r="JDN2" s="44" t="n"/>
      <c r="JDO2" s="44" t="n"/>
      <c r="JDP2" s="44" t="n"/>
      <c r="JDQ2" s="44" t="n"/>
      <c r="JDR2" s="44" t="n"/>
      <c r="JDS2" s="44" t="n"/>
      <c r="JDT2" s="44" t="n"/>
      <c r="JDU2" s="44" t="n"/>
      <c r="JDV2" s="44" t="n"/>
      <c r="JDW2" s="44" t="n"/>
      <c r="JDX2" s="44" t="n"/>
      <c r="JDY2" s="44" t="n"/>
      <c r="JDZ2" s="44" t="n"/>
      <c r="JEA2" s="44" t="n"/>
      <c r="JEB2" s="44" t="n"/>
      <c r="JEC2" s="44" t="n"/>
      <c r="JED2" s="44" t="n"/>
      <c r="JEE2" s="44" t="n"/>
      <c r="JEF2" s="44" t="n"/>
      <c r="JEG2" s="44" t="n"/>
      <c r="JEH2" s="44" t="n"/>
      <c r="JEI2" s="44" t="n"/>
      <c r="JEJ2" s="44" t="n"/>
      <c r="JEK2" s="44" t="n"/>
      <c r="JEL2" s="44" t="n"/>
      <c r="JEM2" s="44" t="n"/>
      <c r="JEN2" s="44" t="n"/>
      <c r="JEO2" s="44" t="n"/>
      <c r="JEP2" s="44" t="n"/>
      <c r="JEQ2" s="44" t="n"/>
      <c r="JER2" s="44" t="n"/>
      <c r="JES2" s="44" t="n"/>
      <c r="JET2" s="44" t="n"/>
      <c r="JEU2" s="44" t="n"/>
      <c r="JEV2" s="44" t="n"/>
      <c r="JEW2" s="44" t="n"/>
      <c r="JEX2" s="44" t="n"/>
      <c r="JEY2" s="44" t="n"/>
      <c r="JEZ2" s="44" t="n"/>
      <c r="JFA2" s="44" t="n"/>
      <c r="JFB2" s="44" t="n"/>
      <c r="JFC2" s="44" t="n"/>
      <c r="JFD2" s="44" t="n"/>
      <c r="JFE2" s="44" t="n"/>
      <c r="JFF2" s="44" t="n"/>
      <c r="JFG2" s="44" t="n"/>
      <c r="JFH2" s="44" t="n"/>
      <c r="JFI2" s="44" t="n"/>
      <c r="JFJ2" s="44" t="n"/>
      <c r="JFK2" s="44" t="n"/>
      <c r="JFL2" s="44" t="n"/>
      <c r="JFM2" s="44" t="n"/>
      <c r="JFN2" s="44" t="n"/>
      <c r="JFO2" s="44" t="n"/>
      <c r="JFP2" s="44" t="n"/>
      <c r="JFQ2" s="44" t="n"/>
      <c r="JFR2" s="44" t="n"/>
      <c r="JFS2" s="44" t="n"/>
      <c r="JFT2" s="44" t="n"/>
      <c r="JFU2" s="44" t="n"/>
      <c r="JFV2" s="44" t="n"/>
      <c r="JFW2" s="44" t="n"/>
      <c r="JFX2" s="44" t="n"/>
      <c r="JFY2" s="44" t="n"/>
      <c r="JFZ2" s="44" t="n"/>
      <c r="JGA2" s="44" t="n"/>
      <c r="JGB2" s="44" t="n"/>
      <c r="JGC2" s="44" t="n"/>
      <c r="JGD2" s="44" t="n"/>
      <c r="JGE2" s="44" t="n"/>
      <c r="JGF2" s="44" t="n"/>
      <c r="JGG2" s="44" t="n"/>
      <c r="JGH2" s="44" t="n"/>
      <c r="JGI2" s="44" t="n"/>
      <c r="JGJ2" s="44" t="n"/>
      <c r="JGK2" s="44" t="n"/>
      <c r="JGL2" s="44" t="n"/>
      <c r="JGM2" s="44" t="n"/>
      <c r="JGN2" s="44" t="n"/>
      <c r="JGO2" s="44" t="n"/>
      <c r="JGP2" s="44" t="n"/>
      <c r="JGQ2" s="44" t="n"/>
      <c r="JGR2" s="44" t="n"/>
      <c r="JGS2" s="44" t="n"/>
      <c r="JGT2" s="44" t="n"/>
      <c r="JGU2" s="44" t="n"/>
      <c r="JGV2" s="44" t="n"/>
      <c r="JGW2" s="44" t="n"/>
      <c r="JGX2" s="44" t="n"/>
      <c r="JGY2" s="44" t="n"/>
      <c r="JGZ2" s="44" t="n"/>
      <c r="JHA2" s="44" t="n"/>
      <c r="JHB2" s="44" t="n"/>
      <c r="JHC2" s="44" t="n"/>
      <c r="JHD2" s="44" t="n"/>
      <c r="JHE2" s="44" t="n"/>
      <c r="JHF2" s="44" t="n"/>
      <c r="JHG2" s="44" t="n"/>
      <c r="JHH2" s="44" t="n"/>
      <c r="JHI2" s="44" t="n"/>
      <c r="JHJ2" s="44" t="n"/>
      <c r="JHK2" s="44" t="n"/>
      <c r="JHL2" s="44" t="n"/>
      <c r="JHM2" s="44" t="n"/>
      <c r="JHN2" s="44" t="n"/>
      <c r="JHO2" s="44" t="n"/>
      <c r="JHP2" s="44" t="n"/>
      <c r="JHQ2" s="44" t="n"/>
      <c r="JHR2" s="44" t="n"/>
      <c r="JHS2" s="44" t="n"/>
      <c r="JHT2" s="44" t="n"/>
      <c r="JHU2" s="44" t="n"/>
      <c r="JHV2" s="44" t="n"/>
      <c r="JHW2" s="44" t="n"/>
      <c r="JHX2" s="44" t="n"/>
      <c r="JHY2" s="44" t="n"/>
      <c r="JHZ2" s="44" t="n"/>
      <c r="JIA2" s="44" t="n"/>
      <c r="JIB2" s="44" t="n"/>
      <c r="JIC2" s="44" t="n"/>
      <c r="JID2" s="44" t="n"/>
      <c r="JIE2" s="44" t="n"/>
      <c r="JIF2" s="44" t="n"/>
      <c r="JIG2" s="44" t="n"/>
      <c r="JIH2" s="44" t="n"/>
      <c r="JII2" s="44" t="n"/>
      <c r="JIJ2" s="44" t="n"/>
      <c r="JIK2" s="44" t="n"/>
      <c r="JIL2" s="44" t="n"/>
      <c r="JIM2" s="44" t="n"/>
      <c r="JIN2" s="44" t="n"/>
      <c r="JIO2" s="44" t="n"/>
      <c r="JIP2" s="44" t="n"/>
      <c r="JIQ2" s="44" t="n"/>
      <c r="JIR2" s="44" t="n"/>
      <c r="JIS2" s="44" t="n"/>
      <c r="JIT2" s="44" t="n"/>
      <c r="JIU2" s="44" t="n"/>
      <c r="JIV2" s="44" t="n"/>
      <c r="JIW2" s="44" t="n"/>
      <c r="JIX2" s="44" t="n"/>
      <c r="JIY2" s="44" t="n"/>
      <c r="JIZ2" s="44" t="n"/>
      <c r="JJA2" s="44" t="n"/>
      <c r="JJB2" s="44" t="n"/>
      <c r="JJC2" s="44" t="n"/>
      <c r="JJD2" s="44" t="n"/>
      <c r="JJE2" s="44" t="n"/>
      <c r="JJF2" s="44" t="n"/>
      <c r="JJG2" s="44" t="n"/>
      <c r="JJH2" s="44" t="n"/>
      <c r="JJI2" s="44" t="n"/>
      <c r="JJJ2" s="44" t="n"/>
      <c r="JJK2" s="44" t="n"/>
      <c r="JJL2" s="44" t="n"/>
      <c r="JJM2" s="44" t="n"/>
      <c r="JJN2" s="44" t="n"/>
      <c r="JJO2" s="44" t="n"/>
      <c r="JJP2" s="44" t="n"/>
      <c r="JJQ2" s="44" t="n"/>
      <c r="JJR2" s="44" t="n"/>
      <c r="JJS2" s="44" t="n"/>
      <c r="JJT2" s="44" t="n"/>
      <c r="JJU2" s="44" t="n"/>
      <c r="JJV2" s="44" t="n"/>
      <c r="JJW2" s="44" t="n"/>
      <c r="JJX2" s="44" t="n"/>
      <c r="JJY2" s="44" t="n"/>
      <c r="JJZ2" s="44" t="n"/>
      <c r="JKA2" s="44" t="n"/>
      <c r="JKB2" s="44" t="n"/>
      <c r="JKC2" s="44" t="n"/>
      <c r="JKD2" s="44" t="n"/>
      <c r="JKE2" s="44" t="n"/>
      <c r="JKF2" s="44" t="n"/>
      <c r="JKG2" s="44" t="n"/>
      <c r="JKH2" s="44" t="n"/>
      <c r="JKI2" s="44" t="n"/>
      <c r="JKJ2" s="44" t="n"/>
      <c r="JKK2" s="44" t="n"/>
      <c r="JKL2" s="44" t="n"/>
      <c r="JKM2" s="44" t="n"/>
      <c r="JKN2" s="44" t="n"/>
      <c r="JKO2" s="44" t="n"/>
      <c r="JKP2" s="44" t="n"/>
      <c r="JKQ2" s="44" t="n"/>
      <c r="JKR2" s="44" t="n"/>
      <c r="JKS2" s="44" t="n"/>
      <c r="JKT2" s="44" t="n"/>
      <c r="JKU2" s="44" t="n"/>
      <c r="JKV2" s="44" t="n"/>
      <c r="JKW2" s="44" t="n"/>
      <c r="JKX2" s="44" t="n"/>
      <c r="JKY2" s="44" t="n"/>
      <c r="JKZ2" s="44" t="n"/>
      <c r="JLA2" s="44" t="n"/>
      <c r="JLB2" s="44" t="n"/>
      <c r="JLC2" s="44" t="n"/>
      <c r="JLD2" s="44" t="n"/>
      <c r="JLE2" s="44" t="n"/>
      <c r="JLF2" s="44" t="n"/>
      <c r="JLG2" s="44" t="n"/>
      <c r="JLH2" s="44" t="n"/>
      <c r="JLI2" s="44" t="n"/>
      <c r="JLJ2" s="44" t="n"/>
      <c r="JLK2" s="44" t="n"/>
      <c r="JLL2" s="44" t="n"/>
      <c r="JLM2" s="44" t="n"/>
      <c r="JLN2" s="44" t="n"/>
      <c r="JLO2" s="44" t="n"/>
      <c r="JLP2" s="44" t="n"/>
      <c r="JLQ2" s="44" t="n"/>
      <c r="JLR2" s="44" t="n"/>
      <c r="JLS2" s="44" t="n"/>
      <c r="JLT2" s="44" t="n"/>
      <c r="JLU2" s="44" t="n"/>
      <c r="JLV2" s="44" t="n"/>
      <c r="JLW2" s="44" t="n"/>
      <c r="JLX2" s="44" t="n"/>
      <c r="JLY2" s="44" t="n"/>
      <c r="JLZ2" s="44" t="n"/>
      <c r="JMA2" s="44" t="n"/>
      <c r="JMB2" s="44" t="n"/>
      <c r="JMC2" s="44" t="n"/>
      <c r="JMD2" s="44" t="n"/>
      <c r="JME2" s="44" t="n"/>
      <c r="JMF2" s="44" t="n"/>
      <c r="JMG2" s="44" t="n"/>
      <c r="JMH2" s="44" t="n"/>
      <c r="JMI2" s="44" t="n"/>
      <c r="JMJ2" s="44" t="n"/>
      <c r="JMK2" s="44" t="n"/>
      <c r="JML2" s="44" t="n"/>
      <c r="JMM2" s="44" t="n"/>
      <c r="JMN2" s="44" t="n"/>
      <c r="JMO2" s="44" t="n"/>
      <c r="JMP2" s="44" t="n"/>
      <c r="JMQ2" s="44" t="n"/>
      <c r="JMR2" s="44" t="n"/>
      <c r="JMS2" s="44" t="n"/>
      <c r="JMT2" s="44" t="n"/>
      <c r="JMU2" s="44" t="n"/>
      <c r="JMV2" s="44" t="n"/>
      <c r="JMW2" s="44" t="n"/>
      <c r="JMX2" s="44" t="n"/>
      <c r="JMY2" s="44" t="n"/>
      <c r="JMZ2" s="44" t="n"/>
      <c r="JNA2" s="44" t="n"/>
      <c r="JNB2" s="44" t="n"/>
      <c r="JNC2" s="44" t="n"/>
      <c r="JND2" s="44" t="n"/>
      <c r="JNE2" s="44" t="n"/>
      <c r="JNF2" s="44" t="n"/>
      <c r="JNG2" s="44" t="n"/>
      <c r="JNH2" s="44" t="n"/>
      <c r="JNI2" s="44" t="n"/>
      <c r="JNJ2" s="44" t="n"/>
      <c r="JNK2" s="44" t="n"/>
      <c r="JNL2" s="44" t="n"/>
      <c r="JNM2" s="44" t="n"/>
      <c r="JNN2" s="44" t="n"/>
      <c r="JNO2" s="44" t="n"/>
      <c r="JNP2" s="44" t="n"/>
      <c r="JNQ2" s="44" t="n"/>
      <c r="JNR2" s="44" t="n"/>
      <c r="JNS2" s="44" t="n"/>
      <c r="JNT2" s="44" t="n"/>
      <c r="JNU2" s="44" t="n"/>
      <c r="JNV2" s="44" t="n"/>
      <c r="JNW2" s="44" t="n"/>
      <c r="JNX2" s="44" t="n"/>
      <c r="JNY2" s="44" t="n"/>
      <c r="JNZ2" s="44" t="n"/>
      <c r="JOA2" s="44" t="n"/>
      <c r="JOB2" s="44" t="n"/>
      <c r="JOC2" s="44" t="n"/>
      <c r="JOD2" s="44" t="n"/>
      <c r="JOE2" s="44" t="n"/>
      <c r="JOF2" s="44" t="n"/>
      <c r="JOG2" s="44" t="n"/>
      <c r="JOH2" s="44" t="n"/>
      <c r="JOI2" s="44" t="n"/>
      <c r="JOJ2" s="44" t="n"/>
      <c r="JOK2" s="44" t="n"/>
      <c r="JOL2" s="44" t="n"/>
      <c r="JOM2" s="44" t="n"/>
      <c r="JON2" s="44" t="n"/>
      <c r="JOO2" s="44" t="n"/>
      <c r="JOP2" s="44" t="n"/>
      <c r="JOQ2" s="44" t="n"/>
      <c r="JOR2" s="44" t="n"/>
      <c r="JOS2" s="44" t="n"/>
      <c r="JOT2" s="44" t="n"/>
      <c r="JOU2" s="44" t="n"/>
      <c r="JOV2" s="44" t="n"/>
      <c r="JOW2" s="44" t="n"/>
      <c r="JOX2" s="44" t="n"/>
      <c r="JOY2" s="44" t="n"/>
      <c r="JOZ2" s="44" t="n"/>
      <c r="JPA2" s="44" t="n"/>
      <c r="JPB2" s="44" t="n"/>
      <c r="JPC2" s="44" t="n"/>
      <c r="JPD2" s="44" t="n"/>
      <c r="JPE2" s="44" t="n"/>
      <c r="JPF2" s="44" t="n"/>
      <c r="JPG2" s="44" t="n"/>
      <c r="JPH2" s="44" t="n"/>
      <c r="JPI2" s="44" t="n"/>
      <c r="JPJ2" s="44" t="n"/>
      <c r="JPK2" s="44" t="n"/>
      <c r="JPL2" s="44" t="n"/>
      <c r="JPM2" s="44" t="n"/>
      <c r="JPN2" s="44" t="n"/>
      <c r="JPO2" s="44" t="n"/>
      <c r="JPP2" s="44" t="n"/>
      <c r="JPQ2" s="44" t="n"/>
      <c r="JPR2" s="44" t="n"/>
      <c r="JPS2" s="44" t="n"/>
      <c r="JPT2" s="44" t="n"/>
      <c r="JPU2" s="44" t="n"/>
      <c r="JPV2" s="44" t="n"/>
      <c r="JPW2" s="44" t="n"/>
      <c r="JPX2" s="44" t="n"/>
      <c r="JPY2" s="44" t="n"/>
      <c r="JPZ2" s="44" t="n"/>
      <c r="JQA2" s="44" t="n"/>
      <c r="JQB2" s="44" t="n"/>
      <c r="JQC2" s="44" t="n"/>
      <c r="JQD2" s="44" t="n"/>
      <c r="JQE2" s="44" t="n"/>
      <c r="JQF2" s="44" t="n"/>
      <c r="JQG2" s="44" t="n"/>
      <c r="JQH2" s="44" t="n"/>
      <c r="JQI2" s="44" t="n"/>
      <c r="JQJ2" s="44" t="n"/>
      <c r="JQK2" s="44" t="n"/>
      <c r="JQL2" s="44" t="n"/>
      <c r="JQM2" s="44" t="n"/>
      <c r="JQN2" s="44" t="n"/>
      <c r="JQO2" s="44" t="n"/>
      <c r="JQP2" s="44" t="n"/>
      <c r="JQQ2" s="44" t="n"/>
      <c r="JQR2" s="44" t="n"/>
      <c r="JQS2" s="44" t="n"/>
      <c r="JQT2" s="44" t="n"/>
      <c r="JQU2" s="44" t="n"/>
      <c r="JQV2" s="44" t="n"/>
      <c r="JQW2" s="44" t="n"/>
      <c r="JQX2" s="44" t="n"/>
      <c r="JQY2" s="44" t="n"/>
      <c r="JQZ2" s="44" t="n"/>
      <c r="JRA2" s="44" t="n"/>
      <c r="JRB2" s="44" t="n"/>
      <c r="JRC2" s="44" t="n"/>
      <c r="JRD2" s="44" t="n"/>
      <c r="JRE2" s="44" t="n"/>
      <c r="JRF2" s="44" t="n"/>
      <c r="JRG2" s="44" t="n"/>
      <c r="JRH2" s="44" t="n"/>
      <c r="JRI2" s="44" t="n"/>
      <c r="JRJ2" s="44" t="n"/>
      <c r="JRK2" s="44" t="n"/>
      <c r="JRL2" s="44" t="n"/>
      <c r="JRM2" s="44" t="n"/>
      <c r="JRN2" s="44" t="n"/>
      <c r="JRO2" s="44" t="n"/>
      <c r="JRP2" s="44" t="n"/>
      <c r="JRQ2" s="44" t="n"/>
      <c r="JRR2" s="44" t="n"/>
      <c r="JRS2" s="44" t="n"/>
      <c r="JRT2" s="44" t="n"/>
      <c r="JRU2" s="44" t="n"/>
      <c r="JRV2" s="44" t="n"/>
      <c r="JRW2" s="44" t="n"/>
      <c r="JRX2" s="44" t="n"/>
      <c r="JRY2" s="44" t="n"/>
      <c r="JRZ2" s="44" t="n"/>
      <c r="JSA2" s="44" t="n"/>
      <c r="JSB2" s="44" t="n"/>
      <c r="JSC2" s="44" t="n"/>
      <c r="JSD2" s="44" t="n"/>
      <c r="JSE2" s="44" t="n"/>
      <c r="JSF2" s="44" t="n"/>
      <c r="JSG2" s="44" t="n"/>
      <c r="JSH2" s="44" t="n"/>
      <c r="JSI2" s="44" t="n"/>
      <c r="JSJ2" s="44" t="n"/>
      <c r="JSK2" s="44" t="n"/>
      <c r="JSL2" s="44" t="n"/>
      <c r="JSM2" s="44" t="n"/>
      <c r="JSN2" s="44" t="n"/>
      <c r="JSO2" s="44" t="n"/>
      <c r="JSP2" s="44" t="n"/>
      <c r="JSQ2" s="44" t="n"/>
      <c r="JSR2" s="44" t="n"/>
      <c r="JSS2" s="44" t="n"/>
      <c r="JST2" s="44" t="n"/>
      <c r="JSU2" s="44" t="n"/>
      <c r="JSV2" s="44" t="n"/>
      <c r="JSW2" s="44" t="n"/>
      <c r="JSX2" s="44" t="n"/>
      <c r="JSY2" s="44" t="n"/>
      <c r="JSZ2" s="44" t="n"/>
      <c r="JTA2" s="44" t="n"/>
      <c r="JTB2" s="44" t="n"/>
      <c r="JTC2" s="44" t="n"/>
      <c r="JTD2" s="44" t="n"/>
      <c r="JTE2" s="44" t="n"/>
      <c r="JTF2" s="44" t="n"/>
      <c r="JTG2" s="44" t="n"/>
      <c r="JTH2" s="44" t="n"/>
      <c r="JTI2" s="44" t="n"/>
      <c r="JTJ2" s="44" t="n"/>
      <c r="JTK2" s="44" t="n"/>
      <c r="JTL2" s="44" t="n"/>
      <c r="JTM2" s="44" t="n"/>
      <c r="JTN2" s="44" t="n"/>
      <c r="JTO2" s="44" t="n"/>
      <c r="JTP2" s="44" t="n"/>
      <c r="JTQ2" s="44" t="n"/>
      <c r="JTR2" s="44" t="n"/>
      <c r="JTS2" s="44" t="n"/>
      <c r="JTT2" s="44" t="n"/>
      <c r="JTU2" s="44" t="n"/>
      <c r="JTV2" s="44" t="n"/>
      <c r="JTW2" s="44" t="n"/>
      <c r="JTX2" s="44" t="n"/>
      <c r="JTY2" s="44" t="n"/>
      <c r="JTZ2" s="44" t="n"/>
      <c r="JUA2" s="44" t="n"/>
      <c r="JUB2" s="44" t="n"/>
      <c r="JUC2" s="44" t="n"/>
      <c r="JUD2" s="44" t="n"/>
      <c r="JUE2" s="44" t="n"/>
      <c r="JUF2" s="44" t="n"/>
      <c r="JUG2" s="44" t="n"/>
      <c r="JUH2" s="44" t="n"/>
      <c r="JUI2" s="44" t="n"/>
      <c r="JUJ2" s="44" t="n"/>
      <c r="JUK2" s="44" t="n"/>
      <c r="JUL2" s="44" t="n"/>
      <c r="JUM2" s="44" t="n"/>
      <c r="JUN2" s="44" t="n"/>
      <c r="JUO2" s="44" t="n"/>
      <c r="JUP2" s="44" t="n"/>
      <c r="JUQ2" s="44" t="n"/>
      <c r="JUR2" s="44" t="n"/>
      <c r="JUS2" s="44" t="n"/>
      <c r="JUT2" s="44" t="n"/>
      <c r="JUU2" s="44" t="n"/>
      <c r="JUV2" s="44" t="n"/>
      <c r="JUW2" s="44" t="n"/>
      <c r="JUX2" s="44" t="n"/>
      <c r="JUY2" s="44" t="n"/>
      <c r="JUZ2" s="44" t="n"/>
      <c r="JVA2" s="44" t="n"/>
      <c r="JVB2" s="44" t="n"/>
      <c r="JVC2" s="44" t="n"/>
      <c r="JVD2" s="44" t="n"/>
      <c r="JVE2" s="44" t="n"/>
      <c r="JVF2" s="44" t="n"/>
      <c r="JVG2" s="44" t="n"/>
      <c r="JVH2" s="44" t="n"/>
      <c r="JVI2" s="44" t="n"/>
      <c r="JVJ2" s="44" t="n"/>
      <c r="JVK2" s="44" t="n"/>
      <c r="JVL2" s="44" t="n"/>
      <c r="JVM2" s="44" t="n"/>
      <c r="JVN2" s="44" t="n"/>
      <c r="JVO2" s="44" t="n"/>
      <c r="JVP2" s="44" t="n"/>
      <c r="JVQ2" s="44" t="n"/>
      <c r="JVR2" s="44" t="n"/>
      <c r="JVS2" s="44" t="n"/>
      <c r="JVT2" s="44" t="n"/>
      <c r="JVU2" s="44" t="n"/>
      <c r="JVV2" s="44" t="n"/>
      <c r="JVW2" s="44" t="n"/>
      <c r="JVX2" s="44" t="n"/>
      <c r="JVY2" s="44" t="n"/>
      <c r="JVZ2" s="44" t="n"/>
      <c r="JWA2" s="44" t="n"/>
      <c r="JWB2" s="44" t="n"/>
      <c r="JWC2" s="44" t="n"/>
      <c r="JWD2" s="44" t="n"/>
      <c r="JWE2" s="44" t="n"/>
      <c r="JWF2" s="44" t="n"/>
      <c r="JWG2" s="44" t="n"/>
      <c r="JWH2" s="44" t="n"/>
      <c r="JWI2" s="44" t="n"/>
      <c r="JWJ2" s="44" t="n"/>
      <c r="JWK2" s="44" t="n"/>
      <c r="JWL2" s="44" t="n"/>
      <c r="JWM2" s="44" t="n"/>
      <c r="JWN2" s="44" t="n"/>
      <c r="JWO2" s="44" t="n"/>
      <c r="JWP2" s="44" t="n"/>
      <c r="JWQ2" s="44" t="n"/>
      <c r="JWR2" s="44" t="n"/>
      <c r="JWS2" s="44" t="n"/>
      <c r="JWT2" s="44" t="n"/>
      <c r="JWU2" s="44" t="n"/>
      <c r="JWV2" s="44" t="n"/>
      <c r="JWW2" s="44" t="n"/>
      <c r="JWX2" s="44" t="n"/>
      <c r="JWY2" s="44" t="n"/>
      <c r="JWZ2" s="44" t="n"/>
      <c r="JXA2" s="44" t="n"/>
      <c r="JXB2" s="44" t="n"/>
      <c r="JXC2" s="44" t="n"/>
      <c r="JXD2" s="44" t="n"/>
      <c r="JXE2" s="44" t="n"/>
      <c r="JXF2" s="44" t="n"/>
      <c r="JXG2" s="44" t="n"/>
      <c r="JXH2" s="44" t="n"/>
      <c r="JXI2" s="44" t="n"/>
      <c r="JXJ2" s="44" t="n"/>
      <c r="JXK2" s="44" t="n"/>
      <c r="JXL2" s="44" t="n"/>
      <c r="JXM2" s="44" t="n"/>
      <c r="JXN2" s="44" t="n"/>
      <c r="JXO2" s="44" t="n"/>
      <c r="JXP2" s="44" t="n"/>
      <c r="JXQ2" s="44" t="n"/>
      <c r="JXR2" s="44" t="n"/>
      <c r="JXS2" s="44" t="n"/>
      <c r="JXT2" s="44" t="n"/>
      <c r="JXU2" s="44" t="n"/>
      <c r="JXV2" s="44" t="n"/>
      <c r="JXW2" s="44" t="n"/>
      <c r="JXX2" s="44" t="n"/>
      <c r="JXY2" s="44" t="n"/>
      <c r="JXZ2" s="44" t="n"/>
      <c r="JYA2" s="44" t="n"/>
      <c r="JYB2" s="44" t="n"/>
      <c r="JYC2" s="44" t="n"/>
      <c r="JYD2" s="44" t="n"/>
      <c r="JYE2" s="44" t="n"/>
      <c r="JYF2" s="44" t="n"/>
      <c r="JYG2" s="44" t="n"/>
      <c r="JYH2" s="44" t="n"/>
      <c r="JYI2" s="44" t="n"/>
      <c r="JYJ2" s="44" t="n"/>
      <c r="JYK2" s="44" t="n"/>
      <c r="JYL2" s="44" t="n"/>
      <c r="JYM2" s="44" t="n"/>
      <c r="JYN2" s="44" t="n"/>
      <c r="JYO2" s="44" t="n"/>
      <c r="JYP2" s="44" t="n"/>
      <c r="JYQ2" s="44" t="n"/>
      <c r="JYR2" s="44" t="n"/>
      <c r="JYS2" s="44" t="n"/>
      <c r="JYT2" s="44" t="n"/>
      <c r="JYU2" s="44" t="n"/>
      <c r="JYV2" s="44" t="n"/>
      <c r="JYW2" s="44" t="n"/>
      <c r="JYX2" s="44" t="n"/>
      <c r="JYY2" s="44" t="n"/>
      <c r="JYZ2" s="44" t="n"/>
      <c r="JZA2" s="44" t="n"/>
      <c r="JZB2" s="44" t="n"/>
      <c r="JZC2" s="44" t="n"/>
      <c r="JZD2" s="44" t="n"/>
      <c r="JZE2" s="44" t="n"/>
      <c r="JZF2" s="44" t="n"/>
      <c r="JZG2" s="44" t="n"/>
      <c r="JZH2" s="44" t="n"/>
      <c r="JZI2" s="44" t="n"/>
      <c r="JZJ2" s="44" t="n"/>
      <c r="JZK2" s="44" t="n"/>
      <c r="JZL2" s="44" t="n"/>
      <c r="JZM2" s="44" t="n"/>
      <c r="JZN2" s="44" t="n"/>
      <c r="JZO2" s="44" t="n"/>
      <c r="JZP2" s="44" t="n"/>
      <c r="JZQ2" s="44" t="n"/>
      <c r="JZR2" s="44" t="n"/>
      <c r="JZS2" s="44" t="n"/>
      <c r="JZT2" s="44" t="n"/>
      <c r="JZU2" s="44" t="n"/>
      <c r="JZV2" s="44" t="n"/>
      <c r="JZW2" s="44" t="n"/>
      <c r="JZX2" s="44" t="n"/>
      <c r="JZY2" s="44" t="n"/>
      <c r="JZZ2" s="44" t="n"/>
      <c r="KAA2" s="44" t="n"/>
      <c r="KAB2" s="44" t="n"/>
      <c r="KAC2" s="44" t="n"/>
      <c r="KAD2" s="44" t="n"/>
      <c r="KAE2" s="44" t="n"/>
      <c r="KAF2" s="44" t="n"/>
      <c r="KAG2" s="44" t="n"/>
      <c r="KAH2" s="44" t="n"/>
      <c r="KAI2" s="44" t="n"/>
      <c r="KAJ2" s="44" t="n"/>
      <c r="KAK2" s="44" t="n"/>
      <c r="KAL2" s="44" t="n"/>
      <c r="KAM2" s="44" t="n"/>
      <c r="KAN2" s="44" t="n"/>
      <c r="KAO2" s="44" t="n"/>
      <c r="KAP2" s="44" t="n"/>
      <c r="KAQ2" s="44" t="n"/>
      <c r="KAR2" s="44" t="n"/>
      <c r="KAS2" s="44" t="n"/>
      <c r="KAT2" s="44" t="n"/>
      <c r="KAU2" s="44" t="n"/>
      <c r="KAV2" s="44" t="n"/>
      <c r="KAW2" s="44" t="n"/>
      <c r="KAX2" s="44" t="n"/>
      <c r="KAY2" s="44" t="n"/>
      <c r="KAZ2" s="44" t="n"/>
      <c r="KBA2" s="44" t="n"/>
      <c r="KBB2" s="44" t="n"/>
      <c r="KBC2" s="44" t="n"/>
      <c r="KBD2" s="44" t="n"/>
      <c r="KBE2" s="44" t="n"/>
      <c r="KBF2" s="44" t="n"/>
      <c r="KBG2" s="44" t="n"/>
      <c r="KBH2" s="44" t="n"/>
      <c r="KBI2" s="44" t="n"/>
      <c r="KBJ2" s="44" t="n"/>
      <c r="KBK2" s="44" t="n"/>
      <c r="KBL2" s="44" t="n"/>
      <c r="KBM2" s="44" t="n"/>
      <c r="KBN2" s="44" t="n"/>
      <c r="KBO2" s="44" t="n"/>
      <c r="KBP2" s="44" t="n"/>
      <c r="KBQ2" s="44" t="n"/>
      <c r="KBR2" s="44" t="n"/>
      <c r="KBS2" s="44" t="n"/>
      <c r="KBT2" s="44" t="n"/>
      <c r="KBU2" s="44" t="n"/>
      <c r="KBV2" s="44" t="n"/>
      <c r="KBW2" s="44" t="n"/>
      <c r="KBX2" s="44" t="n"/>
      <c r="KBY2" s="44" t="n"/>
      <c r="KBZ2" s="44" t="n"/>
      <c r="KCA2" s="44" t="n"/>
      <c r="KCB2" s="44" t="n"/>
      <c r="KCC2" s="44" t="n"/>
      <c r="KCD2" s="44" t="n"/>
      <c r="KCE2" s="44" t="n"/>
      <c r="KCF2" s="44" t="n"/>
      <c r="KCG2" s="44" t="n"/>
      <c r="KCH2" s="44" t="n"/>
      <c r="KCI2" s="44" t="n"/>
      <c r="KCJ2" s="44" t="n"/>
      <c r="KCK2" s="44" t="n"/>
      <c r="KCL2" s="44" t="n"/>
      <c r="KCM2" s="44" t="n"/>
      <c r="KCN2" s="44" t="n"/>
      <c r="KCO2" s="44" t="n"/>
      <c r="KCP2" s="44" t="n"/>
      <c r="KCQ2" s="44" t="n"/>
      <c r="KCR2" s="44" t="n"/>
      <c r="KCS2" s="44" t="n"/>
      <c r="KCT2" s="44" t="n"/>
      <c r="KCU2" s="44" t="n"/>
      <c r="KCV2" s="44" t="n"/>
      <c r="KCW2" s="44" t="n"/>
      <c r="KCX2" s="44" t="n"/>
      <c r="KCY2" s="44" t="n"/>
      <c r="KCZ2" s="44" t="n"/>
      <c r="KDA2" s="44" t="n"/>
      <c r="KDB2" s="44" t="n"/>
      <c r="KDC2" s="44" t="n"/>
      <c r="KDD2" s="44" t="n"/>
      <c r="KDE2" s="44" t="n"/>
      <c r="KDF2" s="44" t="n"/>
      <c r="KDG2" s="44" t="n"/>
      <c r="KDH2" s="44" t="n"/>
      <c r="KDI2" s="44" t="n"/>
      <c r="KDJ2" s="44" t="n"/>
      <c r="KDK2" s="44" t="n"/>
      <c r="KDL2" s="44" t="n"/>
      <c r="KDM2" s="44" t="n"/>
      <c r="KDN2" s="44" t="n"/>
      <c r="KDO2" s="44" t="n"/>
      <c r="KDP2" s="44" t="n"/>
      <c r="KDQ2" s="44" t="n"/>
      <c r="KDR2" s="44" t="n"/>
      <c r="KDS2" s="44" t="n"/>
      <c r="KDT2" s="44" t="n"/>
      <c r="KDU2" s="44" t="n"/>
      <c r="KDV2" s="44" t="n"/>
      <c r="KDW2" s="44" t="n"/>
      <c r="KDX2" s="44" t="n"/>
      <c r="KDY2" s="44" t="n"/>
      <c r="KDZ2" s="44" t="n"/>
      <c r="KEA2" s="44" t="n"/>
      <c r="KEB2" s="44" t="n"/>
      <c r="KEC2" s="44" t="n"/>
      <c r="KED2" s="44" t="n"/>
      <c r="KEE2" s="44" t="n"/>
      <c r="KEF2" s="44" t="n"/>
      <c r="KEG2" s="44" t="n"/>
      <c r="KEH2" s="44" t="n"/>
      <c r="KEI2" s="44" t="n"/>
      <c r="KEJ2" s="44" t="n"/>
      <c r="KEK2" s="44" t="n"/>
      <c r="KEL2" s="44" t="n"/>
      <c r="KEM2" s="44" t="n"/>
      <c r="KEN2" s="44" t="n"/>
      <c r="KEO2" s="44" t="n"/>
      <c r="KEP2" s="44" t="n"/>
      <c r="KEQ2" s="44" t="n"/>
      <c r="KER2" s="44" t="n"/>
      <c r="KES2" s="44" t="n"/>
      <c r="KET2" s="44" t="n"/>
      <c r="KEU2" s="44" t="n"/>
      <c r="KEV2" s="44" t="n"/>
      <c r="KEW2" s="44" t="n"/>
      <c r="KEX2" s="44" t="n"/>
      <c r="KEY2" s="44" t="n"/>
      <c r="KEZ2" s="44" t="n"/>
      <c r="KFA2" s="44" t="n"/>
      <c r="KFB2" s="44" t="n"/>
      <c r="KFC2" s="44" t="n"/>
      <c r="KFD2" s="44" t="n"/>
      <c r="KFE2" s="44" t="n"/>
      <c r="KFF2" s="44" t="n"/>
      <c r="KFG2" s="44" t="n"/>
      <c r="KFH2" s="44" t="n"/>
      <c r="KFI2" s="44" t="n"/>
      <c r="KFJ2" s="44" t="n"/>
      <c r="KFK2" s="44" t="n"/>
      <c r="KFL2" s="44" t="n"/>
      <c r="KFM2" s="44" t="n"/>
      <c r="KFN2" s="44" t="n"/>
      <c r="KFO2" s="44" t="n"/>
      <c r="KFP2" s="44" t="n"/>
      <c r="KFQ2" s="44" t="n"/>
      <c r="KFR2" s="44" t="n"/>
      <c r="KFS2" s="44" t="n"/>
      <c r="KFT2" s="44" t="n"/>
      <c r="KFU2" s="44" t="n"/>
      <c r="KFV2" s="44" t="n"/>
      <c r="KFW2" s="44" t="n"/>
      <c r="KFX2" s="44" t="n"/>
      <c r="KFY2" s="44" t="n"/>
      <c r="KFZ2" s="44" t="n"/>
      <c r="KGA2" s="44" t="n"/>
      <c r="KGB2" s="44" t="n"/>
      <c r="KGC2" s="44" t="n"/>
      <c r="KGD2" s="44" t="n"/>
      <c r="KGE2" s="44" t="n"/>
      <c r="KGF2" s="44" t="n"/>
      <c r="KGG2" s="44" t="n"/>
      <c r="KGH2" s="44" t="n"/>
      <c r="KGI2" s="44" t="n"/>
      <c r="KGJ2" s="44" t="n"/>
      <c r="KGK2" s="44" t="n"/>
      <c r="KGL2" s="44" t="n"/>
      <c r="KGM2" s="44" t="n"/>
      <c r="KGN2" s="44" t="n"/>
      <c r="KGO2" s="44" t="n"/>
      <c r="KGP2" s="44" t="n"/>
      <c r="KGQ2" s="44" t="n"/>
      <c r="KGR2" s="44" t="n"/>
      <c r="KGS2" s="44" t="n"/>
      <c r="KGT2" s="44" t="n"/>
      <c r="KGU2" s="44" t="n"/>
      <c r="KGV2" s="44" t="n"/>
      <c r="KGW2" s="44" t="n"/>
      <c r="KGX2" s="44" t="n"/>
      <c r="KGY2" s="44" t="n"/>
      <c r="KGZ2" s="44" t="n"/>
      <c r="KHA2" s="44" t="n"/>
      <c r="KHB2" s="44" t="n"/>
      <c r="KHC2" s="44" t="n"/>
      <c r="KHD2" s="44" t="n"/>
      <c r="KHE2" s="44" t="n"/>
      <c r="KHF2" s="44" t="n"/>
      <c r="KHG2" s="44" t="n"/>
      <c r="KHH2" s="44" t="n"/>
      <c r="KHI2" s="44" t="n"/>
      <c r="KHJ2" s="44" t="n"/>
      <c r="KHK2" s="44" t="n"/>
      <c r="KHL2" s="44" t="n"/>
      <c r="KHM2" s="44" t="n"/>
      <c r="KHN2" s="44" t="n"/>
      <c r="KHO2" s="44" t="n"/>
      <c r="KHP2" s="44" t="n"/>
      <c r="KHQ2" s="44" t="n"/>
      <c r="KHR2" s="44" t="n"/>
      <c r="KHS2" s="44" t="n"/>
      <c r="KHT2" s="44" t="n"/>
      <c r="KHU2" s="44" t="n"/>
      <c r="KHV2" s="44" t="n"/>
      <c r="KHW2" s="44" t="n"/>
      <c r="KHX2" s="44" t="n"/>
      <c r="KHY2" s="44" t="n"/>
      <c r="KHZ2" s="44" t="n"/>
      <c r="KIA2" s="44" t="n"/>
      <c r="KIB2" s="44" t="n"/>
      <c r="KIC2" s="44" t="n"/>
      <c r="KID2" s="44" t="n"/>
      <c r="KIE2" s="44" t="n"/>
      <c r="KIF2" s="44" t="n"/>
      <c r="KIG2" s="44" t="n"/>
      <c r="KIH2" s="44" t="n"/>
      <c r="KII2" s="44" t="n"/>
      <c r="KIJ2" s="44" t="n"/>
      <c r="KIK2" s="44" t="n"/>
      <c r="KIL2" s="44" t="n"/>
      <c r="KIM2" s="44" t="n"/>
      <c r="KIN2" s="44" t="n"/>
      <c r="KIO2" s="44" t="n"/>
      <c r="KIP2" s="44" t="n"/>
      <c r="KIQ2" s="44" t="n"/>
      <c r="KIR2" s="44" t="n"/>
      <c r="KIS2" s="44" t="n"/>
      <c r="KIT2" s="44" t="n"/>
      <c r="KIU2" s="44" t="n"/>
      <c r="KIV2" s="44" t="n"/>
      <c r="KIW2" s="44" t="n"/>
      <c r="KIX2" s="44" t="n"/>
      <c r="KIY2" s="44" t="n"/>
      <c r="KIZ2" s="44" t="n"/>
      <c r="KJA2" s="44" t="n"/>
      <c r="KJB2" s="44" t="n"/>
      <c r="KJC2" s="44" t="n"/>
      <c r="KJD2" s="44" t="n"/>
      <c r="KJE2" s="44" t="n"/>
      <c r="KJF2" s="44" t="n"/>
      <c r="KJG2" s="44" t="n"/>
      <c r="KJH2" s="44" t="n"/>
      <c r="KJI2" s="44" t="n"/>
      <c r="KJJ2" s="44" t="n"/>
      <c r="KJK2" s="44" t="n"/>
      <c r="KJL2" s="44" t="n"/>
      <c r="KJM2" s="44" t="n"/>
      <c r="KJN2" s="44" t="n"/>
      <c r="KJO2" s="44" t="n"/>
      <c r="KJP2" s="44" t="n"/>
      <c r="KJQ2" s="44" t="n"/>
      <c r="KJR2" s="44" t="n"/>
      <c r="KJS2" s="44" t="n"/>
      <c r="KJT2" s="44" t="n"/>
      <c r="KJU2" s="44" t="n"/>
      <c r="KJV2" s="44" t="n"/>
      <c r="KJW2" s="44" t="n"/>
      <c r="KJX2" s="44" t="n"/>
      <c r="KJY2" s="44" t="n"/>
      <c r="KJZ2" s="44" t="n"/>
      <c r="KKA2" s="44" t="n"/>
      <c r="KKB2" s="44" t="n"/>
      <c r="KKC2" s="44" t="n"/>
      <c r="KKD2" s="44" t="n"/>
      <c r="KKE2" s="44" t="n"/>
      <c r="KKF2" s="44" t="n"/>
      <c r="KKG2" s="44" t="n"/>
      <c r="KKH2" s="44" t="n"/>
      <c r="KKI2" s="44" t="n"/>
      <c r="KKJ2" s="44" t="n"/>
      <c r="KKK2" s="44" t="n"/>
      <c r="KKL2" s="44" t="n"/>
      <c r="KKM2" s="44" t="n"/>
      <c r="KKN2" s="44" t="n"/>
      <c r="KKO2" s="44" t="n"/>
      <c r="KKP2" s="44" t="n"/>
      <c r="KKQ2" s="44" t="n"/>
      <c r="KKR2" s="44" t="n"/>
      <c r="KKS2" s="44" t="n"/>
      <c r="KKT2" s="44" t="n"/>
      <c r="KKU2" s="44" t="n"/>
      <c r="KKV2" s="44" t="n"/>
      <c r="KKW2" s="44" t="n"/>
      <c r="KKX2" s="44" t="n"/>
      <c r="KKY2" s="44" t="n"/>
      <c r="KKZ2" s="44" t="n"/>
      <c r="KLA2" s="44" t="n"/>
      <c r="KLB2" s="44" t="n"/>
      <c r="KLC2" s="44" t="n"/>
      <c r="KLD2" s="44" t="n"/>
      <c r="KLE2" s="44" t="n"/>
      <c r="KLF2" s="44" t="n"/>
      <c r="KLG2" s="44" t="n"/>
      <c r="KLH2" s="44" t="n"/>
      <c r="KLI2" s="44" t="n"/>
      <c r="KLJ2" s="44" t="n"/>
      <c r="KLK2" s="44" t="n"/>
      <c r="KLL2" s="44" t="n"/>
      <c r="KLM2" s="44" t="n"/>
      <c r="KLN2" s="44" t="n"/>
      <c r="KLO2" s="44" t="n"/>
      <c r="KLP2" s="44" t="n"/>
      <c r="KLQ2" s="44" t="n"/>
      <c r="KLR2" s="44" t="n"/>
      <c r="KLS2" s="44" t="n"/>
      <c r="KLT2" s="44" t="n"/>
      <c r="KLU2" s="44" t="n"/>
      <c r="KLV2" s="44" t="n"/>
      <c r="KLW2" s="44" t="n"/>
      <c r="KLX2" s="44" t="n"/>
      <c r="KLY2" s="44" t="n"/>
      <c r="KLZ2" s="44" t="n"/>
      <c r="KMA2" s="44" t="n"/>
      <c r="KMB2" s="44" t="n"/>
      <c r="KMC2" s="44" t="n"/>
      <c r="KMD2" s="44" t="n"/>
      <c r="KME2" s="44" t="n"/>
      <c r="KMF2" s="44" t="n"/>
      <c r="KMG2" s="44" t="n"/>
      <c r="KMH2" s="44" t="n"/>
      <c r="KMI2" s="44" t="n"/>
      <c r="KMJ2" s="44" t="n"/>
      <c r="KMK2" s="44" t="n"/>
      <c r="KML2" s="44" t="n"/>
      <c r="KMM2" s="44" t="n"/>
      <c r="KMN2" s="44" t="n"/>
      <c r="KMO2" s="44" t="n"/>
      <c r="KMP2" s="44" t="n"/>
      <c r="KMQ2" s="44" t="n"/>
      <c r="KMR2" s="44" t="n"/>
      <c r="KMS2" s="44" t="n"/>
      <c r="KMT2" s="44" t="n"/>
      <c r="KMU2" s="44" t="n"/>
      <c r="KMV2" s="44" t="n"/>
      <c r="KMW2" s="44" t="n"/>
      <c r="KMX2" s="44" t="n"/>
      <c r="KMY2" s="44" t="n"/>
      <c r="KMZ2" s="44" t="n"/>
      <c r="KNA2" s="44" t="n"/>
      <c r="KNB2" s="44" t="n"/>
      <c r="KNC2" s="44" t="n"/>
      <c r="KND2" s="44" t="n"/>
      <c r="KNE2" s="44" t="n"/>
      <c r="KNF2" s="44" t="n"/>
      <c r="KNG2" s="44" t="n"/>
      <c r="KNH2" s="44" t="n"/>
      <c r="KNI2" s="44" t="n"/>
      <c r="KNJ2" s="44" t="n"/>
      <c r="KNK2" s="44" t="n"/>
      <c r="KNL2" s="44" t="n"/>
      <c r="KNM2" s="44" t="n"/>
      <c r="KNN2" s="44" t="n"/>
      <c r="KNO2" s="44" t="n"/>
      <c r="KNP2" s="44" t="n"/>
      <c r="KNQ2" s="44" t="n"/>
      <c r="KNR2" s="44" t="n"/>
      <c r="KNS2" s="44" t="n"/>
      <c r="KNT2" s="44" t="n"/>
      <c r="KNU2" s="44" t="n"/>
      <c r="KNV2" s="44" t="n"/>
      <c r="KNW2" s="44" t="n"/>
      <c r="KNX2" s="44" t="n"/>
      <c r="KNY2" s="44" t="n"/>
      <c r="KNZ2" s="44" t="n"/>
      <c r="KOA2" s="44" t="n"/>
      <c r="KOB2" s="44" t="n"/>
      <c r="KOC2" s="44" t="n"/>
      <c r="KOD2" s="44" t="n"/>
      <c r="KOE2" s="44" t="n"/>
      <c r="KOF2" s="44" t="n"/>
      <c r="KOG2" s="44" t="n"/>
      <c r="KOH2" s="44" t="n"/>
      <c r="KOI2" s="44" t="n"/>
      <c r="KOJ2" s="44" t="n"/>
      <c r="KOK2" s="44" t="n"/>
      <c r="KOL2" s="44" t="n"/>
      <c r="KOM2" s="44" t="n"/>
      <c r="KON2" s="44" t="n"/>
      <c r="KOO2" s="44" t="n"/>
      <c r="KOP2" s="44" t="n"/>
      <c r="KOQ2" s="44" t="n"/>
      <c r="KOR2" s="44" t="n"/>
      <c r="KOS2" s="44" t="n"/>
      <c r="KOT2" s="44" t="n"/>
      <c r="KOU2" s="44" t="n"/>
      <c r="KOV2" s="44" t="n"/>
      <c r="KOW2" s="44" t="n"/>
      <c r="KOX2" s="44" t="n"/>
      <c r="KOY2" s="44" t="n"/>
      <c r="KOZ2" s="44" t="n"/>
      <c r="KPA2" s="44" t="n"/>
      <c r="KPB2" s="44" t="n"/>
      <c r="KPC2" s="44" t="n"/>
      <c r="KPD2" s="44" t="n"/>
      <c r="KPE2" s="44" t="n"/>
      <c r="KPF2" s="44" t="n"/>
      <c r="KPG2" s="44" t="n"/>
      <c r="KPH2" s="44" t="n"/>
      <c r="KPI2" s="44" t="n"/>
      <c r="KPJ2" s="44" t="n"/>
      <c r="KPK2" s="44" t="n"/>
      <c r="KPL2" s="44" t="n"/>
      <c r="KPM2" s="44" t="n"/>
      <c r="KPN2" s="44" t="n"/>
      <c r="KPO2" s="44" t="n"/>
      <c r="KPP2" s="44" t="n"/>
      <c r="KPQ2" s="44" t="n"/>
      <c r="KPR2" s="44" t="n"/>
      <c r="KPS2" s="44" t="n"/>
      <c r="KPT2" s="44" t="n"/>
      <c r="KPU2" s="44" t="n"/>
      <c r="KPV2" s="44" t="n"/>
      <c r="KPW2" s="44" t="n"/>
      <c r="KPX2" s="44" t="n"/>
      <c r="KPY2" s="44" t="n"/>
      <c r="KPZ2" s="44" t="n"/>
      <c r="KQA2" s="44" t="n"/>
      <c r="KQB2" s="44" t="n"/>
      <c r="KQC2" s="44" t="n"/>
      <c r="KQD2" s="44" t="n"/>
      <c r="KQE2" s="44" t="n"/>
      <c r="KQF2" s="44" t="n"/>
      <c r="KQG2" s="44" t="n"/>
      <c r="KQH2" s="44" t="n"/>
      <c r="KQI2" s="44" t="n"/>
      <c r="KQJ2" s="44" t="n"/>
      <c r="KQK2" s="44" t="n"/>
      <c r="KQL2" s="44" t="n"/>
      <c r="KQM2" s="44" t="n"/>
      <c r="KQN2" s="44" t="n"/>
      <c r="KQO2" s="44" t="n"/>
      <c r="KQP2" s="44" t="n"/>
      <c r="KQQ2" s="44" t="n"/>
      <c r="KQR2" s="44" t="n"/>
      <c r="KQS2" s="44" t="n"/>
      <c r="KQT2" s="44" t="n"/>
      <c r="KQU2" s="44" t="n"/>
      <c r="KQV2" s="44" t="n"/>
      <c r="KQW2" s="44" t="n"/>
      <c r="KQX2" s="44" t="n"/>
      <c r="KQY2" s="44" t="n"/>
      <c r="KQZ2" s="44" t="n"/>
      <c r="KRA2" s="44" t="n"/>
      <c r="KRB2" s="44" t="n"/>
      <c r="KRC2" s="44" t="n"/>
      <c r="KRD2" s="44" t="n"/>
      <c r="KRE2" s="44" t="n"/>
      <c r="KRF2" s="44" t="n"/>
      <c r="KRG2" s="44" t="n"/>
      <c r="KRH2" s="44" t="n"/>
      <c r="KRI2" s="44" t="n"/>
      <c r="KRJ2" s="44" t="n"/>
      <c r="KRK2" s="44" t="n"/>
      <c r="KRL2" s="44" t="n"/>
      <c r="KRM2" s="44" t="n"/>
      <c r="KRN2" s="44" t="n"/>
      <c r="KRO2" s="44" t="n"/>
      <c r="KRP2" s="44" t="n"/>
      <c r="KRQ2" s="44" t="n"/>
      <c r="KRR2" s="44" t="n"/>
      <c r="KRS2" s="44" t="n"/>
      <c r="KRT2" s="44" t="n"/>
      <c r="KRU2" s="44" t="n"/>
      <c r="KRV2" s="44" t="n"/>
      <c r="KRW2" s="44" t="n"/>
      <c r="KRX2" s="44" t="n"/>
      <c r="KRY2" s="44" t="n"/>
      <c r="KRZ2" s="44" t="n"/>
      <c r="KSA2" s="44" t="n"/>
      <c r="KSB2" s="44" t="n"/>
      <c r="KSC2" s="44" t="n"/>
      <c r="KSD2" s="44" t="n"/>
      <c r="KSE2" s="44" t="n"/>
      <c r="KSF2" s="44" t="n"/>
      <c r="KSG2" s="44" t="n"/>
      <c r="KSH2" s="44" t="n"/>
      <c r="KSI2" s="44" t="n"/>
      <c r="KSJ2" s="44" t="n"/>
      <c r="KSK2" s="44" t="n"/>
      <c r="KSL2" s="44" t="n"/>
      <c r="KSM2" s="44" t="n"/>
      <c r="KSN2" s="44" t="n"/>
      <c r="KSO2" s="44" t="n"/>
      <c r="KSP2" s="44" t="n"/>
      <c r="KSQ2" s="44" t="n"/>
      <c r="KSR2" s="44" t="n"/>
      <c r="KSS2" s="44" t="n"/>
      <c r="KST2" s="44" t="n"/>
      <c r="KSU2" s="44" t="n"/>
      <c r="KSV2" s="44" t="n"/>
      <c r="KSW2" s="44" t="n"/>
      <c r="KSX2" s="44" t="n"/>
      <c r="KSY2" s="44" t="n"/>
      <c r="KSZ2" s="44" t="n"/>
      <c r="KTA2" s="44" t="n"/>
      <c r="KTB2" s="44" t="n"/>
      <c r="KTC2" s="44" t="n"/>
      <c r="KTD2" s="44" t="n"/>
      <c r="KTE2" s="44" t="n"/>
      <c r="KTF2" s="44" t="n"/>
      <c r="KTG2" s="44" t="n"/>
      <c r="KTH2" s="44" t="n"/>
      <c r="KTI2" s="44" t="n"/>
      <c r="KTJ2" s="44" t="n"/>
      <c r="KTK2" s="44" t="n"/>
      <c r="KTL2" s="44" t="n"/>
      <c r="KTM2" s="44" t="n"/>
      <c r="KTN2" s="44" t="n"/>
      <c r="KTO2" s="44" t="n"/>
      <c r="KTP2" s="44" t="n"/>
      <c r="KTQ2" s="44" t="n"/>
      <c r="KTR2" s="44" t="n"/>
      <c r="KTS2" s="44" t="n"/>
      <c r="KTT2" s="44" t="n"/>
      <c r="KTU2" s="44" t="n"/>
      <c r="KTV2" s="44" t="n"/>
      <c r="KTW2" s="44" t="n"/>
      <c r="KTX2" s="44" t="n"/>
      <c r="KTY2" s="44" t="n"/>
      <c r="KTZ2" s="44" t="n"/>
      <c r="KUA2" s="44" t="n"/>
      <c r="KUB2" s="44" t="n"/>
      <c r="KUC2" s="44" t="n"/>
      <c r="KUD2" s="44" t="n"/>
      <c r="KUE2" s="44" t="n"/>
      <c r="KUF2" s="44" t="n"/>
      <c r="KUG2" s="44" t="n"/>
      <c r="KUH2" s="44" t="n"/>
      <c r="KUI2" s="44" t="n"/>
      <c r="KUJ2" s="44" t="n"/>
      <c r="KUK2" s="44" t="n"/>
      <c r="KUL2" s="44" t="n"/>
      <c r="KUM2" s="44" t="n"/>
      <c r="KUN2" s="44" t="n"/>
      <c r="KUO2" s="44" t="n"/>
      <c r="KUP2" s="44" t="n"/>
      <c r="KUQ2" s="44" t="n"/>
      <c r="KUR2" s="44" t="n"/>
      <c r="KUS2" s="44" t="n"/>
      <c r="KUT2" s="44" t="n"/>
      <c r="KUU2" s="44" t="n"/>
      <c r="KUV2" s="44" t="n"/>
      <c r="KUW2" s="44" t="n"/>
      <c r="KUX2" s="44" t="n"/>
      <c r="KUY2" s="44" t="n"/>
      <c r="KUZ2" s="44" t="n"/>
      <c r="KVA2" s="44" t="n"/>
      <c r="KVB2" s="44" t="n"/>
      <c r="KVC2" s="44" t="n"/>
      <c r="KVD2" s="44" t="n"/>
      <c r="KVE2" s="44" t="n"/>
      <c r="KVF2" s="44" t="n"/>
      <c r="KVG2" s="44" t="n"/>
      <c r="KVH2" s="44" t="n"/>
      <c r="KVI2" s="44" t="n"/>
      <c r="KVJ2" s="44" t="n"/>
      <c r="KVK2" s="44" t="n"/>
      <c r="KVL2" s="44" t="n"/>
      <c r="KVM2" s="44" t="n"/>
      <c r="KVN2" s="44" t="n"/>
      <c r="KVO2" s="44" t="n"/>
      <c r="KVP2" s="44" t="n"/>
      <c r="KVQ2" s="44" t="n"/>
      <c r="KVR2" s="44" t="n"/>
      <c r="KVS2" s="44" t="n"/>
      <c r="KVT2" s="44" t="n"/>
      <c r="KVU2" s="44" t="n"/>
      <c r="KVV2" s="44" t="n"/>
      <c r="KVW2" s="44" t="n"/>
      <c r="KVX2" s="44" t="n"/>
      <c r="KVY2" s="44" t="n"/>
      <c r="KVZ2" s="44" t="n"/>
      <c r="KWA2" s="44" t="n"/>
      <c r="KWB2" s="44" t="n"/>
      <c r="KWC2" s="44" t="n"/>
      <c r="KWD2" s="44" t="n"/>
      <c r="KWE2" s="44" t="n"/>
      <c r="KWF2" s="44" t="n"/>
      <c r="KWG2" s="44" t="n"/>
      <c r="KWH2" s="44" t="n"/>
      <c r="KWI2" s="44" t="n"/>
      <c r="KWJ2" s="44" t="n"/>
      <c r="KWK2" s="44" t="n"/>
      <c r="KWL2" s="44" t="n"/>
      <c r="KWM2" s="44" t="n"/>
      <c r="KWN2" s="44" t="n"/>
      <c r="KWO2" s="44" t="n"/>
      <c r="KWP2" s="44" t="n"/>
      <c r="KWQ2" s="44" t="n"/>
      <c r="KWR2" s="44" t="n"/>
      <c r="KWS2" s="44" t="n"/>
      <c r="KWT2" s="44" t="n"/>
      <c r="KWU2" s="44" t="n"/>
      <c r="KWV2" s="44" t="n"/>
      <c r="KWW2" s="44" t="n"/>
      <c r="KWX2" s="44" t="n"/>
      <c r="KWY2" s="44" t="n"/>
      <c r="KWZ2" s="44" t="n"/>
      <c r="KXA2" s="44" t="n"/>
      <c r="KXB2" s="44" t="n"/>
      <c r="KXC2" s="44" t="n"/>
      <c r="KXD2" s="44" t="n"/>
      <c r="KXE2" s="44" t="n"/>
      <c r="KXF2" s="44" t="n"/>
      <c r="KXG2" s="44" t="n"/>
      <c r="KXH2" s="44" t="n"/>
      <c r="KXI2" s="44" t="n"/>
      <c r="KXJ2" s="44" t="n"/>
      <c r="KXK2" s="44" t="n"/>
      <c r="KXL2" s="44" t="n"/>
      <c r="KXM2" s="44" t="n"/>
      <c r="KXN2" s="44" t="n"/>
      <c r="KXO2" s="44" t="n"/>
      <c r="KXP2" s="44" t="n"/>
      <c r="KXQ2" s="44" t="n"/>
      <c r="KXR2" s="44" t="n"/>
      <c r="KXS2" s="44" t="n"/>
      <c r="KXT2" s="44" t="n"/>
      <c r="KXU2" s="44" t="n"/>
      <c r="KXV2" s="44" t="n"/>
      <c r="KXW2" s="44" t="n"/>
      <c r="KXX2" s="44" t="n"/>
      <c r="KXY2" s="44" t="n"/>
      <c r="KXZ2" s="44" t="n"/>
      <c r="KYA2" s="44" t="n"/>
      <c r="KYB2" s="44" t="n"/>
      <c r="KYC2" s="44" t="n"/>
      <c r="KYD2" s="44" t="n"/>
      <c r="KYE2" s="44" t="n"/>
      <c r="KYF2" s="44" t="n"/>
      <c r="KYG2" s="44" t="n"/>
      <c r="KYH2" s="44" t="n"/>
      <c r="KYI2" s="44" t="n"/>
      <c r="KYJ2" s="44" t="n"/>
      <c r="KYK2" s="44" t="n"/>
      <c r="KYL2" s="44" t="n"/>
      <c r="KYM2" s="44" t="n"/>
      <c r="KYN2" s="44" t="n"/>
      <c r="KYO2" s="44" t="n"/>
      <c r="KYP2" s="44" t="n"/>
      <c r="KYQ2" s="44" t="n"/>
      <c r="KYR2" s="44" t="n"/>
      <c r="KYS2" s="44" t="n"/>
      <c r="KYT2" s="44" t="n"/>
      <c r="KYU2" s="44" t="n"/>
      <c r="KYV2" s="44" t="n"/>
      <c r="KYW2" s="44" t="n"/>
      <c r="KYX2" s="44" t="n"/>
      <c r="KYY2" s="44" t="n"/>
      <c r="KYZ2" s="44" t="n"/>
      <c r="KZA2" s="44" t="n"/>
      <c r="KZB2" s="44" t="n"/>
      <c r="KZC2" s="44" t="n"/>
      <c r="KZD2" s="44" t="n"/>
      <c r="KZE2" s="44" t="n"/>
      <c r="KZF2" s="44" t="n"/>
      <c r="KZG2" s="44" t="n"/>
      <c r="KZH2" s="44" t="n"/>
      <c r="KZI2" s="44" t="n"/>
      <c r="KZJ2" s="44" t="n"/>
      <c r="KZK2" s="44" t="n"/>
      <c r="KZL2" s="44" t="n"/>
      <c r="KZM2" s="44" t="n"/>
      <c r="KZN2" s="44" t="n"/>
      <c r="KZO2" s="44" t="n"/>
      <c r="KZP2" s="44" t="n"/>
      <c r="KZQ2" s="44" t="n"/>
      <c r="KZR2" s="44" t="n"/>
      <c r="KZS2" s="44" t="n"/>
      <c r="KZT2" s="44" t="n"/>
      <c r="KZU2" s="44" t="n"/>
      <c r="KZV2" s="44" t="n"/>
      <c r="KZW2" s="44" t="n"/>
      <c r="KZX2" s="44" t="n"/>
      <c r="KZY2" s="44" t="n"/>
      <c r="KZZ2" s="44" t="n"/>
      <c r="LAA2" s="44" t="n"/>
      <c r="LAB2" s="44" t="n"/>
      <c r="LAC2" s="44" t="n"/>
      <c r="LAD2" s="44" t="n"/>
      <c r="LAE2" s="44" t="n"/>
      <c r="LAF2" s="44" t="n"/>
      <c r="LAG2" s="44" t="n"/>
      <c r="LAH2" s="44" t="n"/>
      <c r="LAI2" s="44" t="n"/>
      <c r="LAJ2" s="44" t="n"/>
      <c r="LAK2" s="44" t="n"/>
      <c r="LAL2" s="44" t="n"/>
      <c r="LAM2" s="44" t="n"/>
      <c r="LAN2" s="44" t="n"/>
      <c r="LAO2" s="44" t="n"/>
      <c r="LAP2" s="44" t="n"/>
      <c r="LAQ2" s="44" t="n"/>
      <c r="LAR2" s="44" t="n"/>
      <c r="LAS2" s="44" t="n"/>
      <c r="LAT2" s="44" t="n"/>
      <c r="LAU2" s="44" t="n"/>
      <c r="LAV2" s="44" t="n"/>
      <c r="LAW2" s="44" t="n"/>
      <c r="LAX2" s="44" t="n"/>
      <c r="LAY2" s="44" t="n"/>
      <c r="LAZ2" s="44" t="n"/>
      <c r="LBA2" s="44" t="n"/>
      <c r="LBB2" s="44" t="n"/>
      <c r="LBC2" s="44" t="n"/>
      <c r="LBD2" s="44" t="n"/>
      <c r="LBE2" s="44" t="n"/>
      <c r="LBF2" s="44" t="n"/>
      <c r="LBG2" s="44" t="n"/>
      <c r="LBH2" s="44" t="n"/>
      <c r="LBI2" s="44" t="n"/>
      <c r="LBJ2" s="44" t="n"/>
      <c r="LBK2" s="44" t="n"/>
      <c r="LBL2" s="44" t="n"/>
      <c r="LBM2" s="44" t="n"/>
      <c r="LBN2" s="44" t="n"/>
      <c r="LBO2" s="44" t="n"/>
      <c r="LBP2" s="44" t="n"/>
      <c r="LBQ2" s="44" t="n"/>
      <c r="LBR2" s="44" t="n"/>
      <c r="LBS2" s="44" t="n"/>
      <c r="LBT2" s="44" t="n"/>
      <c r="LBU2" s="44" t="n"/>
      <c r="LBV2" s="44" t="n"/>
      <c r="LBW2" s="44" t="n"/>
      <c r="LBX2" s="44" t="n"/>
      <c r="LBY2" s="44" t="n"/>
      <c r="LBZ2" s="44" t="n"/>
      <c r="LCA2" s="44" t="n"/>
      <c r="LCB2" s="44" t="n"/>
      <c r="LCC2" s="44" t="n"/>
      <c r="LCD2" s="44" t="n"/>
      <c r="LCE2" s="44" t="n"/>
      <c r="LCF2" s="44" t="n"/>
      <c r="LCG2" s="44" t="n"/>
      <c r="LCH2" s="44" t="n"/>
      <c r="LCI2" s="44" t="n"/>
      <c r="LCJ2" s="44" t="n"/>
      <c r="LCK2" s="44" t="n"/>
      <c r="LCL2" s="44" t="n"/>
      <c r="LCM2" s="44" t="n"/>
      <c r="LCN2" s="44" t="n"/>
      <c r="LCO2" s="44" t="n"/>
      <c r="LCP2" s="44" t="n"/>
      <c r="LCQ2" s="44" t="n"/>
      <c r="LCR2" s="44" t="n"/>
      <c r="LCS2" s="44" t="n"/>
      <c r="LCT2" s="44" t="n"/>
      <c r="LCU2" s="44" t="n"/>
      <c r="LCV2" s="44" t="n"/>
      <c r="LCW2" s="44" t="n"/>
      <c r="LCX2" s="44" t="n"/>
      <c r="LCY2" s="44" t="n"/>
      <c r="LCZ2" s="44" t="n"/>
      <c r="LDA2" s="44" t="n"/>
      <c r="LDB2" s="44" t="n"/>
      <c r="LDC2" s="44" t="n"/>
      <c r="LDD2" s="44" t="n"/>
      <c r="LDE2" s="44" t="n"/>
      <c r="LDF2" s="44" t="n"/>
      <c r="LDG2" s="44" t="n"/>
      <c r="LDH2" s="44" t="n"/>
      <c r="LDI2" s="44" t="n"/>
      <c r="LDJ2" s="44" t="n"/>
      <c r="LDK2" s="44" t="n"/>
      <c r="LDL2" s="44" t="n"/>
      <c r="LDM2" s="44" t="n"/>
      <c r="LDN2" s="44" t="n"/>
      <c r="LDO2" s="44" t="n"/>
      <c r="LDP2" s="44" t="n"/>
      <c r="LDQ2" s="44" t="n"/>
      <c r="LDR2" s="44" t="n"/>
      <c r="LDS2" s="44" t="n"/>
      <c r="LDT2" s="44" t="n"/>
      <c r="LDU2" s="44" t="n"/>
      <c r="LDV2" s="44" t="n"/>
      <c r="LDW2" s="44" t="n"/>
      <c r="LDX2" s="44" t="n"/>
      <c r="LDY2" s="44" t="n"/>
      <c r="LDZ2" s="44" t="n"/>
      <c r="LEA2" s="44" t="n"/>
      <c r="LEB2" s="44" t="n"/>
      <c r="LEC2" s="44" t="n"/>
      <c r="LED2" s="44" t="n"/>
      <c r="LEE2" s="44" t="n"/>
      <c r="LEF2" s="44" t="n"/>
      <c r="LEG2" s="44" t="n"/>
      <c r="LEH2" s="44" t="n"/>
      <c r="LEI2" s="44" t="n"/>
      <c r="LEJ2" s="44" t="n"/>
      <c r="LEK2" s="44" t="n"/>
      <c r="LEL2" s="44" t="n"/>
      <c r="LEM2" s="44" t="n"/>
      <c r="LEN2" s="44" t="n"/>
      <c r="LEO2" s="44" t="n"/>
      <c r="LEP2" s="44" t="n"/>
      <c r="LEQ2" s="44" t="n"/>
      <c r="LER2" s="44" t="n"/>
      <c r="LES2" s="44" t="n"/>
      <c r="LET2" s="44" t="n"/>
      <c r="LEU2" s="44" t="n"/>
      <c r="LEV2" s="44" t="n"/>
      <c r="LEW2" s="44" t="n"/>
      <c r="LEX2" s="44" t="n"/>
      <c r="LEY2" s="44" t="n"/>
      <c r="LEZ2" s="44" t="n"/>
      <c r="LFA2" s="44" t="n"/>
      <c r="LFB2" s="44" t="n"/>
      <c r="LFC2" s="44" t="n"/>
      <c r="LFD2" s="44" t="n"/>
      <c r="LFE2" s="44" t="n"/>
      <c r="LFF2" s="44" t="n"/>
      <c r="LFG2" s="44" t="n"/>
      <c r="LFH2" s="44" t="n"/>
      <c r="LFI2" s="44" t="n"/>
      <c r="LFJ2" s="44" t="n"/>
      <c r="LFK2" s="44" t="n"/>
      <c r="LFL2" s="44" t="n"/>
      <c r="LFM2" s="44" t="n"/>
      <c r="LFN2" s="44" t="n"/>
      <c r="LFO2" s="44" t="n"/>
      <c r="LFP2" s="44" t="n"/>
      <c r="LFQ2" s="44" t="n"/>
      <c r="LFR2" s="44" t="n"/>
      <c r="LFS2" s="44" t="n"/>
      <c r="LFT2" s="44" t="n"/>
      <c r="LFU2" s="44" t="n"/>
      <c r="LFV2" s="44" t="n"/>
      <c r="LFW2" s="44" t="n"/>
      <c r="LFX2" s="44" t="n"/>
      <c r="LFY2" s="44" t="n"/>
      <c r="LFZ2" s="44" t="n"/>
      <c r="LGA2" s="44" t="n"/>
      <c r="LGB2" s="44" t="n"/>
      <c r="LGC2" s="44" t="n"/>
      <c r="LGD2" s="44" t="n"/>
      <c r="LGE2" s="44" t="n"/>
      <c r="LGF2" s="44" t="n"/>
      <c r="LGG2" s="44" t="n"/>
      <c r="LGH2" s="44" t="n"/>
      <c r="LGI2" s="44" t="n"/>
      <c r="LGJ2" s="44" t="n"/>
      <c r="LGK2" s="44" t="n"/>
      <c r="LGL2" s="44" t="n"/>
      <c r="LGM2" s="44" t="n"/>
      <c r="LGN2" s="44" t="n"/>
      <c r="LGO2" s="44" t="n"/>
      <c r="LGP2" s="44" t="n"/>
      <c r="LGQ2" s="44" t="n"/>
      <c r="LGR2" s="44" t="n"/>
      <c r="LGS2" s="44" t="n"/>
      <c r="LGT2" s="44" t="n"/>
      <c r="LGU2" s="44" t="n"/>
      <c r="LGV2" s="44" t="n"/>
      <c r="LGW2" s="44" t="n"/>
      <c r="LGX2" s="44" t="n"/>
      <c r="LGY2" s="44" t="n"/>
      <c r="LGZ2" s="44" t="n"/>
      <c r="LHA2" s="44" t="n"/>
      <c r="LHB2" s="44" t="n"/>
      <c r="LHC2" s="44" t="n"/>
      <c r="LHD2" s="44" t="n"/>
      <c r="LHE2" s="44" t="n"/>
      <c r="LHF2" s="44" t="n"/>
      <c r="LHG2" s="44" t="n"/>
      <c r="LHH2" s="44" t="n"/>
      <c r="LHI2" s="44" t="n"/>
      <c r="LHJ2" s="44" t="n"/>
      <c r="LHK2" s="44" t="n"/>
      <c r="LHL2" s="44" t="n"/>
      <c r="LHM2" s="44" t="n"/>
      <c r="LHN2" s="44" t="n"/>
      <c r="LHO2" s="44" t="n"/>
      <c r="LHP2" s="44" t="n"/>
      <c r="LHQ2" s="44" t="n"/>
      <c r="LHR2" s="44" t="n"/>
      <c r="LHS2" s="44" t="n"/>
      <c r="LHT2" s="44" t="n"/>
      <c r="LHU2" s="44" t="n"/>
      <c r="LHV2" s="44" t="n"/>
      <c r="LHW2" s="44" t="n"/>
      <c r="LHX2" s="44" t="n"/>
      <c r="LHY2" s="44" t="n"/>
      <c r="LHZ2" s="44" t="n"/>
      <c r="LIA2" s="44" t="n"/>
      <c r="LIB2" s="44" t="n"/>
      <c r="LIC2" s="44" t="n"/>
      <c r="LID2" s="44" t="n"/>
      <c r="LIE2" s="44" t="n"/>
      <c r="LIF2" s="44" t="n"/>
      <c r="LIG2" s="44" t="n"/>
      <c r="LIH2" s="44" t="n"/>
      <c r="LII2" s="44" t="n"/>
      <c r="LIJ2" s="44" t="n"/>
      <c r="LIK2" s="44" t="n"/>
      <c r="LIL2" s="44" t="n"/>
      <c r="LIM2" s="44" t="n"/>
      <c r="LIN2" s="44" t="n"/>
      <c r="LIO2" s="44" t="n"/>
      <c r="LIP2" s="44" t="n"/>
      <c r="LIQ2" s="44" t="n"/>
      <c r="LIR2" s="44" t="n"/>
      <c r="LIS2" s="44" t="n"/>
      <c r="LIT2" s="44" t="n"/>
      <c r="LIU2" s="44" t="n"/>
      <c r="LIV2" s="44" t="n"/>
      <c r="LIW2" s="44" t="n"/>
      <c r="LIX2" s="44" t="n"/>
      <c r="LIY2" s="44" t="n"/>
      <c r="LIZ2" s="44" t="n"/>
      <c r="LJA2" s="44" t="n"/>
      <c r="LJB2" s="44" t="n"/>
      <c r="LJC2" s="44" t="n"/>
      <c r="LJD2" s="44" t="n"/>
      <c r="LJE2" s="44" t="n"/>
      <c r="LJF2" s="44" t="n"/>
      <c r="LJG2" s="44" t="n"/>
      <c r="LJH2" s="44" t="n"/>
      <c r="LJI2" s="44" t="n"/>
      <c r="LJJ2" s="44" t="n"/>
      <c r="LJK2" s="44" t="n"/>
      <c r="LJL2" s="44" t="n"/>
      <c r="LJM2" s="44" t="n"/>
      <c r="LJN2" s="44" t="n"/>
      <c r="LJO2" s="44" t="n"/>
      <c r="LJP2" s="44" t="n"/>
      <c r="LJQ2" s="44" t="n"/>
      <c r="LJR2" s="44" t="n"/>
      <c r="LJS2" s="44" t="n"/>
      <c r="LJT2" s="44" t="n"/>
      <c r="LJU2" s="44" t="n"/>
      <c r="LJV2" s="44" t="n"/>
      <c r="LJW2" s="44" t="n"/>
      <c r="LJX2" s="44" t="n"/>
      <c r="LJY2" s="44" t="n"/>
      <c r="LJZ2" s="44" t="n"/>
      <c r="LKA2" s="44" t="n"/>
      <c r="LKB2" s="44" t="n"/>
      <c r="LKC2" s="44" t="n"/>
      <c r="LKD2" s="44" t="n"/>
      <c r="LKE2" s="44" t="n"/>
      <c r="LKF2" s="44" t="n"/>
      <c r="LKG2" s="44" t="n"/>
      <c r="LKH2" s="44" t="n"/>
      <c r="LKI2" s="44" t="n"/>
      <c r="LKJ2" s="44" t="n"/>
      <c r="LKK2" s="44" t="n"/>
      <c r="LKL2" s="44" t="n"/>
      <c r="LKM2" s="44" t="n"/>
      <c r="LKN2" s="44" t="n"/>
      <c r="LKO2" s="44" t="n"/>
      <c r="LKP2" s="44" t="n"/>
      <c r="LKQ2" s="44" t="n"/>
      <c r="LKR2" s="44" t="n"/>
      <c r="LKS2" s="44" t="n"/>
      <c r="LKT2" s="44" t="n"/>
      <c r="LKU2" s="44" t="n"/>
      <c r="LKV2" s="44" t="n"/>
      <c r="LKW2" s="44" t="n"/>
      <c r="LKX2" s="44" t="n"/>
      <c r="LKY2" s="44" t="n"/>
      <c r="LKZ2" s="44" t="n"/>
      <c r="LLA2" s="44" t="n"/>
      <c r="LLB2" s="44" t="n"/>
      <c r="LLC2" s="44" t="n"/>
      <c r="LLD2" s="44" t="n"/>
      <c r="LLE2" s="44" t="n"/>
      <c r="LLF2" s="44" t="n"/>
      <c r="LLG2" s="44" t="n"/>
      <c r="LLH2" s="44" t="n"/>
      <c r="LLI2" s="44" t="n"/>
      <c r="LLJ2" s="44" t="n"/>
      <c r="LLK2" s="44" t="n"/>
      <c r="LLL2" s="44" t="n"/>
      <c r="LLM2" s="44" t="n"/>
      <c r="LLN2" s="44" t="n"/>
      <c r="LLO2" s="44" t="n"/>
      <c r="LLP2" s="44" t="n"/>
      <c r="LLQ2" s="44" t="n"/>
      <c r="LLR2" s="44" t="n"/>
      <c r="LLS2" s="44" t="n"/>
      <c r="LLT2" s="44" t="n"/>
      <c r="LLU2" s="44" t="n"/>
      <c r="LLV2" s="44" t="n"/>
      <c r="LLW2" s="44" t="n"/>
      <c r="LLX2" s="44" t="n"/>
      <c r="LLY2" s="44" t="n"/>
      <c r="LLZ2" s="44" t="n"/>
      <c r="LMA2" s="44" t="n"/>
      <c r="LMB2" s="44" t="n"/>
      <c r="LMC2" s="44" t="n"/>
      <c r="LMD2" s="44" t="n"/>
      <c r="LME2" s="44" t="n"/>
      <c r="LMF2" s="44" t="n"/>
      <c r="LMG2" s="44" t="n"/>
      <c r="LMH2" s="44" t="n"/>
      <c r="LMI2" s="44" t="n"/>
      <c r="LMJ2" s="44" t="n"/>
      <c r="LMK2" s="44" t="n"/>
      <c r="LML2" s="44" t="n"/>
      <c r="LMM2" s="44" t="n"/>
      <c r="LMN2" s="44" t="n"/>
      <c r="LMO2" s="44" t="n"/>
      <c r="LMP2" s="44" t="n"/>
      <c r="LMQ2" s="44" t="n"/>
      <c r="LMR2" s="44" t="n"/>
      <c r="LMS2" s="44" t="n"/>
      <c r="LMT2" s="44" t="n"/>
      <c r="LMU2" s="44" t="n"/>
      <c r="LMV2" s="44" t="n"/>
      <c r="LMW2" s="44" t="n"/>
      <c r="LMX2" s="44" t="n"/>
      <c r="LMY2" s="44" t="n"/>
      <c r="LMZ2" s="44" t="n"/>
      <c r="LNA2" s="44" t="n"/>
      <c r="LNB2" s="44" t="n"/>
      <c r="LNC2" s="44" t="n"/>
      <c r="LND2" s="44" t="n"/>
      <c r="LNE2" s="44" t="n"/>
      <c r="LNF2" s="44" t="n"/>
      <c r="LNG2" s="44" t="n"/>
      <c r="LNH2" s="44" t="n"/>
      <c r="LNI2" s="44" t="n"/>
      <c r="LNJ2" s="44" t="n"/>
      <c r="LNK2" s="44" t="n"/>
      <c r="LNL2" s="44" t="n"/>
      <c r="LNM2" s="44" t="n"/>
      <c r="LNN2" s="44" t="n"/>
      <c r="LNO2" s="44" t="n"/>
      <c r="LNP2" s="44" t="n"/>
      <c r="LNQ2" s="44" t="n"/>
      <c r="LNR2" s="44" t="n"/>
      <c r="LNS2" s="44" t="n"/>
      <c r="LNT2" s="44" t="n"/>
      <c r="LNU2" s="44" t="n"/>
      <c r="LNV2" s="44" t="n"/>
      <c r="LNW2" s="44" t="n"/>
      <c r="LNX2" s="44" t="n"/>
      <c r="LNY2" s="44" t="n"/>
      <c r="LNZ2" s="44" t="n"/>
      <c r="LOA2" s="44" t="n"/>
      <c r="LOB2" s="44" t="n"/>
      <c r="LOC2" s="44" t="n"/>
      <c r="LOD2" s="44" t="n"/>
      <c r="LOE2" s="44" t="n"/>
      <c r="LOF2" s="44" t="n"/>
      <c r="LOG2" s="44" t="n"/>
      <c r="LOH2" s="44" t="n"/>
      <c r="LOI2" s="44" t="n"/>
      <c r="LOJ2" s="44" t="n"/>
      <c r="LOK2" s="44" t="n"/>
      <c r="LOL2" s="44" t="n"/>
      <c r="LOM2" s="44" t="n"/>
      <c r="LON2" s="44" t="n"/>
      <c r="LOO2" s="44" t="n"/>
      <c r="LOP2" s="44" t="n"/>
      <c r="LOQ2" s="44" t="n"/>
      <c r="LOR2" s="44" t="n"/>
      <c r="LOS2" s="44" t="n"/>
      <c r="LOT2" s="44" t="n"/>
      <c r="LOU2" s="44" t="n"/>
      <c r="LOV2" s="44" t="n"/>
      <c r="LOW2" s="44" t="n"/>
      <c r="LOX2" s="44" t="n"/>
      <c r="LOY2" s="44" t="n"/>
      <c r="LOZ2" s="44" t="n"/>
      <c r="LPA2" s="44" t="n"/>
      <c r="LPB2" s="44" t="n"/>
      <c r="LPC2" s="44" t="n"/>
      <c r="LPD2" s="44" t="n"/>
      <c r="LPE2" s="44" t="n"/>
      <c r="LPF2" s="44" t="n"/>
      <c r="LPG2" s="44" t="n"/>
      <c r="LPH2" s="44" t="n"/>
      <c r="LPI2" s="44" t="n"/>
      <c r="LPJ2" s="44" t="n"/>
      <c r="LPK2" s="44" t="n"/>
      <c r="LPL2" s="44" t="n"/>
      <c r="LPM2" s="44" t="n"/>
      <c r="LPN2" s="44" t="n"/>
      <c r="LPO2" s="44" t="n"/>
      <c r="LPP2" s="44" t="n"/>
      <c r="LPQ2" s="44" t="n"/>
      <c r="LPR2" s="44" t="n"/>
      <c r="LPS2" s="44" t="n"/>
      <c r="LPT2" s="44" t="n"/>
      <c r="LPU2" s="44" t="n"/>
      <c r="LPV2" s="44" t="n"/>
      <c r="LPW2" s="44" t="n"/>
      <c r="LPX2" s="44" t="n"/>
      <c r="LPY2" s="44" t="n"/>
      <c r="LPZ2" s="44" t="n"/>
      <c r="LQA2" s="44" t="n"/>
      <c r="LQB2" s="44" t="n"/>
      <c r="LQC2" s="44" t="n"/>
      <c r="LQD2" s="44" t="n"/>
      <c r="LQE2" s="44" t="n"/>
      <c r="LQF2" s="44" t="n"/>
      <c r="LQG2" s="44" t="n"/>
      <c r="LQH2" s="44" t="n"/>
      <c r="LQI2" s="44" t="n"/>
      <c r="LQJ2" s="44" t="n"/>
      <c r="LQK2" s="44" t="n"/>
      <c r="LQL2" s="44" t="n"/>
      <c r="LQM2" s="44" t="n"/>
      <c r="LQN2" s="44" t="n"/>
      <c r="LQO2" s="44" t="n"/>
      <c r="LQP2" s="44" t="n"/>
      <c r="LQQ2" s="44" t="n"/>
      <c r="LQR2" s="44" t="n"/>
      <c r="LQS2" s="44" t="n"/>
      <c r="LQT2" s="44" t="n"/>
      <c r="LQU2" s="44" t="n"/>
      <c r="LQV2" s="44" t="n"/>
      <c r="LQW2" s="44" t="n"/>
      <c r="LQX2" s="44" t="n"/>
      <c r="LQY2" s="44" t="n"/>
      <c r="LQZ2" s="44" t="n"/>
      <c r="LRA2" s="44" t="n"/>
      <c r="LRB2" s="44" t="n"/>
      <c r="LRC2" s="44" t="n"/>
      <c r="LRD2" s="44" t="n"/>
      <c r="LRE2" s="44" t="n"/>
      <c r="LRF2" s="44" t="n"/>
      <c r="LRG2" s="44" t="n"/>
      <c r="LRH2" s="44" t="n"/>
      <c r="LRI2" s="44" t="n"/>
      <c r="LRJ2" s="44" t="n"/>
      <c r="LRK2" s="44" t="n"/>
      <c r="LRL2" s="44" t="n"/>
      <c r="LRM2" s="44" t="n"/>
      <c r="LRN2" s="44" t="n"/>
      <c r="LRO2" s="44" t="n"/>
      <c r="LRP2" s="44" t="n"/>
      <c r="LRQ2" s="44" t="n"/>
      <c r="LRR2" s="44" t="n"/>
      <c r="LRS2" s="44" t="n"/>
      <c r="LRT2" s="44" t="n"/>
      <c r="LRU2" s="44" t="n"/>
      <c r="LRV2" s="44" t="n"/>
      <c r="LRW2" s="44" t="n"/>
      <c r="LRX2" s="44" t="n"/>
      <c r="LRY2" s="44" t="n"/>
      <c r="LRZ2" s="44" t="n"/>
      <c r="LSA2" s="44" t="n"/>
      <c r="LSB2" s="44" t="n"/>
      <c r="LSC2" s="44" t="n"/>
      <c r="LSD2" s="44" t="n"/>
      <c r="LSE2" s="44" t="n"/>
      <c r="LSF2" s="44" t="n"/>
      <c r="LSG2" s="44" t="n"/>
      <c r="LSH2" s="44" t="n"/>
      <c r="LSI2" s="44" t="n"/>
      <c r="LSJ2" s="44" t="n"/>
      <c r="LSK2" s="44" t="n"/>
      <c r="LSL2" s="44" t="n"/>
      <c r="LSM2" s="44" t="n"/>
      <c r="LSN2" s="44" t="n"/>
      <c r="LSO2" s="44" t="n"/>
      <c r="LSP2" s="44" t="n"/>
      <c r="LSQ2" s="44" t="n"/>
      <c r="LSR2" s="44" t="n"/>
      <c r="LSS2" s="44" t="n"/>
      <c r="LST2" s="44" t="n"/>
      <c r="LSU2" s="44" t="n"/>
      <c r="LSV2" s="44" t="n"/>
      <c r="LSW2" s="44" t="n"/>
      <c r="LSX2" s="44" t="n"/>
      <c r="LSY2" s="44" t="n"/>
      <c r="LSZ2" s="44" t="n"/>
      <c r="LTA2" s="44" t="n"/>
      <c r="LTB2" s="44" t="n"/>
      <c r="LTC2" s="44" t="n"/>
      <c r="LTD2" s="44" t="n"/>
      <c r="LTE2" s="44" t="n"/>
      <c r="LTF2" s="44" t="n"/>
      <c r="LTG2" s="44" t="n"/>
      <c r="LTH2" s="44" t="n"/>
      <c r="LTI2" s="44" t="n"/>
      <c r="LTJ2" s="44" t="n"/>
      <c r="LTK2" s="44" t="n"/>
      <c r="LTL2" s="44" t="n"/>
      <c r="LTM2" s="44" t="n"/>
      <c r="LTN2" s="44" t="n"/>
      <c r="LTO2" s="44" t="n"/>
      <c r="LTP2" s="44" t="n"/>
      <c r="LTQ2" s="44" t="n"/>
      <c r="LTR2" s="44" t="n"/>
      <c r="LTS2" s="44" t="n"/>
      <c r="LTT2" s="44" t="n"/>
      <c r="LTU2" s="44" t="n"/>
      <c r="LTV2" s="44" t="n"/>
      <c r="LTW2" s="44" t="n"/>
      <c r="LTX2" s="44" t="n"/>
      <c r="LTY2" s="44" t="n"/>
      <c r="LTZ2" s="44" t="n"/>
      <c r="LUA2" s="44" t="n"/>
      <c r="LUB2" s="44" t="n"/>
      <c r="LUC2" s="44" t="n"/>
      <c r="LUD2" s="44" t="n"/>
      <c r="LUE2" s="44" t="n"/>
      <c r="LUF2" s="44" t="n"/>
      <c r="LUG2" s="44" t="n"/>
      <c r="LUH2" s="44" t="n"/>
      <c r="LUI2" s="44" t="n"/>
      <c r="LUJ2" s="44" t="n"/>
      <c r="LUK2" s="44" t="n"/>
      <c r="LUL2" s="44" t="n"/>
      <c r="LUM2" s="44" t="n"/>
      <c r="LUN2" s="44" t="n"/>
      <c r="LUO2" s="44" t="n"/>
      <c r="LUP2" s="44" t="n"/>
      <c r="LUQ2" s="44" t="n"/>
      <c r="LUR2" s="44" t="n"/>
      <c r="LUS2" s="44" t="n"/>
      <c r="LUT2" s="44" t="n"/>
      <c r="LUU2" s="44" t="n"/>
      <c r="LUV2" s="44" t="n"/>
      <c r="LUW2" s="44" t="n"/>
      <c r="LUX2" s="44" t="n"/>
      <c r="LUY2" s="44" t="n"/>
      <c r="LUZ2" s="44" t="n"/>
      <c r="LVA2" s="44" t="n"/>
      <c r="LVB2" s="44" t="n"/>
      <c r="LVC2" s="44" t="n"/>
      <c r="LVD2" s="44" t="n"/>
      <c r="LVE2" s="44" t="n"/>
      <c r="LVF2" s="44" t="n"/>
      <c r="LVG2" s="44" t="n"/>
      <c r="LVH2" s="44" t="n"/>
      <c r="LVI2" s="44" t="n"/>
      <c r="LVJ2" s="44" t="n"/>
      <c r="LVK2" s="44" t="n"/>
      <c r="LVL2" s="44" t="n"/>
      <c r="LVM2" s="44" t="n"/>
      <c r="LVN2" s="44" t="n"/>
      <c r="LVO2" s="44" t="n"/>
      <c r="LVP2" s="44" t="n"/>
      <c r="LVQ2" s="44" t="n"/>
      <c r="LVR2" s="44" t="n"/>
      <c r="LVS2" s="44" t="n"/>
      <c r="LVT2" s="44" t="n"/>
      <c r="LVU2" s="44" t="n"/>
      <c r="LVV2" s="44" t="n"/>
      <c r="LVW2" s="44" t="n"/>
      <c r="LVX2" s="44" t="n"/>
      <c r="LVY2" s="44" t="n"/>
      <c r="LVZ2" s="44" t="n"/>
      <c r="LWA2" s="44" t="n"/>
      <c r="LWB2" s="44" t="n"/>
      <c r="LWC2" s="44" t="n"/>
      <c r="LWD2" s="44" t="n"/>
      <c r="LWE2" s="44" t="n"/>
      <c r="LWF2" s="44" t="n"/>
      <c r="LWG2" s="44" t="n"/>
      <c r="LWH2" s="44" t="n"/>
      <c r="LWI2" s="44" t="n"/>
      <c r="LWJ2" s="44" t="n"/>
      <c r="LWK2" s="44" t="n"/>
      <c r="LWL2" s="44" t="n"/>
      <c r="LWM2" s="44" t="n"/>
      <c r="LWN2" s="44" t="n"/>
      <c r="LWO2" s="44" t="n"/>
      <c r="LWP2" s="44" t="n"/>
      <c r="LWQ2" s="44" t="n"/>
      <c r="LWR2" s="44" t="n"/>
      <c r="LWS2" s="44" t="n"/>
      <c r="LWT2" s="44" t="n"/>
      <c r="LWU2" s="44" t="n"/>
      <c r="LWV2" s="44" t="n"/>
      <c r="LWW2" s="44" t="n"/>
      <c r="LWX2" s="44" t="n"/>
      <c r="LWY2" s="44" t="n"/>
      <c r="LWZ2" s="44" t="n"/>
      <c r="LXA2" s="44" t="n"/>
      <c r="LXB2" s="44" t="n"/>
      <c r="LXC2" s="44" t="n"/>
      <c r="LXD2" s="44" t="n"/>
      <c r="LXE2" s="44" t="n"/>
      <c r="LXF2" s="44" t="n"/>
      <c r="LXG2" s="44" t="n"/>
      <c r="LXH2" s="44" t="n"/>
      <c r="LXI2" s="44" t="n"/>
      <c r="LXJ2" s="44" t="n"/>
      <c r="LXK2" s="44" t="n"/>
      <c r="LXL2" s="44" t="n"/>
      <c r="LXM2" s="44" t="n"/>
      <c r="LXN2" s="44" t="n"/>
      <c r="LXO2" s="44" t="n"/>
      <c r="LXP2" s="44" t="n"/>
      <c r="LXQ2" s="44" t="n"/>
      <c r="LXR2" s="44" t="n"/>
      <c r="LXS2" s="44" t="n"/>
      <c r="LXT2" s="44" t="n"/>
      <c r="LXU2" s="44" t="n"/>
      <c r="LXV2" s="44" t="n"/>
      <c r="LXW2" s="44" t="n"/>
      <c r="LXX2" s="44" t="n"/>
      <c r="LXY2" s="44" t="n"/>
      <c r="LXZ2" s="44" t="n"/>
      <c r="LYA2" s="44" t="n"/>
      <c r="LYB2" s="44" t="n"/>
      <c r="LYC2" s="44" t="n"/>
      <c r="LYD2" s="44" t="n"/>
      <c r="LYE2" s="44" t="n"/>
      <c r="LYF2" s="44" t="n"/>
      <c r="LYG2" s="44" t="n"/>
      <c r="LYH2" s="44" t="n"/>
      <c r="LYI2" s="44" t="n"/>
      <c r="LYJ2" s="44" t="n"/>
      <c r="LYK2" s="44" t="n"/>
      <c r="LYL2" s="44" t="n"/>
      <c r="LYM2" s="44" t="n"/>
      <c r="LYN2" s="44" t="n"/>
      <c r="LYO2" s="44" t="n"/>
      <c r="LYP2" s="44" t="n"/>
      <c r="LYQ2" s="44" t="n"/>
      <c r="LYR2" s="44" t="n"/>
      <c r="LYS2" s="44" t="n"/>
      <c r="LYT2" s="44" t="n"/>
      <c r="LYU2" s="44" t="n"/>
      <c r="LYV2" s="44" t="n"/>
      <c r="LYW2" s="44" t="n"/>
      <c r="LYX2" s="44" t="n"/>
      <c r="LYY2" s="44" t="n"/>
      <c r="LYZ2" s="44" t="n"/>
      <c r="LZA2" s="44" t="n"/>
      <c r="LZB2" s="44" t="n"/>
      <c r="LZC2" s="44" t="n"/>
      <c r="LZD2" s="44" t="n"/>
      <c r="LZE2" s="44" t="n"/>
      <c r="LZF2" s="44" t="n"/>
      <c r="LZG2" s="44" t="n"/>
      <c r="LZH2" s="44" t="n"/>
      <c r="LZI2" s="44" t="n"/>
      <c r="LZJ2" s="44" t="n"/>
      <c r="LZK2" s="44" t="n"/>
      <c r="LZL2" s="44" t="n"/>
      <c r="LZM2" s="44" t="n"/>
      <c r="LZN2" s="44" t="n"/>
      <c r="LZO2" s="44" t="n"/>
      <c r="LZP2" s="44" t="n"/>
      <c r="LZQ2" s="44" t="n"/>
      <c r="LZR2" s="44" t="n"/>
      <c r="LZS2" s="44" t="n"/>
      <c r="LZT2" s="44" t="n"/>
      <c r="LZU2" s="44" t="n"/>
      <c r="LZV2" s="44" t="n"/>
      <c r="LZW2" s="44" t="n"/>
      <c r="LZX2" s="44" t="n"/>
      <c r="LZY2" s="44" t="n"/>
      <c r="LZZ2" s="44" t="n"/>
      <c r="MAA2" s="44" t="n"/>
      <c r="MAB2" s="44" t="n"/>
      <c r="MAC2" s="44" t="n"/>
      <c r="MAD2" s="44" t="n"/>
      <c r="MAE2" s="44" t="n"/>
      <c r="MAF2" s="44" t="n"/>
      <c r="MAG2" s="44" t="n"/>
      <c r="MAH2" s="44" t="n"/>
      <c r="MAI2" s="44" t="n"/>
      <c r="MAJ2" s="44" t="n"/>
      <c r="MAK2" s="44" t="n"/>
      <c r="MAL2" s="44" t="n"/>
      <c r="MAM2" s="44" t="n"/>
      <c r="MAN2" s="44" t="n"/>
      <c r="MAO2" s="44" t="n"/>
      <c r="MAP2" s="44" t="n"/>
      <c r="MAQ2" s="44" t="n"/>
      <c r="MAR2" s="44" t="n"/>
      <c r="MAS2" s="44" t="n"/>
      <c r="MAT2" s="44" t="n"/>
      <c r="MAU2" s="44" t="n"/>
      <c r="MAV2" s="44" t="n"/>
      <c r="MAW2" s="44" t="n"/>
      <c r="MAX2" s="44" t="n"/>
      <c r="MAY2" s="44" t="n"/>
      <c r="MAZ2" s="44" t="n"/>
      <c r="MBA2" s="44" t="n"/>
      <c r="MBB2" s="44" t="n"/>
      <c r="MBC2" s="44" t="n"/>
      <c r="MBD2" s="44" t="n"/>
      <c r="MBE2" s="44" t="n"/>
      <c r="MBF2" s="44" t="n"/>
      <c r="MBG2" s="44" t="n"/>
      <c r="MBH2" s="44" t="n"/>
      <c r="MBI2" s="44" t="n"/>
      <c r="MBJ2" s="44" t="n"/>
      <c r="MBK2" s="44" t="n"/>
      <c r="MBL2" s="44" t="n"/>
      <c r="MBM2" s="44" t="n"/>
      <c r="MBN2" s="44" t="n"/>
      <c r="MBO2" s="44" t="n"/>
      <c r="MBP2" s="44" t="n"/>
      <c r="MBQ2" s="44" t="n"/>
      <c r="MBR2" s="44" t="n"/>
      <c r="MBS2" s="44" t="n"/>
      <c r="MBT2" s="44" t="n"/>
      <c r="MBU2" s="44" t="n"/>
      <c r="MBV2" s="44" t="n"/>
      <c r="MBW2" s="44" t="n"/>
      <c r="MBX2" s="44" t="n"/>
      <c r="MBY2" s="44" t="n"/>
      <c r="MBZ2" s="44" t="n"/>
      <c r="MCA2" s="44" t="n"/>
      <c r="MCB2" s="44" t="n"/>
      <c r="MCC2" s="44" t="n"/>
      <c r="MCD2" s="44" t="n"/>
      <c r="MCE2" s="44" t="n"/>
      <c r="MCF2" s="44" t="n"/>
      <c r="MCG2" s="44" t="n"/>
      <c r="MCH2" s="44" t="n"/>
      <c r="MCI2" s="44" t="n"/>
      <c r="MCJ2" s="44" t="n"/>
      <c r="MCK2" s="44" t="n"/>
      <c r="MCL2" s="44" t="n"/>
      <c r="MCM2" s="44" t="n"/>
      <c r="MCN2" s="44" t="n"/>
      <c r="MCO2" s="44" t="n"/>
      <c r="MCP2" s="44" t="n"/>
      <c r="MCQ2" s="44" t="n"/>
      <c r="MCR2" s="44" t="n"/>
      <c r="MCS2" s="44" t="n"/>
      <c r="MCT2" s="44" t="n"/>
      <c r="MCU2" s="44" t="n"/>
      <c r="MCV2" s="44" t="n"/>
      <c r="MCW2" s="44" t="n"/>
      <c r="MCX2" s="44" t="n"/>
      <c r="MCY2" s="44" t="n"/>
      <c r="MCZ2" s="44" t="n"/>
      <c r="MDA2" s="44" t="n"/>
      <c r="MDB2" s="44" t="n"/>
      <c r="MDC2" s="44" t="n"/>
      <c r="MDD2" s="44" t="n"/>
      <c r="MDE2" s="44" t="n"/>
      <c r="MDF2" s="44" t="n"/>
      <c r="MDG2" s="44" t="n"/>
      <c r="MDH2" s="44" t="n"/>
      <c r="MDI2" s="44" t="n"/>
      <c r="MDJ2" s="44" t="n"/>
      <c r="MDK2" s="44" t="n"/>
      <c r="MDL2" s="44" t="n"/>
      <c r="MDM2" s="44" t="n"/>
      <c r="MDN2" s="44" t="n"/>
      <c r="MDO2" s="44" t="n"/>
      <c r="MDP2" s="44" t="n"/>
      <c r="MDQ2" s="44" t="n"/>
      <c r="MDR2" s="44" t="n"/>
      <c r="MDS2" s="44" t="n"/>
      <c r="MDT2" s="44" t="n"/>
      <c r="MDU2" s="44" t="n"/>
      <c r="MDV2" s="44" t="n"/>
      <c r="MDW2" s="44" t="n"/>
      <c r="MDX2" s="44" t="n"/>
      <c r="MDY2" s="44" t="n"/>
      <c r="MDZ2" s="44" t="n"/>
      <c r="MEA2" s="44" t="n"/>
      <c r="MEB2" s="44" t="n"/>
      <c r="MEC2" s="44" t="n"/>
      <c r="MED2" s="44" t="n"/>
      <c r="MEE2" s="44" t="n"/>
      <c r="MEF2" s="44" t="n"/>
      <c r="MEG2" s="44" t="n"/>
      <c r="MEH2" s="44" t="n"/>
      <c r="MEI2" s="44" t="n"/>
      <c r="MEJ2" s="44" t="n"/>
      <c r="MEK2" s="44" t="n"/>
      <c r="MEL2" s="44" t="n"/>
      <c r="MEM2" s="44" t="n"/>
      <c r="MEN2" s="44" t="n"/>
      <c r="MEO2" s="44" t="n"/>
      <c r="MEP2" s="44" t="n"/>
      <c r="MEQ2" s="44" t="n"/>
      <c r="MER2" s="44" t="n"/>
      <c r="MES2" s="44" t="n"/>
      <c r="MET2" s="44" t="n"/>
      <c r="MEU2" s="44" t="n"/>
      <c r="MEV2" s="44" t="n"/>
      <c r="MEW2" s="44" t="n"/>
      <c r="MEX2" s="44" t="n"/>
      <c r="MEY2" s="44" t="n"/>
      <c r="MEZ2" s="44" t="n"/>
      <c r="MFA2" s="44" t="n"/>
      <c r="MFB2" s="44" t="n"/>
      <c r="MFC2" s="44" t="n"/>
      <c r="MFD2" s="44" t="n"/>
      <c r="MFE2" s="44" t="n"/>
      <c r="MFF2" s="44" t="n"/>
      <c r="MFG2" s="44" t="n"/>
      <c r="MFH2" s="44" t="n"/>
      <c r="MFI2" s="44" t="n"/>
      <c r="MFJ2" s="44" t="n"/>
      <c r="MFK2" s="44" t="n"/>
      <c r="MFL2" s="44" t="n"/>
      <c r="MFM2" s="44" t="n"/>
      <c r="MFN2" s="44" t="n"/>
      <c r="MFO2" s="44" t="n"/>
      <c r="MFP2" s="44" t="n"/>
      <c r="MFQ2" s="44" t="n"/>
      <c r="MFR2" s="44" t="n"/>
      <c r="MFS2" s="44" t="n"/>
      <c r="MFT2" s="44" t="n"/>
      <c r="MFU2" s="44" t="n"/>
      <c r="MFV2" s="44" t="n"/>
      <c r="MFW2" s="44" t="n"/>
      <c r="MFX2" s="44" t="n"/>
      <c r="MFY2" s="44" t="n"/>
      <c r="MFZ2" s="44" t="n"/>
      <c r="MGA2" s="44" t="n"/>
      <c r="MGB2" s="44" t="n"/>
      <c r="MGC2" s="44" t="n"/>
      <c r="MGD2" s="44" t="n"/>
      <c r="MGE2" s="44" t="n"/>
      <c r="MGF2" s="44" t="n"/>
      <c r="MGG2" s="44" t="n"/>
      <c r="MGH2" s="44" t="n"/>
      <c r="MGI2" s="44" t="n"/>
      <c r="MGJ2" s="44" t="n"/>
      <c r="MGK2" s="44" t="n"/>
      <c r="MGL2" s="44" t="n"/>
      <c r="MGM2" s="44" t="n"/>
      <c r="MGN2" s="44" t="n"/>
      <c r="MGO2" s="44" t="n"/>
      <c r="MGP2" s="44" t="n"/>
      <c r="MGQ2" s="44" t="n"/>
      <c r="MGR2" s="44" t="n"/>
      <c r="MGS2" s="44" t="n"/>
      <c r="MGT2" s="44" t="n"/>
      <c r="MGU2" s="44" t="n"/>
      <c r="MGV2" s="44" t="n"/>
      <c r="MGW2" s="44" t="n"/>
      <c r="MGX2" s="44" t="n"/>
      <c r="MGY2" s="44" t="n"/>
      <c r="MGZ2" s="44" t="n"/>
      <c r="MHA2" s="44" t="n"/>
      <c r="MHB2" s="44" t="n"/>
      <c r="MHC2" s="44" t="n"/>
      <c r="MHD2" s="44" t="n"/>
      <c r="MHE2" s="44" t="n"/>
      <c r="MHF2" s="44" t="n"/>
      <c r="MHG2" s="44" t="n"/>
      <c r="MHH2" s="44" t="n"/>
      <c r="MHI2" s="44" t="n"/>
      <c r="MHJ2" s="44" t="n"/>
      <c r="MHK2" s="44" t="n"/>
      <c r="MHL2" s="44" t="n"/>
      <c r="MHM2" s="44" t="n"/>
      <c r="MHN2" s="44" t="n"/>
      <c r="MHO2" s="44" t="n"/>
      <c r="MHP2" s="44" t="n"/>
      <c r="MHQ2" s="44" t="n"/>
      <c r="MHR2" s="44" t="n"/>
      <c r="MHS2" s="44" t="n"/>
      <c r="MHT2" s="44" t="n"/>
      <c r="MHU2" s="44" t="n"/>
      <c r="MHV2" s="44" t="n"/>
      <c r="MHW2" s="44" t="n"/>
      <c r="MHX2" s="44" t="n"/>
      <c r="MHY2" s="44" t="n"/>
      <c r="MHZ2" s="44" t="n"/>
      <c r="MIA2" s="44" t="n"/>
      <c r="MIB2" s="44" t="n"/>
      <c r="MIC2" s="44" t="n"/>
      <c r="MID2" s="44" t="n"/>
      <c r="MIE2" s="44" t="n"/>
      <c r="MIF2" s="44" t="n"/>
      <c r="MIG2" s="44" t="n"/>
      <c r="MIH2" s="44" t="n"/>
      <c r="MII2" s="44" t="n"/>
      <c r="MIJ2" s="44" t="n"/>
      <c r="MIK2" s="44" t="n"/>
      <c r="MIL2" s="44" t="n"/>
      <c r="MIM2" s="44" t="n"/>
      <c r="MIN2" s="44" t="n"/>
      <c r="MIO2" s="44" t="n"/>
      <c r="MIP2" s="44" t="n"/>
      <c r="MIQ2" s="44" t="n"/>
      <c r="MIR2" s="44" t="n"/>
      <c r="MIS2" s="44" t="n"/>
      <c r="MIT2" s="44" t="n"/>
      <c r="MIU2" s="44" t="n"/>
      <c r="MIV2" s="44" t="n"/>
      <c r="MIW2" s="44" t="n"/>
      <c r="MIX2" s="44" t="n"/>
      <c r="MIY2" s="44" t="n"/>
      <c r="MIZ2" s="44" t="n"/>
      <c r="MJA2" s="44" t="n"/>
      <c r="MJB2" s="44" t="n"/>
      <c r="MJC2" s="44" t="n"/>
      <c r="MJD2" s="44" t="n"/>
      <c r="MJE2" s="44" t="n"/>
      <c r="MJF2" s="44" t="n"/>
      <c r="MJG2" s="44" t="n"/>
      <c r="MJH2" s="44" t="n"/>
      <c r="MJI2" s="44" t="n"/>
      <c r="MJJ2" s="44" t="n"/>
      <c r="MJK2" s="44" t="n"/>
      <c r="MJL2" s="44" t="n"/>
      <c r="MJM2" s="44" t="n"/>
      <c r="MJN2" s="44" t="n"/>
      <c r="MJO2" s="44" t="n"/>
      <c r="MJP2" s="44" t="n"/>
      <c r="MJQ2" s="44" t="n"/>
      <c r="MJR2" s="44" t="n"/>
      <c r="MJS2" s="44" t="n"/>
      <c r="MJT2" s="44" t="n"/>
      <c r="MJU2" s="44" t="n"/>
      <c r="MJV2" s="44" t="n"/>
      <c r="MJW2" s="44" t="n"/>
      <c r="MJX2" s="44" t="n"/>
      <c r="MJY2" s="44" t="n"/>
      <c r="MJZ2" s="44" t="n"/>
      <c r="MKA2" s="44" t="n"/>
      <c r="MKB2" s="44" t="n"/>
      <c r="MKC2" s="44" t="n"/>
      <c r="MKD2" s="44" t="n"/>
      <c r="MKE2" s="44" t="n"/>
      <c r="MKF2" s="44" t="n"/>
      <c r="MKG2" s="44" t="n"/>
      <c r="MKH2" s="44" t="n"/>
      <c r="MKI2" s="44" t="n"/>
      <c r="MKJ2" s="44" t="n"/>
      <c r="MKK2" s="44" t="n"/>
      <c r="MKL2" s="44" t="n"/>
      <c r="MKM2" s="44" t="n"/>
      <c r="MKN2" s="44" t="n"/>
      <c r="MKO2" s="44" t="n"/>
      <c r="MKP2" s="44" t="n"/>
      <c r="MKQ2" s="44" t="n"/>
      <c r="MKR2" s="44" t="n"/>
      <c r="MKS2" s="44" t="n"/>
      <c r="MKT2" s="44" t="n"/>
      <c r="MKU2" s="44" t="n"/>
      <c r="MKV2" s="44" t="n"/>
      <c r="MKW2" s="44" t="n"/>
      <c r="MKX2" s="44" t="n"/>
      <c r="MKY2" s="44" t="n"/>
      <c r="MKZ2" s="44" t="n"/>
      <c r="MLA2" s="44" t="n"/>
      <c r="MLB2" s="44" t="n"/>
      <c r="MLC2" s="44" t="n"/>
      <c r="MLD2" s="44" t="n"/>
      <c r="MLE2" s="44" t="n"/>
      <c r="MLF2" s="44" t="n"/>
      <c r="MLG2" s="44" t="n"/>
      <c r="MLH2" s="44" t="n"/>
      <c r="MLI2" s="44" t="n"/>
      <c r="MLJ2" s="44" t="n"/>
      <c r="MLK2" s="44" t="n"/>
      <c r="MLL2" s="44" t="n"/>
      <c r="MLM2" s="44" t="n"/>
      <c r="MLN2" s="44" t="n"/>
      <c r="MLO2" s="44" t="n"/>
      <c r="MLP2" s="44" t="n"/>
      <c r="MLQ2" s="44" t="n"/>
      <c r="MLR2" s="44" t="n"/>
      <c r="MLS2" s="44" t="n"/>
      <c r="MLT2" s="44" t="n"/>
      <c r="MLU2" s="44" t="n"/>
      <c r="MLV2" s="44" t="n"/>
      <c r="MLW2" s="44" t="n"/>
      <c r="MLX2" s="44" t="n"/>
      <c r="MLY2" s="44" t="n"/>
      <c r="MLZ2" s="44" t="n"/>
      <c r="MMA2" s="44" t="n"/>
      <c r="MMB2" s="44" t="n"/>
      <c r="MMC2" s="44" t="n"/>
      <c r="MMD2" s="44" t="n"/>
      <c r="MME2" s="44" t="n"/>
      <c r="MMF2" s="44" t="n"/>
      <c r="MMG2" s="44" t="n"/>
      <c r="MMH2" s="44" t="n"/>
      <c r="MMI2" s="44" t="n"/>
      <c r="MMJ2" s="44" t="n"/>
      <c r="MMK2" s="44" t="n"/>
      <c r="MML2" s="44" t="n"/>
      <c r="MMM2" s="44" t="n"/>
      <c r="MMN2" s="44" t="n"/>
      <c r="MMO2" s="44" t="n"/>
      <c r="MMP2" s="44" t="n"/>
      <c r="MMQ2" s="44" t="n"/>
      <c r="MMR2" s="44" t="n"/>
      <c r="MMS2" s="44" t="n"/>
      <c r="MMT2" s="44" t="n"/>
      <c r="MMU2" s="44" t="n"/>
      <c r="MMV2" s="44" t="n"/>
      <c r="MMW2" s="44" t="n"/>
      <c r="MMX2" s="44" t="n"/>
      <c r="MMY2" s="44" t="n"/>
      <c r="MMZ2" s="44" t="n"/>
      <c r="MNA2" s="44" t="n"/>
      <c r="MNB2" s="44" t="n"/>
      <c r="MNC2" s="44" t="n"/>
      <c r="MND2" s="44" t="n"/>
      <c r="MNE2" s="44" t="n"/>
      <c r="MNF2" s="44" t="n"/>
      <c r="MNG2" s="44" t="n"/>
      <c r="MNH2" s="44" t="n"/>
      <c r="MNI2" s="44" t="n"/>
      <c r="MNJ2" s="44" t="n"/>
      <c r="MNK2" s="44" t="n"/>
      <c r="MNL2" s="44" t="n"/>
      <c r="MNM2" s="44" t="n"/>
      <c r="MNN2" s="44" t="n"/>
      <c r="MNO2" s="44" t="n"/>
      <c r="MNP2" s="44" t="n"/>
      <c r="MNQ2" s="44" t="n"/>
      <c r="MNR2" s="44" t="n"/>
      <c r="MNS2" s="44" t="n"/>
      <c r="MNT2" s="44" t="n"/>
      <c r="MNU2" s="44" t="n"/>
      <c r="MNV2" s="44" t="n"/>
      <c r="MNW2" s="44" t="n"/>
      <c r="MNX2" s="44" t="n"/>
      <c r="MNY2" s="44" t="n"/>
      <c r="MNZ2" s="44" t="n"/>
      <c r="MOA2" s="44" t="n"/>
      <c r="MOB2" s="44" t="n"/>
      <c r="MOC2" s="44" t="n"/>
      <c r="MOD2" s="44" t="n"/>
      <c r="MOE2" s="44" t="n"/>
      <c r="MOF2" s="44" t="n"/>
      <c r="MOG2" s="44" t="n"/>
      <c r="MOH2" s="44" t="n"/>
      <c r="MOI2" s="44" t="n"/>
      <c r="MOJ2" s="44" t="n"/>
      <c r="MOK2" s="44" t="n"/>
      <c r="MOL2" s="44" t="n"/>
      <c r="MOM2" s="44" t="n"/>
      <c r="MON2" s="44" t="n"/>
      <c r="MOO2" s="44" t="n"/>
      <c r="MOP2" s="44" t="n"/>
      <c r="MOQ2" s="44" t="n"/>
      <c r="MOR2" s="44" t="n"/>
      <c r="MOS2" s="44" t="n"/>
      <c r="MOT2" s="44" t="n"/>
      <c r="MOU2" s="44" t="n"/>
      <c r="MOV2" s="44" t="n"/>
      <c r="MOW2" s="44" t="n"/>
      <c r="MOX2" s="44" t="n"/>
      <c r="MOY2" s="44" t="n"/>
      <c r="MOZ2" s="44" t="n"/>
      <c r="MPA2" s="44" t="n"/>
      <c r="MPB2" s="44" t="n"/>
      <c r="MPC2" s="44" t="n"/>
      <c r="MPD2" s="44" t="n"/>
      <c r="MPE2" s="44" t="n"/>
      <c r="MPF2" s="44" t="n"/>
      <c r="MPG2" s="44" t="n"/>
      <c r="MPH2" s="44" t="n"/>
      <c r="MPI2" s="44" t="n"/>
      <c r="MPJ2" s="44" t="n"/>
      <c r="MPK2" s="44" t="n"/>
      <c r="MPL2" s="44" t="n"/>
      <c r="MPM2" s="44" t="n"/>
      <c r="MPN2" s="44" t="n"/>
      <c r="MPO2" s="44" t="n"/>
      <c r="MPP2" s="44" t="n"/>
      <c r="MPQ2" s="44" t="n"/>
      <c r="MPR2" s="44" t="n"/>
      <c r="MPS2" s="44" t="n"/>
      <c r="MPT2" s="44" t="n"/>
      <c r="MPU2" s="44" t="n"/>
      <c r="MPV2" s="44" t="n"/>
      <c r="MPW2" s="44" t="n"/>
      <c r="MPX2" s="44" t="n"/>
      <c r="MPY2" s="44" t="n"/>
      <c r="MPZ2" s="44" t="n"/>
      <c r="MQA2" s="44" t="n"/>
      <c r="MQB2" s="44" t="n"/>
      <c r="MQC2" s="44" t="n"/>
      <c r="MQD2" s="44" t="n"/>
      <c r="MQE2" s="44" t="n"/>
      <c r="MQF2" s="44" t="n"/>
      <c r="MQG2" s="44" t="n"/>
      <c r="MQH2" s="44" t="n"/>
      <c r="MQI2" s="44" t="n"/>
      <c r="MQJ2" s="44" t="n"/>
      <c r="MQK2" s="44" t="n"/>
      <c r="MQL2" s="44" t="n"/>
      <c r="MQM2" s="44" t="n"/>
      <c r="MQN2" s="44" t="n"/>
      <c r="MQO2" s="44" t="n"/>
      <c r="MQP2" s="44" t="n"/>
      <c r="MQQ2" s="44" t="n"/>
      <c r="MQR2" s="44" t="n"/>
      <c r="MQS2" s="44" t="n"/>
      <c r="MQT2" s="44" t="n"/>
      <c r="MQU2" s="44" t="n"/>
      <c r="MQV2" s="44" t="n"/>
      <c r="MQW2" s="44" t="n"/>
      <c r="MQX2" s="44" t="n"/>
      <c r="MQY2" s="44" t="n"/>
      <c r="MQZ2" s="44" t="n"/>
      <c r="MRA2" s="44" t="n"/>
      <c r="MRB2" s="44" t="n"/>
      <c r="MRC2" s="44" t="n"/>
      <c r="MRD2" s="44" t="n"/>
      <c r="MRE2" s="44" t="n"/>
      <c r="MRF2" s="44" t="n"/>
      <c r="MRG2" s="44" t="n"/>
      <c r="MRH2" s="44" t="n"/>
      <c r="MRI2" s="44" t="n"/>
      <c r="MRJ2" s="44" t="n"/>
      <c r="MRK2" s="44" t="n"/>
      <c r="MRL2" s="44" t="n"/>
      <c r="MRM2" s="44" t="n"/>
      <c r="MRN2" s="44" t="n"/>
      <c r="MRO2" s="44" t="n"/>
      <c r="MRP2" s="44" t="n"/>
      <c r="MRQ2" s="44" t="n"/>
      <c r="MRR2" s="44" t="n"/>
      <c r="MRS2" s="44" t="n"/>
      <c r="MRT2" s="44" t="n"/>
      <c r="MRU2" s="44" t="n"/>
      <c r="MRV2" s="44" t="n"/>
      <c r="MRW2" s="44" t="n"/>
      <c r="MRX2" s="44" t="n"/>
      <c r="MRY2" s="44" t="n"/>
      <c r="MRZ2" s="44" t="n"/>
      <c r="MSA2" s="44" t="n"/>
      <c r="MSB2" s="44" t="n"/>
      <c r="MSC2" s="44" t="n"/>
      <c r="MSD2" s="44" t="n"/>
      <c r="MSE2" s="44" t="n"/>
      <c r="MSF2" s="44" t="n"/>
      <c r="MSG2" s="44" t="n"/>
      <c r="MSH2" s="44" t="n"/>
      <c r="MSI2" s="44" t="n"/>
      <c r="MSJ2" s="44" t="n"/>
      <c r="MSK2" s="44" t="n"/>
      <c r="MSL2" s="44" t="n"/>
      <c r="MSM2" s="44" t="n"/>
      <c r="MSN2" s="44" t="n"/>
      <c r="MSO2" s="44" t="n"/>
      <c r="MSP2" s="44" t="n"/>
      <c r="MSQ2" s="44" t="n"/>
      <c r="MSR2" s="44" t="n"/>
      <c r="MSS2" s="44" t="n"/>
      <c r="MST2" s="44" t="n"/>
      <c r="MSU2" s="44" t="n"/>
      <c r="MSV2" s="44" t="n"/>
      <c r="MSW2" s="44" t="n"/>
      <c r="MSX2" s="44" t="n"/>
      <c r="MSY2" s="44" t="n"/>
      <c r="MSZ2" s="44" t="n"/>
      <c r="MTA2" s="44" t="n"/>
      <c r="MTB2" s="44" t="n"/>
      <c r="MTC2" s="44" t="n"/>
      <c r="MTD2" s="44" t="n"/>
      <c r="MTE2" s="44" t="n"/>
      <c r="MTF2" s="44" t="n"/>
      <c r="MTG2" s="44" t="n"/>
      <c r="MTH2" s="44" t="n"/>
      <c r="MTI2" s="44" t="n"/>
      <c r="MTJ2" s="44" t="n"/>
      <c r="MTK2" s="44" t="n"/>
      <c r="MTL2" s="44" t="n"/>
      <c r="MTM2" s="44" t="n"/>
      <c r="MTN2" s="44" t="n"/>
      <c r="MTO2" s="44" t="n"/>
      <c r="MTP2" s="44" t="n"/>
      <c r="MTQ2" s="44" t="n"/>
      <c r="MTR2" s="44" t="n"/>
      <c r="MTS2" s="44" t="n"/>
      <c r="MTT2" s="44" t="n"/>
      <c r="MTU2" s="44" t="n"/>
      <c r="MTV2" s="44" t="n"/>
      <c r="MTW2" s="44" t="n"/>
      <c r="MTX2" s="44" t="n"/>
      <c r="MTY2" s="44" t="n"/>
      <c r="MTZ2" s="44" t="n"/>
      <c r="MUA2" s="44" t="n"/>
      <c r="MUB2" s="44" t="n"/>
      <c r="MUC2" s="44" t="n"/>
      <c r="MUD2" s="44" t="n"/>
      <c r="MUE2" s="44" t="n"/>
      <c r="MUF2" s="44" t="n"/>
      <c r="MUG2" s="44" t="n"/>
      <c r="MUH2" s="44" t="n"/>
      <c r="MUI2" s="44" t="n"/>
      <c r="MUJ2" s="44" t="n"/>
      <c r="MUK2" s="44" t="n"/>
      <c r="MUL2" s="44" t="n"/>
      <c r="MUM2" s="44" t="n"/>
      <c r="MUN2" s="44" t="n"/>
      <c r="MUO2" s="44" t="n"/>
      <c r="MUP2" s="44" t="n"/>
      <c r="MUQ2" s="44" t="n"/>
      <c r="MUR2" s="44" t="n"/>
      <c r="MUS2" s="44" t="n"/>
      <c r="MUT2" s="44" t="n"/>
      <c r="MUU2" s="44" t="n"/>
      <c r="MUV2" s="44" t="n"/>
      <c r="MUW2" s="44" t="n"/>
      <c r="MUX2" s="44" t="n"/>
      <c r="MUY2" s="44" t="n"/>
      <c r="MUZ2" s="44" t="n"/>
      <c r="MVA2" s="44" t="n"/>
      <c r="MVB2" s="44" t="n"/>
      <c r="MVC2" s="44" t="n"/>
      <c r="MVD2" s="44" t="n"/>
      <c r="MVE2" s="44" t="n"/>
      <c r="MVF2" s="44" t="n"/>
      <c r="MVG2" s="44" t="n"/>
      <c r="MVH2" s="44" t="n"/>
      <c r="MVI2" s="44" t="n"/>
      <c r="MVJ2" s="44" t="n"/>
      <c r="MVK2" s="44" t="n"/>
      <c r="MVL2" s="44" t="n"/>
      <c r="MVM2" s="44" t="n"/>
      <c r="MVN2" s="44" t="n"/>
      <c r="MVO2" s="44" t="n"/>
      <c r="MVP2" s="44" t="n"/>
      <c r="MVQ2" s="44" t="n"/>
      <c r="MVR2" s="44" t="n"/>
      <c r="MVS2" s="44" t="n"/>
      <c r="MVT2" s="44" t="n"/>
      <c r="MVU2" s="44" t="n"/>
      <c r="MVV2" s="44" t="n"/>
      <c r="MVW2" s="44" t="n"/>
      <c r="MVX2" s="44" t="n"/>
      <c r="MVY2" s="44" t="n"/>
      <c r="MVZ2" s="44" t="n"/>
      <c r="MWA2" s="44" t="n"/>
      <c r="MWB2" s="44" t="n"/>
      <c r="MWC2" s="44" t="n"/>
      <c r="MWD2" s="44" t="n"/>
      <c r="MWE2" s="44" t="n"/>
      <c r="MWF2" s="44" t="n"/>
      <c r="MWG2" s="44" t="n"/>
      <c r="MWH2" s="44" t="n"/>
      <c r="MWI2" s="44" t="n"/>
      <c r="MWJ2" s="44" t="n"/>
      <c r="MWK2" s="44" t="n"/>
      <c r="MWL2" s="44" t="n"/>
      <c r="MWM2" s="44" t="n"/>
      <c r="MWN2" s="44" t="n"/>
      <c r="MWO2" s="44" t="n"/>
      <c r="MWP2" s="44" t="n"/>
      <c r="MWQ2" s="44" t="n"/>
      <c r="MWR2" s="44" t="n"/>
      <c r="MWS2" s="44" t="n"/>
      <c r="MWT2" s="44" t="n"/>
      <c r="MWU2" s="44" t="n"/>
      <c r="MWV2" s="44" t="n"/>
      <c r="MWW2" s="44" t="n"/>
      <c r="MWX2" s="44" t="n"/>
      <c r="MWY2" s="44" t="n"/>
      <c r="MWZ2" s="44" t="n"/>
      <c r="MXA2" s="44" t="n"/>
      <c r="MXB2" s="44" t="n"/>
      <c r="MXC2" s="44" t="n"/>
      <c r="MXD2" s="44" t="n"/>
      <c r="MXE2" s="44" t="n"/>
      <c r="MXF2" s="44" t="n"/>
      <c r="MXG2" s="44" t="n"/>
      <c r="MXH2" s="44" t="n"/>
      <c r="MXI2" s="44" t="n"/>
      <c r="MXJ2" s="44" t="n"/>
      <c r="MXK2" s="44" t="n"/>
      <c r="MXL2" s="44" t="n"/>
      <c r="MXM2" s="44" t="n"/>
      <c r="MXN2" s="44" t="n"/>
      <c r="MXO2" s="44" t="n"/>
      <c r="MXP2" s="44" t="n"/>
      <c r="MXQ2" s="44" t="n"/>
      <c r="MXR2" s="44" t="n"/>
      <c r="MXS2" s="44" t="n"/>
      <c r="MXT2" s="44" t="n"/>
      <c r="MXU2" s="44" t="n"/>
      <c r="MXV2" s="44" t="n"/>
      <c r="MXW2" s="44" t="n"/>
      <c r="MXX2" s="44" t="n"/>
      <c r="MXY2" s="44" t="n"/>
      <c r="MXZ2" s="44" t="n"/>
      <c r="MYA2" s="44" t="n"/>
      <c r="MYB2" s="44" t="n"/>
      <c r="MYC2" s="44" t="n"/>
      <c r="MYD2" s="44" t="n"/>
      <c r="MYE2" s="44" t="n"/>
      <c r="MYF2" s="44" t="n"/>
      <c r="MYG2" s="44" t="n"/>
      <c r="MYH2" s="44" t="n"/>
      <c r="MYI2" s="44" t="n"/>
      <c r="MYJ2" s="44" t="n"/>
      <c r="MYK2" s="44" t="n"/>
      <c r="MYL2" s="44" t="n"/>
      <c r="MYM2" s="44" t="n"/>
      <c r="MYN2" s="44" t="n"/>
      <c r="MYO2" s="44" t="n"/>
      <c r="MYP2" s="44" t="n"/>
      <c r="MYQ2" s="44" t="n"/>
      <c r="MYR2" s="44" t="n"/>
      <c r="MYS2" s="44" t="n"/>
      <c r="MYT2" s="44" t="n"/>
      <c r="MYU2" s="44" t="n"/>
      <c r="MYV2" s="44" t="n"/>
      <c r="MYW2" s="44" t="n"/>
      <c r="MYX2" s="44" t="n"/>
      <c r="MYY2" s="44" t="n"/>
      <c r="MYZ2" s="44" t="n"/>
      <c r="MZA2" s="44" t="n"/>
      <c r="MZB2" s="44" t="n"/>
      <c r="MZC2" s="44" t="n"/>
      <c r="MZD2" s="44" t="n"/>
      <c r="MZE2" s="44" t="n"/>
      <c r="MZF2" s="44" t="n"/>
      <c r="MZG2" s="44" t="n"/>
      <c r="MZH2" s="44" t="n"/>
      <c r="MZI2" s="44" t="n"/>
      <c r="MZJ2" s="44" t="n"/>
      <c r="MZK2" s="44" t="n"/>
      <c r="MZL2" s="44" t="n"/>
      <c r="MZM2" s="44" t="n"/>
      <c r="MZN2" s="44" t="n"/>
      <c r="MZO2" s="44" t="n"/>
      <c r="MZP2" s="44" t="n"/>
      <c r="MZQ2" s="44" t="n"/>
      <c r="MZR2" s="44" t="n"/>
      <c r="MZS2" s="44" t="n"/>
      <c r="MZT2" s="44" t="n"/>
      <c r="MZU2" s="44" t="n"/>
      <c r="MZV2" s="44" t="n"/>
      <c r="MZW2" s="44" t="n"/>
      <c r="MZX2" s="44" t="n"/>
      <c r="MZY2" s="44" t="n"/>
      <c r="MZZ2" s="44" t="n"/>
      <c r="NAA2" s="44" t="n"/>
      <c r="NAB2" s="44" t="n"/>
      <c r="NAC2" s="44" t="n"/>
      <c r="NAD2" s="44" t="n"/>
      <c r="NAE2" s="44" t="n"/>
      <c r="NAF2" s="44" t="n"/>
      <c r="NAG2" s="44" t="n"/>
      <c r="NAH2" s="44" t="n"/>
      <c r="NAI2" s="44" t="n"/>
      <c r="NAJ2" s="44" t="n"/>
      <c r="NAK2" s="44" t="n"/>
      <c r="NAL2" s="44" t="n"/>
      <c r="NAM2" s="44" t="n"/>
      <c r="NAN2" s="44" t="n"/>
      <c r="NAO2" s="44" t="n"/>
      <c r="NAP2" s="44" t="n"/>
      <c r="NAQ2" s="44" t="n"/>
      <c r="NAR2" s="44" t="n"/>
      <c r="NAS2" s="44" t="n"/>
      <c r="NAT2" s="44" t="n"/>
      <c r="NAU2" s="44" t="n"/>
      <c r="NAV2" s="44" t="n"/>
      <c r="NAW2" s="44" t="n"/>
      <c r="NAX2" s="44" t="n"/>
      <c r="NAY2" s="44" t="n"/>
      <c r="NAZ2" s="44" t="n"/>
      <c r="NBA2" s="44" t="n"/>
      <c r="NBB2" s="44" t="n"/>
      <c r="NBC2" s="44" t="n"/>
      <c r="NBD2" s="44" t="n"/>
      <c r="NBE2" s="44" t="n"/>
      <c r="NBF2" s="44" t="n"/>
      <c r="NBG2" s="44" t="n"/>
      <c r="NBH2" s="44" t="n"/>
      <c r="NBI2" s="44" t="n"/>
      <c r="NBJ2" s="44" t="n"/>
      <c r="NBK2" s="44" t="n"/>
      <c r="NBL2" s="44" t="n"/>
      <c r="NBM2" s="44" t="n"/>
      <c r="NBN2" s="44" t="n"/>
      <c r="NBO2" s="44" t="n"/>
      <c r="NBP2" s="44" t="n"/>
      <c r="NBQ2" s="44" t="n"/>
      <c r="NBR2" s="44" t="n"/>
      <c r="NBS2" s="44" t="n"/>
      <c r="NBT2" s="44" t="n"/>
      <c r="NBU2" s="44" t="n"/>
      <c r="NBV2" s="44" t="n"/>
      <c r="NBW2" s="44" t="n"/>
      <c r="NBX2" s="44" t="n"/>
      <c r="NBY2" s="44" t="n"/>
      <c r="NBZ2" s="44" t="n"/>
      <c r="NCA2" s="44" t="n"/>
      <c r="NCB2" s="44" t="n"/>
      <c r="NCC2" s="44" t="n"/>
      <c r="NCD2" s="44" t="n"/>
      <c r="NCE2" s="44" t="n"/>
      <c r="NCF2" s="44" t="n"/>
      <c r="NCG2" s="44" t="n"/>
      <c r="NCH2" s="44" t="n"/>
      <c r="NCI2" s="44" t="n"/>
      <c r="NCJ2" s="44" t="n"/>
      <c r="NCK2" s="44" t="n"/>
      <c r="NCL2" s="44" t="n"/>
      <c r="NCM2" s="44" t="n"/>
      <c r="NCN2" s="44" t="n"/>
      <c r="NCO2" s="44" t="n"/>
      <c r="NCP2" s="44" t="n"/>
      <c r="NCQ2" s="44" t="n"/>
      <c r="NCR2" s="44" t="n"/>
      <c r="NCS2" s="44" t="n"/>
      <c r="NCT2" s="44" t="n"/>
      <c r="NCU2" s="44" t="n"/>
      <c r="NCV2" s="44" t="n"/>
      <c r="NCW2" s="44" t="n"/>
      <c r="NCX2" s="44" t="n"/>
      <c r="NCY2" s="44" t="n"/>
      <c r="NCZ2" s="44" t="n"/>
      <c r="NDA2" s="44" t="n"/>
      <c r="NDB2" s="44" t="n"/>
      <c r="NDC2" s="44" t="n"/>
      <c r="NDD2" s="44" t="n"/>
      <c r="NDE2" s="44" t="n"/>
      <c r="NDF2" s="44" t="n"/>
      <c r="NDG2" s="44" t="n"/>
      <c r="NDH2" s="44" t="n"/>
      <c r="NDI2" s="44" t="n"/>
      <c r="NDJ2" s="44" t="n"/>
      <c r="NDK2" s="44" t="n"/>
      <c r="NDL2" s="44" t="n"/>
      <c r="NDM2" s="44" t="n"/>
      <c r="NDN2" s="44" t="n"/>
      <c r="NDO2" s="44" t="n"/>
      <c r="NDP2" s="44" t="n"/>
      <c r="NDQ2" s="44" t="n"/>
      <c r="NDR2" s="44" t="n"/>
      <c r="NDS2" s="44" t="n"/>
      <c r="NDT2" s="44" t="n"/>
      <c r="NDU2" s="44" t="n"/>
      <c r="NDV2" s="44" t="n"/>
      <c r="NDW2" s="44" t="n"/>
      <c r="NDX2" s="44" t="n"/>
      <c r="NDY2" s="44" t="n"/>
      <c r="NDZ2" s="44" t="n"/>
      <c r="NEA2" s="44" t="n"/>
      <c r="NEB2" s="44" t="n"/>
      <c r="NEC2" s="44" t="n"/>
      <c r="NED2" s="44" t="n"/>
      <c r="NEE2" s="44" t="n"/>
      <c r="NEF2" s="44" t="n"/>
      <c r="NEG2" s="44" t="n"/>
      <c r="NEH2" s="44" t="n"/>
      <c r="NEI2" s="44" t="n"/>
      <c r="NEJ2" s="44" t="n"/>
      <c r="NEK2" s="44" t="n"/>
      <c r="NEL2" s="44" t="n"/>
      <c r="NEM2" s="44" t="n"/>
      <c r="NEN2" s="44" t="n"/>
      <c r="NEO2" s="44" t="n"/>
      <c r="NEP2" s="44" t="n"/>
      <c r="NEQ2" s="44" t="n"/>
      <c r="NER2" s="44" t="n"/>
      <c r="NES2" s="44" t="n"/>
      <c r="NET2" s="44" t="n"/>
      <c r="NEU2" s="44" t="n"/>
      <c r="NEV2" s="44" t="n"/>
      <c r="NEW2" s="44" t="n"/>
      <c r="NEX2" s="44" t="n"/>
      <c r="NEY2" s="44" t="n"/>
      <c r="NEZ2" s="44" t="n"/>
      <c r="NFA2" s="44" t="n"/>
      <c r="NFB2" s="44" t="n"/>
      <c r="NFC2" s="44" t="n"/>
      <c r="NFD2" s="44" t="n"/>
      <c r="NFE2" s="44" t="n"/>
      <c r="NFF2" s="44" t="n"/>
      <c r="NFG2" s="44" t="n"/>
      <c r="NFH2" s="44" t="n"/>
      <c r="NFI2" s="44" t="n"/>
      <c r="NFJ2" s="44" t="n"/>
      <c r="NFK2" s="44" t="n"/>
      <c r="NFL2" s="44" t="n"/>
      <c r="NFM2" s="44" t="n"/>
      <c r="NFN2" s="44" t="n"/>
      <c r="NFO2" s="44" t="n"/>
      <c r="NFP2" s="44" t="n"/>
      <c r="NFQ2" s="44" t="n"/>
      <c r="NFR2" s="44" t="n"/>
      <c r="NFS2" s="44" t="n"/>
      <c r="NFT2" s="44" t="n"/>
      <c r="NFU2" s="44" t="n"/>
      <c r="NFV2" s="44" t="n"/>
      <c r="NFW2" s="44" t="n"/>
      <c r="NFX2" s="44" t="n"/>
      <c r="NFY2" s="44" t="n"/>
      <c r="NFZ2" s="44" t="n"/>
      <c r="NGA2" s="44" t="n"/>
      <c r="NGB2" s="44" t="n"/>
      <c r="NGC2" s="44" t="n"/>
      <c r="NGD2" s="44" t="n"/>
      <c r="NGE2" s="44" t="n"/>
      <c r="NGF2" s="44" t="n"/>
      <c r="NGG2" s="44" t="n"/>
      <c r="NGH2" s="44" t="n"/>
      <c r="NGI2" s="44" t="n"/>
      <c r="NGJ2" s="44" t="n"/>
      <c r="NGK2" s="44" t="n"/>
      <c r="NGL2" s="44" t="n"/>
      <c r="NGM2" s="44" t="n"/>
      <c r="NGN2" s="44" t="n"/>
      <c r="NGO2" s="44" t="n"/>
      <c r="NGP2" s="44" t="n"/>
      <c r="NGQ2" s="44" t="n"/>
      <c r="NGR2" s="44" t="n"/>
      <c r="NGS2" s="44" t="n"/>
      <c r="NGT2" s="44" t="n"/>
      <c r="NGU2" s="44" t="n"/>
      <c r="NGV2" s="44" t="n"/>
      <c r="NGW2" s="44" t="n"/>
      <c r="NGX2" s="44" t="n"/>
      <c r="NGY2" s="44" t="n"/>
      <c r="NGZ2" s="44" t="n"/>
      <c r="NHA2" s="44" t="n"/>
      <c r="NHB2" s="44" t="n"/>
      <c r="NHC2" s="44" t="n"/>
      <c r="NHD2" s="44" t="n"/>
      <c r="NHE2" s="44" t="n"/>
      <c r="NHF2" s="44" t="n"/>
      <c r="NHG2" s="44" t="n"/>
      <c r="NHH2" s="44" t="n"/>
      <c r="NHI2" s="44" t="n"/>
      <c r="NHJ2" s="44" t="n"/>
      <c r="NHK2" s="44" t="n"/>
      <c r="NHL2" s="44" t="n"/>
      <c r="NHM2" s="44" t="n"/>
      <c r="NHN2" s="44" t="n"/>
      <c r="NHO2" s="44" t="n"/>
      <c r="NHP2" s="44" t="n"/>
      <c r="NHQ2" s="44" t="n"/>
      <c r="NHR2" s="44" t="n"/>
      <c r="NHS2" s="44" t="n"/>
      <c r="NHT2" s="44" t="n"/>
      <c r="NHU2" s="44" t="n"/>
      <c r="NHV2" s="44" t="n"/>
      <c r="NHW2" s="44" t="n"/>
      <c r="NHX2" s="44" t="n"/>
      <c r="NHY2" s="44" t="n"/>
      <c r="NHZ2" s="44" t="n"/>
      <c r="NIA2" s="44" t="n"/>
      <c r="NIB2" s="44" t="n"/>
      <c r="NIC2" s="44" t="n"/>
      <c r="NID2" s="44" t="n"/>
      <c r="NIE2" s="44" t="n"/>
      <c r="NIF2" s="44" t="n"/>
      <c r="NIG2" s="44" t="n"/>
      <c r="NIH2" s="44" t="n"/>
      <c r="NII2" s="44" t="n"/>
      <c r="NIJ2" s="44" t="n"/>
      <c r="NIK2" s="44" t="n"/>
      <c r="NIL2" s="44" t="n"/>
      <c r="NIM2" s="44" t="n"/>
      <c r="NIN2" s="44" t="n"/>
      <c r="NIO2" s="44" t="n"/>
      <c r="NIP2" s="44" t="n"/>
      <c r="NIQ2" s="44" t="n"/>
      <c r="NIR2" s="44" t="n"/>
      <c r="NIS2" s="44" t="n"/>
      <c r="NIT2" s="44" t="n"/>
      <c r="NIU2" s="44" t="n"/>
      <c r="NIV2" s="44" t="n"/>
      <c r="NIW2" s="44" t="n"/>
      <c r="NIX2" s="44" t="n"/>
      <c r="NIY2" s="44" t="n"/>
      <c r="NIZ2" s="44" t="n"/>
      <c r="NJA2" s="44" t="n"/>
      <c r="NJB2" s="44" t="n"/>
      <c r="NJC2" s="44" t="n"/>
      <c r="NJD2" s="44" t="n"/>
      <c r="NJE2" s="44" t="n"/>
      <c r="NJF2" s="44" t="n"/>
      <c r="NJG2" s="44" t="n"/>
      <c r="NJH2" s="44" t="n"/>
      <c r="NJI2" s="44" t="n"/>
      <c r="NJJ2" s="44" t="n"/>
      <c r="NJK2" s="44" t="n"/>
      <c r="NJL2" s="44" t="n"/>
      <c r="NJM2" s="44" t="n"/>
      <c r="NJN2" s="44" t="n"/>
      <c r="NJO2" s="44" t="n"/>
      <c r="NJP2" s="44" t="n"/>
      <c r="NJQ2" s="44" t="n"/>
      <c r="NJR2" s="44" t="n"/>
      <c r="NJS2" s="44" t="n"/>
      <c r="NJT2" s="44" t="n"/>
      <c r="NJU2" s="44" t="n"/>
      <c r="NJV2" s="44" t="n"/>
      <c r="NJW2" s="44" t="n"/>
      <c r="NJX2" s="44" t="n"/>
      <c r="NJY2" s="44" t="n"/>
      <c r="NJZ2" s="44" t="n"/>
      <c r="NKA2" s="44" t="n"/>
      <c r="NKB2" s="44" t="n"/>
      <c r="NKC2" s="44" t="n"/>
      <c r="NKD2" s="44" t="n"/>
      <c r="NKE2" s="44" t="n"/>
      <c r="NKF2" s="44" t="n"/>
      <c r="NKG2" s="44" t="n"/>
      <c r="NKH2" s="44" t="n"/>
      <c r="NKI2" s="44" t="n"/>
      <c r="NKJ2" s="44" t="n"/>
      <c r="NKK2" s="44" t="n"/>
      <c r="NKL2" s="44" t="n"/>
      <c r="NKM2" s="44" t="n"/>
      <c r="NKN2" s="44" t="n"/>
      <c r="NKO2" s="44" t="n"/>
      <c r="NKP2" s="44" t="n"/>
      <c r="NKQ2" s="44" t="n"/>
      <c r="NKR2" s="44" t="n"/>
      <c r="NKS2" s="44" t="n"/>
      <c r="NKT2" s="44" t="n"/>
      <c r="NKU2" s="44" t="n"/>
      <c r="NKV2" s="44" t="n"/>
      <c r="NKW2" s="44" t="n"/>
      <c r="NKX2" s="44" t="n"/>
      <c r="NKY2" s="44" t="n"/>
      <c r="NKZ2" s="44" t="n"/>
      <c r="NLA2" s="44" t="n"/>
      <c r="NLB2" s="44" t="n"/>
      <c r="NLC2" s="44" t="n"/>
      <c r="NLD2" s="44" t="n"/>
      <c r="NLE2" s="44" t="n"/>
      <c r="NLF2" s="44" t="n"/>
      <c r="NLG2" s="44" t="n"/>
      <c r="NLH2" s="44" t="n"/>
      <c r="NLI2" s="44" t="n"/>
      <c r="NLJ2" s="44" t="n"/>
      <c r="NLK2" s="44" t="n"/>
      <c r="NLL2" s="44" t="n"/>
      <c r="NLM2" s="44" t="n"/>
      <c r="NLN2" s="44" t="n"/>
      <c r="NLO2" s="44" t="n"/>
      <c r="NLP2" s="44" t="n"/>
      <c r="NLQ2" s="44" t="n"/>
      <c r="NLR2" s="44" t="n"/>
      <c r="NLS2" s="44" t="n"/>
      <c r="NLT2" s="44" t="n"/>
      <c r="NLU2" s="44" t="n"/>
      <c r="NLV2" s="44" t="n"/>
      <c r="NLW2" s="44" t="n"/>
      <c r="NLX2" s="44" t="n"/>
      <c r="NLY2" s="44" t="n"/>
      <c r="NLZ2" s="44" t="n"/>
      <c r="NMA2" s="44" t="n"/>
      <c r="NMB2" s="44" t="n"/>
      <c r="NMC2" s="44" t="n"/>
      <c r="NMD2" s="44" t="n"/>
      <c r="NME2" s="44" t="n"/>
      <c r="NMF2" s="44" t="n"/>
      <c r="NMG2" s="44" t="n"/>
      <c r="NMH2" s="44" t="n"/>
      <c r="NMI2" s="44" t="n"/>
      <c r="NMJ2" s="44" t="n"/>
      <c r="NMK2" s="44" t="n"/>
      <c r="NML2" s="44" t="n"/>
      <c r="NMM2" s="44" t="n"/>
      <c r="NMN2" s="44" t="n"/>
      <c r="NMO2" s="44" t="n"/>
      <c r="NMP2" s="44" t="n"/>
      <c r="NMQ2" s="44" t="n"/>
      <c r="NMR2" s="44" t="n"/>
      <c r="NMS2" s="44" t="n"/>
      <c r="NMT2" s="44" t="n"/>
      <c r="NMU2" s="44" t="n"/>
      <c r="NMV2" s="44" t="n"/>
      <c r="NMW2" s="44" t="n"/>
      <c r="NMX2" s="44" t="n"/>
      <c r="NMY2" s="44" t="n"/>
      <c r="NMZ2" s="44" t="n"/>
      <c r="NNA2" s="44" t="n"/>
      <c r="NNB2" s="44" t="n"/>
      <c r="NNC2" s="44" t="n"/>
      <c r="NND2" s="44" t="n"/>
      <c r="NNE2" s="44" t="n"/>
      <c r="NNF2" s="44" t="n"/>
      <c r="NNG2" s="44" t="n"/>
      <c r="NNH2" s="44" t="n"/>
      <c r="NNI2" s="44" t="n"/>
      <c r="NNJ2" s="44" t="n"/>
      <c r="NNK2" s="44" t="n"/>
      <c r="NNL2" s="44" t="n"/>
      <c r="NNM2" s="44" t="n"/>
      <c r="NNN2" s="44" t="n"/>
      <c r="NNO2" s="44" t="n"/>
      <c r="NNP2" s="44" t="n"/>
      <c r="NNQ2" s="44" t="n"/>
      <c r="NNR2" s="44" t="n"/>
      <c r="NNS2" s="44" t="n"/>
      <c r="NNT2" s="44" t="n"/>
      <c r="NNU2" s="44" t="n"/>
      <c r="NNV2" s="44" t="n"/>
      <c r="NNW2" s="44" t="n"/>
      <c r="NNX2" s="44" t="n"/>
      <c r="NNY2" s="44" t="n"/>
      <c r="NNZ2" s="44" t="n"/>
      <c r="NOA2" s="44" t="n"/>
      <c r="NOB2" s="44" t="n"/>
      <c r="NOC2" s="44" t="n"/>
      <c r="NOD2" s="44" t="n"/>
      <c r="NOE2" s="44" t="n"/>
      <c r="NOF2" s="44" t="n"/>
      <c r="NOG2" s="44" t="n"/>
      <c r="NOH2" s="44" t="n"/>
      <c r="NOI2" s="44" t="n"/>
      <c r="NOJ2" s="44" t="n"/>
      <c r="NOK2" s="44" t="n"/>
      <c r="NOL2" s="44" t="n"/>
      <c r="NOM2" s="44" t="n"/>
      <c r="NON2" s="44" t="n"/>
      <c r="NOO2" s="44" t="n"/>
      <c r="NOP2" s="44" t="n"/>
      <c r="NOQ2" s="44" t="n"/>
      <c r="NOR2" s="44" t="n"/>
      <c r="NOS2" s="44" t="n"/>
      <c r="NOT2" s="44" t="n"/>
      <c r="NOU2" s="44" t="n"/>
      <c r="NOV2" s="44" t="n"/>
      <c r="NOW2" s="44" t="n"/>
      <c r="NOX2" s="44" t="n"/>
      <c r="NOY2" s="44" t="n"/>
      <c r="NOZ2" s="44" t="n"/>
      <c r="NPA2" s="44" t="n"/>
      <c r="NPB2" s="44" t="n"/>
      <c r="NPC2" s="44" t="n"/>
      <c r="NPD2" s="44" t="n"/>
      <c r="NPE2" s="44" t="n"/>
      <c r="NPF2" s="44" t="n"/>
      <c r="NPG2" s="44" t="n"/>
      <c r="NPH2" s="44" t="n"/>
      <c r="NPI2" s="44" t="n"/>
      <c r="NPJ2" s="44" t="n"/>
      <c r="NPK2" s="44" t="n"/>
      <c r="NPL2" s="44" t="n"/>
      <c r="NPM2" s="44" t="n"/>
      <c r="NPN2" s="44" t="n"/>
      <c r="NPO2" s="44" t="n"/>
      <c r="NPP2" s="44" t="n"/>
      <c r="NPQ2" s="44" t="n"/>
      <c r="NPR2" s="44" t="n"/>
      <c r="NPS2" s="44" t="n"/>
      <c r="NPT2" s="44" t="n"/>
      <c r="NPU2" s="44" t="n"/>
      <c r="NPV2" s="44" t="n"/>
      <c r="NPW2" s="44" t="n"/>
      <c r="NPX2" s="44" t="n"/>
      <c r="NPY2" s="44" t="n"/>
      <c r="NPZ2" s="44" t="n"/>
      <c r="NQA2" s="44" t="n"/>
      <c r="NQB2" s="44" t="n"/>
      <c r="NQC2" s="44" t="n"/>
      <c r="NQD2" s="44" t="n"/>
      <c r="NQE2" s="44" t="n"/>
      <c r="NQF2" s="44" t="n"/>
      <c r="NQG2" s="44" t="n"/>
      <c r="NQH2" s="44" t="n"/>
      <c r="NQI2" s="44" t="n"/>
      <c r="NQJ2" s="44" t="n"/>
      <c r="NQK2" s="44" t="n"/>
      <c r="NQL2" s="44" t="n"/>
      <c r="NQM2" s="44" t="n"/>
      <c r="NQN2" s="44" t="n"/>
      <c r="NQO2" s="44" t="n"/>
      <c r="NQP2" s="44" t="n"/>
      <c r="NQQ2" s="44" t="n"/>
      <c r="NQR2" s="44" t="n"/>
      <c r="NQS2" s="44" t="n"/>
      <c r="NQT2" s="44" t="n"/>
      <c r="NQU2" s="44" t="n"/>
      <c r="NQV2" s="44" t="n"/>
      <c r="NQW2" s="44" t="n"/>
      <c r="NQX2" s="44" t="n"/>
      <c r="NQY2" s="44" t="n"/>
      <c r="NQZ2" s="44" t="n"/>
      <c r="NRA2" s="44" t="n"/>
      <c r="NRB2" s="44" t="n"/>
      <c r="NRC2" s="44" t="n"/>
      <c r="NRD2" s="44" t="n"/>
      <c r="NRE2" s="44" t="n"/>
      <c r="NRF2" s="44" t="n"/>
      <c r="NRG2" s="44" t="n"/>
      <c r="NRH2" s="44" t="n"/>
      <c r="NRI2" s="44" t="n"/>
      <c r="NRJ2" s="44" t="n"/>
      <c r="NRK2" s="44" t="n"/>
      <c r="NRL2" s="44" t="n"/>
      <c r="NRM2" s="44" t="n"/>
      <c r="NRN2" s="44" t="n"/>
      <c r="NRO2" s="44" t="n"/>
      <c r="NRP2" s="44" t="n"/>
      <c r="NRQ2" s="44" t="n"/>
      <c r="NRR2" s="44" t="n"/>
      <c r="NRS2" s="44" t="n"/>
      <c r="NRT2" s="44" t="n"/>
      <c r="NRU2" s="44" t="n"/>
      <c r="NRV2" s="44" t="n"/>
      <c r="NRW2" s="44" t="n"/>
      <c r="NRX2" s="44" t="n"/>
      <c r="NRY2" s="44" t="n"/>
      <c r="NRZ2" s="44" t="n"/>
      <c r="NSA2" s="44" t="n"/>
      <c r="NSB2" s="44" t="n"/>
      <c r="NSC2" s="44" t="n"/>
      <c r="NSD2" s="44" t="n"/>
      <c r="NSE2" s="44" t="n"/>
      <c r="NSF2" s="44" t="n"/>
      <c r="NSG2" s="44" t="n"/>
      <c r="NSH2" s="44" t="n"/>
      <c r="NSI2" s="44" t="n"/>
      <c r="NSJ2" s="44" t="n"/>
      <c r="NSK2" s="44" t="n"/>
      <c r="NSL2" s="44" t="n"/>
      <c r="NSM2" s="44" t="n"/>
      <c r="NSN2" s="44" t="n"/>
      <c r="NSO2" s="44" t="n"/>
      <c r="NSP2" s="44" t="n"/>
      <c r="NSQ2" s="44" t="n"/>
      <c r="NSR2" s="44" t="n"/>
      <c r="NSS2" s="44" t="n"/>
      <c r="NST2" s="44" t="n"/>
      <c r="NSU2" s="44" t="n"/>
      <c r="NSV2" s="44" t="n"/>
      <c r="NSW2" s="44" t="n"/>
      <c r="NSX2" s="44" t="n"/>
      <c r="NSY2" s="44" t="n"/>
      <c r="NSZ2" s="44" t="n"/>
      <c r="NTA2" s="44" t="n"/>
      <c r="NTB2" s="44" t="n"/>
      <c r="NTC2" s="44" t="n"/>
      <c r="NTD2" s="44" t="n"/>
      <c r="NTE2" s="44" t="n"/>
      <c r="NTF2" s="44" t="n"/>
      <c r="NTG2" s="44" t="n"/>
      <c r="NTH2" s="44" t="n"/>
      <c r="NTI2" s="44" t="n"/>
      <c r="NTJ2" s="44" t="n"/>
      <c r="NTK2" s="44" t="n"/>
      <c r="NTL2" s="44" t="n"/>
      <c r="NTM2" s="44" t="n"/>
      <c r="NTN2" s="44" t="n"/>
      <c r="NTO2" s="44" t="n"/>
      <c r="NTP2" s="44" t="n"/>
      <c r="NTQ2" s="44" t="n"/>
      <c r="NTR2" s="44" t="n"/>
      <c r="NTS2" s="44" t="n"/>
      <c r="NTT2" s="44" t="n"/>
      <c r="NTU2" s="44" t="n"/>
      <c r="NTV2" s="44" t="n"/>
      <c r="NTW2" s="44" t="n"/>
      <c r="NTX2" s="44" t="n"/>
      <c r="NTY2" s="44" t="n"/>
      <c r="NTZ2" s="44" t="n"/>
      <c r="NUA2" s="44" t="n"/>
      <c r="NUB2" s="44" t="n"/>
      <c r="NUC2" s="44" t="n"/>
      <c r="NUD2" s="44" t="n"/>
      <c r="NUE2" s="44" t="n"/>
      <c r="NUF2" s="44" t="n"/>
      <c r="NUG2" s="44" t="n"/>
      <c r="NUH2" s="44" t="n"/>
      <c r="NUI2" s="44" t="n"/>
      <c r="NUJ2" s="44" t="n"/>
      <c r="NUK2" s="44" t="n"/>
      <c r="NUL2" s="44" t="n"/>
      <c r="NUM2" s="44" t="n"/>
      <c r="NUN2" s="44" t="n"/>
      <c r="NUO2" s="44" t="n"/>
      <c r="NUP2" s="44" t="n"/>
      <c r="NUQ2" s="44" t="n"/>
      <c r="NUR2" s="44" t="n"/>
      <c r="NUS2" s="44" t="n"/>
      <c r="NUT2" s="44" t="n"/>
      <c r="NUU2" s="44" t="n"/>
      <c r="NUV2" s="44" t="n"/>
      <c r="NUW2" s="44" t="n"/>
      <c r="NUX2" s="44" t="n"/>
      <c r="NUY2" s="44" t="n"/>
      <c r="NUZ2" s="44" t="n"/>
      <c r="NVA2" s="44" t="n"/>
      <c r="NVB2" s="44" t="n"/>
      <c r="NVC2" s="44" t="n"/>
      <c r="NVD2" s="44" t="n"/>
      <c r="NVE2" s="44" t="n"/>
      <c r="NVF2" s="44" t="n"/>
      <c r="NVG2" s="44" t="n"/>
      <c r="NVH2" s="44" t="n"/>
      <c r="NVI2" s="44" t="n"/>
      <c r="NVJ2" s="44" t="n"/>
      <c r="NVK2" s="44" t="n"/>
      <c r="NVL2" s="44" t="n"/>
      <c r="NVM2" s="44" t="n"/>
      <c r="NVN2" s="44" t="n"/>
      <c r="NVO2" s="44" t="n"/>
      <c r="NVP2" s="44" t="n"/>
      <c r="NVQ2" s="44" t="n"/>
      <c r="NVR2" s="44" t="n"/>
      <c r="NVS2" s="44" t="n"/>
      <c r="NVT2" s="44" t="n"/>
      <c r="NVU2" s="44" t="n"/>
      <c r="NVV2" s="44" t="n"/>
      <c r="NVW2" s="44" t="n"/>
      <c r="NVX2" s="44" t="n"/>
      <c r="NVY2" s="44" t="n"/>
      <c r="NVZ2" s="44" t="n"/>
      <c r="NWA2" s="44" t="n"/>
      <c r="NWB2" s="44" t="n"/>
      <c r="NWC2" s="44" t="n"/>
      <c r="NWD2" s="44" t="n"/>
      <c r="NWE2" s="44" t="n"/>
      <c r="NWF2" s="44" t="n"/>
      <c r="NWG2" s="44" t="n"/>
      <c r="NWH2" s="44" t="n"/>
      <c r="NWI2" s="44" t="n"/>
      <c r="NWJ2" s="44" t="n"/>
      <c r="NWK2" s="44" t="n"/>
      <c r="NWL2" s="44" t="n"/>
      <c r="NWM2" s="44" t="n"/>
      <c r="NWN2" s="44" t="n"/>
      <c r="NWO2" s="44" t="n"/>
      <c r="NWP2" s="44" t="n"/>
      <c r="NWQ2" s="44" t="n"/>
      <c r="NWR2" s="44" t="n"/>
      <c r="NWS2" s="44" t="n"/>
      <c r="NWT2" s="44" t="n"/>
      <c r="NWU2" s="44" t="n"/>
      <c r="NWV2" s="44" t="n"/>
      <c r="NWW2" s="44" t="n"/>
      <c r="NWX2" s="44" t="n"/>
      <c r="NWY2" s="44" t="n"/>
      <c r="NWZ2" s="44" t="n"/>
      <c r="NXA2" s="44" t="n"/>
      <c r="NXB2" s="44" t="n"/>
      <c r="NXC2" s="44" t="n"/>
      <c r="NXD2" s="44" t="n"/>
      <c r="NXE2" s="44" t="n"/>
      <c r="NXF2" s="44" t="n"/>
      <c r="NXG2" s="44" t="n"/>
      <c r="NXH2" s="44" t="n"/>
      <c r="NXI2" s="44" t="n"/>
      <c r="NXJ2" s="44" t="n"/>
      <c r="NXK2" s="44" t="n"/>
      <c r="NXL2" s="44" t="n"/>
      <c r="NXM2" s="44" t="n"/>
      <c r="NXN2" s="44" t="n"/>
      <c r="NXO2" s="44" t="n"/>
      <c r="NXP2" s="44" t="n"/>
      <c r="NXQ2" s="44" t="n"/>
      <c r="NXR2" s="44" t="n"/>
      <c r="NXS2" s="44" t="n"/>
      <c r="NXT2" s="44" t="n"/>
      <c r="NXU2" s="44" t="n"/>
      <c r="NXV2" s="44" t="n"/>
      <c r="NXW2" s="44" t="n"/>
      <c r="NXX2" s="44" t="n"/>
      <c r="NXY2" s="44" t="n"/>
      <c r="NXZ2" s="44" t="n"/>
      <c r="NYA2" s="44" t="n"/>
      <c r="NYB2" s="44" t="n"/>
      <c r="NYC2" s="44" t="n"/>
      <c r="NYD2" s="44" t="n"/>
      <c r="NYE2" s="44" t="n"/>
      <c r="NYF2" s="44" t="n"/>
      <c r="NYG2" s="44" t="n"/>
      <c r="NYH2" s="44" t="n"/>
      <c r="NYI2" s="44" t="n"/>
      <c r="NYJ2" s="44" t="n"/>
      <c r="NYK2" s="44" t="n"/>
      <c r="NYL2" s="44" t="n"/>
      <c r="NYM2" s="44" t="n"/>
      <c r="NYN2" s="44" t="n"/>
      <c r="NYO2" s="44" t="n"/>
      <c r="NYP2" s="44" t="n"/>
      <c r="NYQ2" s="44" t="n"/>
      <c r="NYR2" s="44" t="n"/>
      <c r="NYS2" s="44" t="n"/>
      <c r="NYT2" s="44" t="n"/>
      <c r="NYU2" s="44" t="n"/>
      <c r="NYV2" s="44" t="n"/>
      <c r="NYW2" s="44" t="n"/>
      <c r="NYX2" s="44" t="n"/>
      <c r="NYY2" s="44" t="n"/>
      <c r="NYZ2" s="44" t="n"/>
      <c r="NZA2" s="44" t="n"/>
      <c r="NZB2" s="44" t="n"/>
      <c r="NZC2" s="44" t="n"/>
      <c r="NZD2" s="44" t="n"/>
      <c r="NZE2" s="44" t="n"/>
      <c r="NZF2" s="44" t="n"/>
      <c r="NZG2" s="44" t="n"/>
      <c r="NZH2" s="44" t="n"/>
      <c r="NZI2" s="44" t="n"/>
      <c r="NZJ2" s="44" t="n"/>
      <c r="NZK2" s="44" t="n"/>
      <c r="NZL2" s="44" t="n"/>
      <c r="NZM2" s="44" t="n"/>
      <c r="NZN2" s="44" t="n"/>
      <c r="NZO2" s="44" t="n"/>
      <c r="NZP2" s="44" t="n"/>
      <c r="NZQ2" s="44" t="n"/>
      <c r="NZR2" s="44" t="n"/>
      <c r="NZS2" s="44" t="n"/>
      <c r="NZT2" s="44" t="n"/>
      <c r="NZU2" s="44" t="n"/>
      <c r="NZV2" s="44" t="n"/>
      <c r="NZW2" s="44" t="n"/>
      <c r="NZX2" s="44" t="n"/>
      <c r="NZY2" s="44" t="n"/>
      <c r="NZZ2" s="44" t="n"/>
      <c r="OAA2" s="44" t="n"/>
      <c r="OAB2" s="44" t="n"/>
      <c r="OAC2" s="44" t="n"/>
      <c r="OAD2" s="44" t="n"/>
      <c r="OAE2" s="44" t="n"/>
      <c r="OAF2" s="44" t="n"/>
      <c r="OAG2" s="44" t="n"/>
      <c r="OAH2" s="44" t="n"/>
      <c r="OAI2" s="44" t="n"/>
      <c r="OAJ2" s="44" t="n"/>
      <c r="OAK2" s="44" t="n"/>
      <c r="OAL2" s="44" t="n"/>
      <c r="OAM2" s="44" t="n"/>
      <c r="OAN2" s="44" t="n"/>
      <c r="OAO2" s="44" t="n"/>
      <c r="OAP2" s="44" t="n"/>
      <c r="OAQ2" s="44" t="n"/>
      <c r="OAR2" s="44" t="n"/>
      <c r="OAS2" s="44" t="n"/>
      <c r="OAT2" s="44" t="n"/>
      <c r="OAU2" s="44" t="n"/>
      <c r="OAV2" s="44" t="n"/>
      <c r="OAW2" s="44" t="n"/>
      <c r="OAX2" s="44" t="n"/>
      <c r="OAY2" s="44" t="n"/>
      <c r="OAZ2" s="44" t="n"/>
      <c r="OBA2" s="44" t="n"/>
      <c r="OBB2" s="44" t="n"/>
      <c r="OBC2" s="44" t="n"/>
      <c r="OBD2" s="44" t="n"/>
      <c r="OBE2" s="44" t="n"/>
      <c r="OBF2" s="44" t="n"/>
      <c r="OBG2" s="44" t="n"/>
      <c r="OBH2" s="44" t="n"/>
      <c r="OBI2" s="44" t="n"/>
      <c r="OBJ2" s="44" t="n"/>
      <c r="OBK2" s="44" t="n"/>
      <c r="OBL2" s="44" t="n"/>
      <c r="OBM2" s="44" t="n"/>
      <c r="OBN2" s="44" t="n"/>
      <c r="OBO2" s="44" t="n"/>
      <c r="OBP2" s="44" t="n"/>
      <c r="OBQ2" s="44" t="n"/>
      <c r="OBR2" s="44" t="n"/>
      <c r="OBS2" s="44" t="n"/>
      <c r="OBT2" s="44" t="n"/>
      <c r="OBU2" s="44" t="n"/>
      <c r="OBV2" s="44" t="n"/>
      <c r="OBW2" s="44" t="n"/>
      <c r="OBX2" s="44" t="n"/>
      <c r="OBY2" s="44" t="n"/>
      <c r="OBZ2" s="44" t="n"/>
      <c r="OCA2" s="44" t="n"/>
      <c r="OCB2" s="44" t="n"/>
      <c r="OCC2" s="44" t="n"/>
      <c r="OCD2" s="44" t="n"/>
      <c r="OCE2" s="44" t="n"/>
      <c r="OCF2" s="44" t="n"/>
      <c r="OCG2" s="44" t="n"/>
      <c r="OCH2" s="44" t="n"/>
      <c r="OCI2" s="44" t="n"/>
      <c r="OCJ2" s="44" t="n"/>
      <c r="OCK2" s="44" t="n"/>
      <c r="OCL2" s="44" t="n"/>
      <c r="OCM2" s="44" t="n"/>
      <c r="OCN2" s="44" t="n"/>
      <c r="OCO2" s="44" t="n"/>
      <c r="OCP2" s="44" t="n"/>
      <c r="OCQ2" s="44" t="n"/>
      <c r="OCR2" s="44" t="n"/>
      <c r="OCS2" s="44" t="n"/>
      <c r="OCT2" s="44" t="n"/>
      <c r="OCU2" s="44" t="n"/>
      <c r="OCV2" s="44" t="n"/>
      <c r="OCW2" s="44" t="n"/>
      <c r="OCX2" s="44" t="n"/>
      <c r="OCY2" s="44" t="n"/>
      <c r="OCZ2" s="44" t="n"/>
      <c r="ODA2" s="44" t="n"/>
      <c r="ODB2" s="44" t="n"/>
      <c r="ODC2" s="44" t="n"/>
      <c r="ODD2" s="44" t="n"/>
      <c r="ODE2" s="44" t="n"/>
      <c r="ODF2" s="44" t="n"/>
      <c r="ODG2" s="44" t="n"/>
      <c r="ODH2" s="44" t="n"/>
      <c r="ODI2" s="44" t="n"/>
      <c r="ODJ2" s="44" t="n"/>
      <c r="ODK2" s="44" t="n"/>
      <c r="ODL2" s="44" t="n"/>
      <c r="ODM2" s="44" t="n"/>
      <c r="ODN2" s="44" t="n"/>
      <c r="ODO2" s="44" t="n"/>
      <c r="ODP2" s="44" t="n"/>
      <c r="ODQ2" s="44" t="n"/>
      <c r="ODR2" s="44" t="n"/>
      <c r="ODS2" s="44" t="n"/>
      <c r="ODT2" s="44" t="n"/>
      <c r="ODU2" s="44" t="n"/>
      <c r="ODV2" s="44" t="n"/>
      <c r="ODW2" s="44" t="n"/>
      <c r="ODX2" s="44" t="n"/>
      <c r="ODY2" s="44" t="n"/>
      <c r="ODZ2" s="44" t="n"/>
      <c r="OEA2" s="44" t="n"/>
      <c r="OEB2" s="44" t="n"/>
      <c r="OEC2" s="44" t="n"/>
      <c r="OED2" s="44" t="n"/>
      <c r="OEE2" s="44" t="n"/>
      <c r="OEF2" s="44" t="n"/>
      <c r="OEG2" s="44" t="n"/>
      <c r="OEH2" s="44" t="n"/>
      <c r="OEI2" s="44" t="n"/>
      <c r="OEJ2" s="44" t="n"/>
      <c r="OEK2" s="44" t="n"/>
      <c r="OEL2" s="44" t="n"/>
      <c r="OEM2" s="44" t="n"/>
      <c r="OEN2" s="44" t="n"/>
      <c r="OEO2" s="44" t="n"/>
      <c r="OEP2" s="44" t="n"/>
      <c r="OEQ2" s="44" t="n"/>
      <c r="OER2" s="44" t="n"/>
      <c r="OES2" s="44" t="n"/>
      <c r="OET2" s="44" t="n"/>
      <c r="OEU2" s="44" t="n"/>
      <c r="OEV2" s="44" t="n"/>
      <c r="OEW2" s="44" t="n"/>
      <c r="OEX2" s="44" t="n"/>
      <c r="OEY2" s="44" t="n"/>
      <c r="OEZ2" s="44" t="n"/>
      <c r="OFA2" s="44" t="n"/>
      <c r="OFB2" s="44" t="n"/>
      <c r="OFC2" s="44" t="n"/>
      <c r="OFD2" s="44" t="n"/>
      <c r="OFE2" s="44" t="n"/>
      <c r="OFF2" s="44" t="n"/>
      <c r="OFG2" s="44" t="n"/>
      <c r="OFH2" s="44" t="n"/>
      <c r="OFI2" s="44" t="n"/>
      <c r="OFJ2" s="44" t="n"/>
      <c r="OFK2" s="44" t="n"/>
      <c r="OFL2" s="44" t="n"/>
      <c r="OFM2" s="44" t="n"/>
      <c r="OFN2" s="44" t="n"/>
      <c r="OFO2" s="44" t="n"/>
      <c r="OFP2" s="44" t="n"/>
      <c r="OFQ2" s="44" t="n"/>
      <c r="OFR2" s="44" t="n"/>
      <c r="OFS2" s="44" t="n"/>
      <c r="OFT2" s="44" t="n"/>
      <c r="OFU2" s="44" t="n"/>
      <c r="OFV2" s="44" t="n"/>
      <c r="OFW2" s="44" t="n"/>
      <c r="OFX2" s="44" t="n"/>
      <c r="OFY2" s="44" t="n"/>
      <c r="OFZ2" s="44" t="n"/>
      <c r="OGA2" s="44" t="n"/>
      <c r="OGB2" s="44" t="n"/>
      <c r="OGC2" s="44" t="n"/>
      <c r="OGD2" s="44" t="n"/>
      <c r="OGE2" s="44" t="n"/>
      <c r="OGF2" s="44" t="n"/>
      <c r="OGG2" s="44" t="n"/>
      <c r="OGH2" s="44" t="n"/>
      <c r="OGI2" s="44" t="n"/>
      <c r="OGJ2" s="44" t="n"/>
      <c r="OGK2" s="44" t="n"/>
      <c r="OGL2" s="44" t="n"/>
      <c r="OGM2" s="44" t="n"/>
      <c r="OGN2" s="44" t="n"/>
      <c r="OGO2" s="44" t="n"/>
      <c r="OGP2" s="44" t="n"/>
      <c r="OGQ2" s="44" t="n"/>
      <c r="OGR2" s="44" t="n"/>
      <c r="OGS2" s="44" t="n"/>
      <c r="OGT2" s="44" t="n"/>
      <c r="OGU2" s="44" t="n"/>
      <c r="OGV2" s="44" t="n"/>
      <c r="OGW2" s="44" t="n"/>
      <c r="OGX2" s="44" t="n"/>
      <c r="OGY2" s="44" t="n"/>
      <c r="OGZ2" s="44" t="n"/>
      <c r="OHA2" s="44" t="n"/>
      <c r="OHB2" s="44" t="n"/>
      <c r="OHC2" s="44" t="n"/>
      <c r="OHD2" s="44" t="n"/>
      <c r="OHE2" s="44" t="n"/>
      <c r="OHF2" s="44" t="n"/>
      <c r="OHG2" s="44" t="n"/>
      <c r="OHH2" s="44" t="n"/>
      <c r="OHI2" s="44" t="n"/>
      <c r="OHJ2" s="44" t="n"/>
      <c r="OHK2" s="44" t="n"/>
      <c r="OHL2" s="44" t="n"/>
      <c r="OHM2" s="44" t="n"/>
      <c r="OHN2" s="44" t="n"/>
      <c r="OHO2" s="44" t="n"/>
      <c r="OHP2" s="44" t="n"/>
      <c r="OHQ2" s="44" t="n"/>
      <c r="OHR2" s="44" t="n"/>
      <c r="OHS2" s="44" t="n"/>
      <c r="OHT2" s="44" t="n"/>
      <c r="OHU2" s="44" t="n"/>
      <c r="OHV2" s="44" t="n"/>
      <c r="OHW2" s="44" t="n"/>
      <c r="OHX2" s="44" t="n"/>
      <c r="OHY2" s="44" t="n"/>
      <c r="OHZ2" s="44" t="n"/>
      <c r="OIA2" s="44" t="n"/>
      <c r="OIB2" s="44" t="n"/>
      <c r="OIC2" s="44" t="n"/>
      <c r="OID2" s="44" t="n"/>
      <c r="OIE2" s="44" t="n"/>
      <c r="OIF2" s="44" t="n"/>
      <c r="OIG2" s="44" t="n"/>
      <c r="OIH2" s="44" t="n"/>
      <c r="OII2" s="44" t="n"/>
      <c r="OIJ2" s="44" t="n"/>
      <c r="OIK2" s="44" t="n"/>
      <c r="OIL2" s="44" t="n"/>
      <c r="OIM2" s="44" t="n"/>
      <c r="OIN2" s="44" t="n"/>
      <c r="OIO2" s="44" t="n"/>
      <c r="OIP2" s="44" t="n"/>
      <c r="OIQ2" s="44" t="n"/>
      <c r="OIR2" s="44" t="n"/>
      <c r="OIS2" s="44" t="n"/>
      <c r="OIT2" s="44" t="n"/>
      <c r="OIU2" s="44" t="n"/>
      <c r="OIV2" s="44" t="n"/>
      <c r="OIW2" s="44" t="n"/>
      <c r="OIX2" s="44" t="n"/>
      <c r="OIY2" s="44" t="n"/>
      <c r="OIZ2" s="44" t="n"/>
      <c r="OJA2" s="44" t="n"/>
      <c r="OJB2" s="44" t="n"/>
      <c r="OJC2" s="44" t="n"/>
      <c r="OJD2" s="44" t="n"/>
      <c r="OJE2" s="44" t="n"/>
      <c r="OJF2" s="44" t="n"/>
      <c r="OJG2" s="44" t="n"/>
      <c r="OJH2" s="44" t="n"/>
      <c r="OJI2" s="44" t="n"/>
      <c r="OJJ2" s="44" t="n"/>
      <c r="OJK2" s="44" t="n"/>
      <c r="OJL2" s="44" t="n"/>
      <c r="OJM2" s="44" t="n"/>
      <c r="OJN2" s="44" t="n"/>
      <c r="OJO2" s="44" t="n"/>
      <c r="OJP2" s="44" t="n"/>
      <c r="OJQ2" s="44" t="n"/>
      <c r="OJR2" s="44" t="n"/>
      <c r="OJS2" s="44" t="n"/>
      <c r="OJT2" s="44" t="n"/>
      <c r="OJU2" s="44" t="n"/>
      <c r="OJV2" s="44" t="n"/>
      <c r="OJW2" s="44" t="n"/>
      <c r="OJX2" s="44" t="n"/>
      <c r="OJY2" s="44" t="n"/>
      <c r="OJZ2" s="44" t="n"/>
      <c r="OKA2" s="44" t="n"/>
      <c r="OKB2" s="44" t="n"/>
      <c r="OKC2" s="44" t="n"/>
      <c r="OKD2" s="44" t="n"/>
      <c r="OKE2" s="44" t="n"/>
      <c r="OKF2" s="44" t="n"/>
      <c r="OKG2" s="44" t="n"/>
      <c r="OKH2" s="44" t="n"/>
      <c r="OKI2" s="44" t="n"/>
      <c r="OKJ2" s="44" t="n"/>
      <c r="OKK2" s="44" t="n"/>
      <c r="OKL2" s="44" t="n"/>
      <c r="OKM2" s="44" t="n"/>
      <c r="OKN2" s="44" t="n"/>
      <c r="OKO2" s="44" t="n"/>
      <c r="OKP2" s="44" t="n"/>
      <c r="OKQ2" s="44" t="n"/>
      <c r="OKR2" s="44" t="n"/>
      <c r="OKS2" s="44" t="n"/>
      <c r="OKT2" s="44" t="n"/>
      <c r="OKU2" s="44" t="n"/>
      <c r="OKV2" s="44" t="n"/>
      <c r="OKW2" s="44" t="n"/>
      <c r="OKX2" s="44" t="n"/>
      <c r="OKY2" s="44" t="n"/>
      <c r="OKZ2" s="44" t="n"/>
      <c r="OLA2" s="44" t="n"/>
      <c r="OLB2" s="44" t="n"/>
      <c r="OLC2" s="44" t="n"/>
      <c r="OLD2" s="44" t="n"/>
      <c r="OLE2" s="44" t="n"/>
      <c r="OLF2" s="44" t="n"/>
      <c r="OLG2" s="44" t="n"/>
      <c r="OLH2" s="44" t="n"/>
      <c r="OLI2" s="44" t="n"/>
      <c r="OLJ2" s="44" t="n"/>
      <c r="OLK2" s="44" t="n"/>
      <c r="OLL2" s="44" t="n"/>
      <c r="OLM2" s="44" t="n"/>
      <c r="OLN2" s="44" t="n"/>
      <c r="OLO2" s="44" t="n"/>
      <c r="OLP2" s="44" t="n"/>
      <c r="OLQ2" s="44" t="n"/>
      <c r="OLR2" s="44" t="n"/>
      <c r="OLS2" s="44" t="n"/>
      <c r="OLT2" s="44" t="n"/>
      <c r="OLU2" s="44" t="n"/>
      <c r="OLV2" s="44" t="n"/>
      <c r="OLW2" s="44" t="n"/>
      <c r="OLX2" s="44" t="n"/>
      <c r="OLY2" s="44" t="n"/>
      <c r="OLZ2" s="44" t="n"/>
      <c r="OMA2" s="44" t="n"/>
      <c r="OMB2" s="44" t="n"/>
      <c r="OMC2" s="44" t="n"/>
      <c r="OMD2" s="44" t="n"/>
      <c r="OME2" s="44" t="n"/>
      <c r="OMF2" s="44" t="n"/>
      <c r="OMG2" s="44" t="n"/>
      <c r="OMH2" s="44" t="n"/>
      <c r="OMI2" s="44" t="n"/>
      <c r="OMJ2" s="44" t="n"/>
      <c r="OMK2" s="44" t="n"/>
      <c r="OML2" s="44" t="n"/>
      <c r="OMM2" s="44" t="n"/>
      <c r="OMN2" s="44" t="n"/>
      <c r="OMO2" s="44" t="n"/>
      <c r="OMP2" s="44" t="n"/>
      <c r="OMQ2" s="44" t="n"/>
      <c r="OMR2" s="44" t="n"/>
      <c r="OMS2" s="44" t="n"/>
      <c r="OMT2" s="44" t="n"/>
      <c r="OMU2" s="44" t="n"/>
      <c r="OMV2" s="44" t="n"/>
      <c r="OMW2" s="44" t="n"/>
      <c r="OMX2" s="44" t="n"/>
      <c r="OMY2" s="44" t="n"/>
      <c r="OMZ2" s="44" t="n"/>
      <c r="ONA2" s="44" t="n"/>
      <c r="ONB2" s="44" t="n"/>
      <c r="ONC2" s="44" t="n"/>
      <c r="OND2" s="44" t="n"/>
      <c r="ONE2" s="44" t="n"/>
      <c r="ONF2" s="44" t="n"/>
      <c r="ONG2" s="44" t="n"/>
      <c r="ONH2" s="44" t="n"/>
      <c r="ONI2" s="44" t="n"/>
      <c r="ONJ2" s="44" t="n"/>
      <c r="ONK2" s="44" t="n"/>
      <c r="ONL2" s="44" t="n"/>
      <c r="ONM2" s="44" t="n"/>
      <c r="ONN2" s="44" t="n"/>
      <c r="ONO2" s="44" t="n"/>
      <c r="ONP2" s="44" t="n"/>
      <c r="ONQ2" s="44" t="n"/>
      <c r="ONR2" s="44" t="n"/>
      <c r="ONS2" s="44" t="n"/>
      <c r="ONT2" s="44" t="n"/>
      <c r="ONU2" s="44" t="n"/>
      <c r="ONV2" s="44" t="n"/>
      <c r="ONW2" s="44" t="n"/>
      <c r="ONX2" s="44" t="n"/>
      <c r="ONY2" s="44" t="n"/>
      <c r="ONZ2" s="44" t="n"/>
      <c r="OOA2" s="44" t="n"/>
      <c r="OOB2" s="44" t="n"/>
      <c r="OOC2" s="44" t="n"/>
      <c r="OOD2" s="44" t="n"/>
      <c r="OOE2" s="44" t="n"/>
      <c r="OOF2" s="44" t="n"/>
      <c r="OOG2" s="44" t="n"/>
      <c r="OOH2" s="44" t="n"/>
      <c r="OOI2" s="44" t="n"/>
      <c r="OOJ2" s="44" t="n"/>
      <c r="OOK2" s="44" t="n"/>
      <c r="OOL2" s="44" t="n"/>
      <c r="OOM2" s="44" t="n"/>
      <c r="OON2" s="44" t="n"/>
      <c r="OOO2" s="44" t="n"/>
      <c r="OOP2" s="44" t="n"/>
      <c r="OOQ2" s="44" t="n"/>
      <c r="OOR2" s="44" t="n"/>
      <c r="OOS2" s="44" t="n"/>
      <c r="OOT2" s="44" t="n"/>
      <c r="OOU2" s="44" t="n"/>
      <c r="OOV2" s="44" t="n"/>
      <c r="OOW2" s="44" t="n"/>
      <c r="OOX2" s="44" t="n"/>
      <c r="OOY2" s="44" t="n"/>
      <c r="OOZ2" s="44" t="n"/>
      <c r="OPA2" s="44" t="n"/>
      <c r="OPB2" s="44" t="n"/>
      <c r="OPC2" s="44" t="n"/>
      <c r="OPD2" s="44" t="n"/>
      <c r="OPE2" s="44" t="n"/>
      <c r="OPF2" s="44" t="n"/>
      <c r="OPG2" s="44" t="n"/>
      <c r="OPH2" s="44" t="n"/>
      <c r="OPI2" s="44" t="n"/>
      <c r="OPJ2" s="44" t="n"/>
      <c r="OPK2" s="44" t="n"/>
      <c r="OPL2" s="44" t="n"/>
      <c r="OPM2" s="44" t="n"/>
      <c r="OPN2" s="44" t="n"/>
      <c r="OPO2" s="44" t="n"/>
      <c r="OPP2" s="44" t="n"/>
      <c r="OPQ2" s="44" t="n"/>
      <c r="OPR2" s="44" t="n"/>
      <c r="OPS2" s="44" t="n"/>
      <c r="OPT2" s="44" t="n"/>
      <c r="OPU2" s="44" t="n"/>
      <c r="OPV2" s="44" t="n"/>
      <c r="OPW2" s="44" t="n"/>
      <c r="OPX2" s="44" t="n"/>
      <c r="OPY2" s="44" t="n"/>
      <c r="OPZ2" s="44" t="n"/>
      <c r="OQA2" s="44" t="n"/>
      <c r="OQB2" s="44" t="n"/>
      <c r="OQC2" s="44" t="n"/>
      <c r="OQD2" s="44" t="n"/>
      <c r="OQE2" s="44" t="n"/>
      <c r="OQF2" s="44" t="n"/>
      <c r="OQG2" s="44" t="n"/>
      <c r="OQH2" s="44" t="n"/>
      <c r="OQI2" s="44" t="n"/>
      <c r="OQJ2" s="44" t="n"/>
      <c r="OQK2" s="44" t="n"/>
      <c r="OQL2" s="44" t="n"/>
      <c r="OQM2" s="44" t="n"/>
      <c r="OQN2" s="44" t="n"/>
      <c r="OQO2" s="44" t="n"/>
      <c r="OQP2" s="44" t="n"/>
      <c r="OQQ2" s="44" t="n"/>
      <c r="OQR2" s="44" t="n"/>
      <c r="OQS2" s="44" t="n"/>
      <c r="OQT2" s="44" t="n"/>
      <c r="OQU2" s="44" t="n"/>
      <c r="OQV2" s="44" t="n"/>
      <c r="OQW2" s="44" t="n"/>
      <c r="OQX2" s="44" t="n"/>
      <c r="OQY2" s="44" t="n"/>
      <c r="OQZ2" s="44" t="n"/>
      <c r="ORA2" s="44" t="n"/>
      <c r="ORB2" s="44" t="n"/>
      <c r="ORC2" s="44" t="n"/>
      <c r="ORD2" s="44" t="n"/>
      <c r="ORE2" s="44" t="n"/>
      <c r="ORF2" s="44" t="n"/>
      <c r="ORG2" s="44" t="n"/>
      <c r="ORH2" s="44" t="n"/>
      <c r="ORI2" s="44" t="n"/>
      <c r="ORJ2" s="44" t="n"/>
      <c r="ORK2" s="44" t="n"/>
      <c r="ORL2" s="44" t="n"/>
      <c r="ORM2" s="44" t="n"/>
      <c r="ORN2" s="44" t="n"/>
      <c r="ORO2" s="44" t="n"/>
      <c r="ORP2" s="44" t="n"/>
      <c r="ORQ2" s="44" t="n"/>
      <c r="ORR2" s="44" t="n"/>
      <c r="ORS2" s="44" t="n"/>
      <c r="ORT2" s="44" t="n"/>
      <c r="ORU2" s="44" t="n"/>
      <c r="ORV2" s="44" t="n"/>
      <c r="ORW2" s="44" t="n"/>
      <c r="ORX2" s="44" t="n"/>
      <c r="ORY2" s="44" t="n"/>
      <c r="ORZ2" s="44" t="n"/>
      <c r="OSA2" s="44" t="n"/>
      <c r="OSB2" s="44" t="n"/>
      <c r="OSC2" s="44" t="n"/>
      <c r="OSD2" s="44" t="n"/>
      <c r="OSE2" s="44" t="n"/>
      <c r="OSF2" s="44" t="n"/>
      <c r="OSG2" s="44" t="n"/>
      <c r="OSH2" s="44" t="n"/>
      <c r="OSI2" s="44" t="n"/>
      <c r="OSJ2" s="44" t="n"/>
      <c r="OSK2" s="44" t="n"/>
      <c r="OSL2" s="44" t="n"/>
      <c r="OSM2" s="44" t="n"/>
      <c r="OSN2" s="44" t="n"/>
      <c r="OSO2" s="44" t="n"/>
      <c r="OSP2" s="44" t="n"/>
      <c r="OSQ2" s="44" t="n"/>
      <c r="OSR2" s="44" t="n"/>
      <c r="OSS2" s="44" t="n"/>
      <c r="OST2" s="44" t="n"/>
      <c r="OSU2" s="44" t="n"/>
      <c r="OSV2" s="44" t="n"/>
      <c r="OSW2" s="44" t="n"/>
      <c r="OSX2" s="44" t="n"/>
      <c r="OSY2" s="44" t="n"/>
      <c r="OSZ2" s="44" t="n"/>
      <c r="OTA2" s="44" t="n"/>
      <c r="OTB2" s="44" t="n"/>
      <c r="OTC2" s="44" t="n"/>
      <c r="OTD2" s="44" t="n"/>
      <c r="OTE2" s="44" t="n"/>
      <c r="OTF2" s="44" t="n"/>
      <c r="OTG2" s="44" t="n"/>
      <c r="OTH2" s="44" t="n"/>
      <c r="OTI2" s="44" t="n"/>
      <c r="OTJ2" s="44" t="n"/>
      <c r="OTK2" s="44" t="n"/>
      <c r="OTL2" s="44" t="n"/>
      <c r="OTM2" s="44" t="n"/>
      <c r="OTN2" s="44" t="n"/>
      <c r="OTO2" s="44" t="n"/>
      <c r="OTP2" s="44" t="n"/>
      <c r="OTQ2" s="44" t="n"/>
      <c r="OTR2" s="44" t="n"/>
      <c r="OTS2" s="44" t="n"/>
      <c r="OTT2" s="44" t="n"/>
      <c r="OTU2" s="44" t="n"/>
      <c r="OTV2" s="44" t="n"/>
      <c r="OTW2" s="44" t="n"/>
      <c r="OTX2" s="44" t="n"/>
      <c r="OTY2" s="44" t="n"/>
      <c r="OTZ2" s="44" t="n"/>
      <c r="OUA2" s="44" t="n"/>
      <c r="OUB2" s="44" t="n"/>
      <c r="OUC2" s="44" t="n"/>
      <c r="OUD2" s="44" t="n"/>
      <c r="OUE2" s="44" t="n"/>
      <c r="OUF2" s="44" t="n"/>
      <c r="OUG2" s="44" t="n"/>
      <c r="OUH2" s="44" t="n"/>
      <c r="OUI2" s="44" t="n"/>
      <c r="OUJ2" s="44" t="n"/>
      <c r="OUK2" s="44" t="n"/>
      <c r="OUL2" s="44" t="n"/>
      <c r="OUM2" s="44" t="n"/>
      <c r="OUN2" s="44" t="n"/>
      <c r="OUO2" s="44" t="n"/>
      <c r="OUP2" s="44" t="n"/>
      <c r="OUQ2" s="44" t="n"/>
      <c r="OUR2" s="44" t="n"/>
      <c r="OUS2" s="44" t="n"/>
      <c r="OUT2" s="44" t="n"/>
      <c r="OUU2" s="44" t="n"/>
      <c r="OUV2" s="44" t="n"/>
      <c r="OUW2" s="44" t="n"/>
      <c r="OUX2" s="44" t="n"/>
      <c r="OUY2" s="44" t="n"/>
      <c r="OUZ2" s="44" t="n"/>
      <c r="OVA2" s="44" t="n"/>
      <c r="OVB2" s="44" t="n"/>
      <c r="OVC2" s="44" t="n"/>
      <c r="OVD2" s="44" t="n"/>
      <c r="OVE2" s="44" t="n"/>
      <c r="OVF2" s="44" t="n"/>
      <c r="OVG2" s="44" t="n"/>
      <c r="OVH2" s="44" t="n"/>
      <c r="OVI2" s="44" t="n"/>
      <c r="OVJ2" s="44" t="n"/>
      <c r="OVK2" s="44" t="n"/>
      <c r="OVL2" s="44" t="n"/>
      <c r="OVM2" s="44" t="n"/>
      <c r="OVN2" s="44" t="n"/>
      <c r="OVO2" s="44" t="n"/>
      <c r="OVP2" s="44" t="n"/>
      <c r="OVQ2" s="44" t="n"/>
      <c r="OVR2" s="44" t="n"/>
      <c r="OVS2" s="44" t="n"/>
      <c r="OVT2" s="44" t="n"/>
      <c r="OVU2" s="44" t="n"/>
      <c r="OVV2" s="44" t="n"/>
      <c r="OVW2" s="44" t="n"/>
      <c r="OVX2" s="44" t="n"/>
      <c r="OVY2" s="44" t="n"/>
      <c r="OVZ2" s="44" t="n"/>
      <c r="OWA2" s="44" t="n"/>
      <c r="OWB2" s="44" t="n"/>
      <c r="OWC2" s="44" t="n"/>
      <c r="OWD2" s="44" t="n"/>
      <c r="OWE2" s="44" t="n"/>
      <c r="OWF2" s="44" t="n"/>
      <c r="OWG2" s="44" t="n"/>
      <c r="OWH2" s="44" t="n"/>
      <c r="OWI2" s="44" t="n"/>
      <c r="OWJ2" s="44" t="n"/>
      <c r="OWK2" s="44" t="n"/>
      <c r="OWL2" s="44" t="n"/>
      <c r="OWM2" s="44" t="n"/>
      <c r="OWN2" s="44" t="n"/>
      <c r="OWO2" s="44" t="n"/>
      <c r="OWP2" s="44" t="n"/>
      <c r="OWQ2" s="44" t="n"/>
      <c r="OWR2" s="44" t="n"/>
      <c r="OWS2" s="44" t="n"/>
      <c r="OWT2" s="44" t="n"/>
      <c r="OWU2" s="44" t="n"/>
      <c r="OWV2" s="44" t="n"/>
      <c r="OWW2" s="44" t="n"/>
      <c r="OWX2" s="44" t="n"/>
      <c r="OWY2" s="44" t="n"/>
      <c r="OWZ2" s="44" t="n"/>
      <c r="OXA2" s="44" t="n"/>
      <c r="OXB2" s="44" t="n"/>
      <c r="OXC2" s="44" t="n"/>
      <c r="OXD2" s="44" t="n"/>
      <c r="OXE2" s="44" t="n"/>
      <c r="OXF2" s="44" t="n"/>
      <c r="OXG2" s="44" t="n"/>
      <c r="OXH2" s="44" t="n"/>
      <c r="OXI2" s="44" t="n"/>
      <c r="OXJ2" s="44" t="n"/>
      <c r="OXK2" s="44" t="n"/>
      <c r="OXL2" s="44" t="n"/>
      <c r="OXM2" s="44" t="n"/>
      <c r="OXN2" s="44" t="n"/>
      <c r="OXO2" s="44" t="n"/>
      <c r="OXP2" s="44" t="n"/>
      <c r="OXQ2" s="44" t="n"/>
      <c r="OXR2" s="44" t="n"/>
      <c r="OXS2" s="44" t="n"/>
      <c r="OXT2" s="44" t="n"/>
      <c r="OXU2" s="44" t="n"/>
      <c r="OXV2" s="44" t="n"/>
      <c r="OXW2" s="44" t="n"/>
      <c r="OXX2" s="44" t="n"/>
      <c r="OXY2" s="44" t="n"/>
      <c r="OXZ2" s="44" t="n"/>
      <c r="OYA2" s="44" t="n"/>
      <c r="OYB2" s="44" t="n"/>
      <c r="OYC2" s="44" t="n"/>
      <c r="OYD2" s="44" t="n"/>
      <c r="OYE2" s="44" t="n"/>
      <c r="OYF2" s="44" t="n"/>
      <c r="OYG2" s="44" t="n"/>
      <c r="OYH2" s="44" t="n"/>
      <c r="OYI2" s="44" t="n"/>
      <c r="OYJ2" s="44" t="n"/>
      <c r="OYK2" s="44" t="n"/>
      <c r="OYL2" s="44" t="n"/>
      <c r="OYM2" s="44" t="n"/>
      <c r="OYN2" s="44" t="n"/>
      <c r="OYO2" s="44" t="n"/>
      <c r="OYP2" s="44" t="n"/>
      <c r="OYQ2" s="44" t="n"/>
      <c r="OYR2" s="44" t="n"/>
      <c r="OYS2" s="44" t="n"/>
      <c r="OYT2" s="44" t="n"/>
      <c r="OYU2" s="44" t="n"/>
      <c r="OYV2" s="44" t="n"/>
      <c r="OYW2" s="44" t="n"/>
      <c r="OYX2" s="44" t="n"/>
      <c r="OYY2" s="44" t="n"/>
      <c r="OYZ2" s="44" t="n"/>
      <c r="OZA2" s="44" t="n"/>
      <c r="OZB2" s="44" t="n"/>
      <c r="OZC2" s="44" t="n"/>
      <c r="OZD2" s="44" t="n"/>
      <c r="OZE2" s="44" t="n"/>
      <c r="OZF2" s="44" t="n"/>
      <c r="OZG2" s="44" t="n"/>
      <c r="OZH2" s="44" t="n"/>
      <c r="OZI2" s="44" t="n"/>
      <c r="OZJ2" s="44" t="n"/>
      <c r="OZK2" s="44" t="n"/>
      <c r="OZL2" s="44" t="n"/>
      <c r="OZM2" s="44" t="n"/>
      <c r="OZN2" s="44" t="n"/>
      <c r="OZO2" s="44" t="n"/>
      <c r="OZP2" s="44" t="n"/>
      <c r="OZQ2" s="44" t="n"/>
      <c r="OZR2" s="44" t="n"/>
      <c r="OZS2" s="44" t="n"/>
      <c r="OZT2" s="44" t="n"/>
      <c r="OZU2" s="44" t="n"/>
      <c r="OZV2" s="44" t="n"/>
      <c r="OZW2" s="44" t="n"/>
      <c r="OZX2" s="44" t="n"/>
      <c r="OZY2" s="44" t="n"/>
      <c r="OZZ2" s="44" t="n"/>
      <c r="PAA2" s="44" t="n"/>
      <c r="PAB2" s="44" t="n"/>
      <c r="PAC2" s="44" t="n"/>
      <c r="PAD2" s="44" t="n"/>
      <c r="PAE2" s="44" t="n"/>
      <c r="PAF2" s="44" t="n"/>
      <c r="PAG2" s="44" t="n"/>
      <c r="PAH2" s="44" t="n"/>
      <c r="PAI2" s="44" t="n"/>
      <c r="PAJ2" s="44" t="n"/>
      <c r="PAK2" s="44" t="n"/>
      <c r="PAL2" s="44" t="n"/>
      <c r="PAM2" s="44" t="n"/>
      <c r="PAN2" s="44" t="n"/>
      <c r="PAO2" s="44" t="n"/>
      <c r="PAP2" s="44" t="n"/>
      <c r="PAQ2" s="44" t="n"/>
      <c r="PAR2" s="44" t="n"/>
      <c r="PAS2" s="44" t="n"/>
      <c r="PAT2" s="44" t="n"/>
      <c r="PAU2" s="44" t="n"/>
      <c r="PAV2" s="44" t="n"/>
      <c r="PAW2" s="44" t="n"/>
      <c r="PAX2" s="44" t="n"/>
      <c r="PAY2" s="44" t="n"/>
      <c r="PAZ2" s="44" t="n"/>
      <c r="PBA2" s="44" t="n"/>
      <c r="PBB2" s="44" t="n"/>
      <c r="PBC2" s="44" t="n"/>
      <c r="PBD2" s="44" t="n"/>
      <c r="PBE2" s="44" t="n"/>
      <c r="PBF2" s="44" t="n"/>
      <c r="PBG2" s="44" t="n"/>
      <c r="PBH2" s="44" t="n"/>
      <c r="PBI2" s="44" t="n"/>
      <c r="PBJ2" s="44" t="n"/>
      <c r="PBK2" s="44" t="n"/>
      <c r="PBL2" s="44" t="n"/>
      <c r="PBM2" s="44" t="n"/>
      <c r="PBN2" s="44" t="n"/>
      <c r="PBO2" s="44" t="n"/>
      <c r="PBP2" s="44" t="n"/>
      <c r="PBQ2" s="44" t="n"/>
      <c r="PBR2" s="44" t="n"/>
      <c r="PBS2" s="44" t="n"/>
      <c r="PBT2" s="44" t="n"/>
      <c r="PBU2" s="44" t="n"/>
      <c r="PBV2" s="44" t="n"/>
      <c r="PBW2" s="44" t="n"/>
      <c r="PBX2" s="44" t="n"/>
      <c r="PBY2" s="44" t="n"/>
      <c r="PBZ2" s="44" t="n"/>
      <c r="PCA2" s="44" t="n"/>
      <c r="PCB2" s="44" t="n"/>
      <c r="PCC2" s="44" t="n"/>
      <c r="PCD2" s="44" t="n"/>
      <c r="PCE2" s="44" t="n"/>
      <c r="PCF2" s="44" t="n"/>
      <c r="PCG2" s="44" t="n"/>
      <c r="PCH2" s="44" t="n"/>
      <c r="PCI2" s="44" t="n"/>
      <c r="PCJ2" s="44" t="n"/>
      <c r="PCK2" s="44" t="n"/>
      <c r="PCL2" s="44" t="n"/>
      <c r="PCM2" s="44" t="n"/>
      <c r="PCN2" s="44" t="n"/>
      <c r="PCO2" s="44" t="n"/>
      <c r="PCP2" s="44" t="n"/>
      <c r="PCQ2" s="44" t="n"/>
      <c r="PCR2" s="44" t="n"/>
      <c r="PCS2" s="44" t="n"/>
      <c r="PCT2" s="44" t="n"/>
      <c r="PCU2" s="44" t="n"/>
      <c r="PCV2" s="44" t="n"/>
      <c r="PCW2" s="44" t="n"/>
      <c r="PCX2" s="44" t="n"/>
      <c r="PCY2" s="44" t="n"/>
      <c r="PCZ2" s="44" t="n"/>
      <c r="PDA2" s="44" t="n"/>
      <c r="PDB2" s="44" t="n"/>
      <c r="PDC2" s="44" t="n"/>
      <c r="PDD2" s="44" t="n"/>
      <c r="PDE2" s="44" t="n"/>
      <c r="PDF2" s="44" t="n"/>
      <c r="PDG2" s="44" t="n"/>
      <c r="PDH2" s="44" t="n"/>
      <c r="PDI2" s="44" t="n"/>
      <c r="PDJ2" s="44" t="n"/>
      <c r="PDK2" s="44" t="n"/>
      <c r="PDL2" s="44" t="n"/>
      <c r="PDM2" s="44" t="n"/>
      <c r="PDN2" s="44" t="n"/>
      <c r="PDO2" s="44" t="n"/>
      <c r="PDP2" s="44" t="n"/>
      <c r="PDQ2" s="44" t="n"/>
      <c r="PDR2" s="44" t="n"/>
      <c r="PDS2" s="44" t="n"/>
      <c r="PDT2" s="44" t="n"/>
      <c r="PDU2" s="44" t="n"/>
      <c r="PDV2" s="44" t="n"/>
      <c r="PDW2" s="44" t="n"/>
      <c r="PDX2" s="44" t="n"/>
      <c r="PDY2" s="44" t="n"/>
      <c r="PDZ2" s="44" t="n"/>
      <c r="PEA2" s="44" t="n"/>
      <c r="PEB2" s="44" t="n"/>
      <c r="PEC2" s="44" t="n"/>
      <c r="PED2" s="44" t="n"/>
      <c r="PEE2" s="44" t="n"/>
      <c r="PEF2" s="44" t="n"/>
      <c r="PEG2" s="44" t="n"/>
      <c r="PEH2" s="44" t="n"/>
      <c r="PEI2" s="44" t="n"/>
      <c r="PEJ2" s="44" t="n"/>
      <c r="PEK2" s="44" t="n"/>
      <c r="PEL2" s="44" t="n"/>
      <c r="PEM2" s="44" t="n"/>
      <c r="PEN2" s="44" t="n"/>
      <c r="PEO2" s="44" t="n"/>
      <c r="PEP2" s="44" t="n"/>
      <c r="PEQ2" s="44" t="n"/>
      <c r="PER2" s="44" t="n"/>
      <c r="PES2" s="44" t="n"/>
      <c r="PET2" s="44" t="n"/>
      <c r="PEU2" s="44" t="n"/>
      <c r="PEV2" s="44" t="n"/>
      <c r="PEW2" s="44" t="n"/>
      <c r="PEX2" s="44" t="n"/>
      <c r="PEY2" s="44" t="n"/>
      <c r="PEZ2" s="44" t="n"/>
      <c r="PFA2" s="44" t="n"/>
      <c r="PFB2" s="44" t="n"/>
      <c r="PFC2" s="44" t="n"/>
      <c r="PFD2" s="44" t="n"/>
      <c r="PFE2" s="44" t="n"/>
      <c r="PFF2" s="44" t="n"/>
      <c r="PFG2" s="44" t="n"/>
      <c r="PFH2" s="44" t="n"/>
      <c r="PFI2" s="44" t="n"/>
      <c r="PFJ2" s="44" t="n"/>
      <c r="PFK2" s="44" t="n"/>
      <c r="PFL2" s="44" t="n"/>
      <c r="PFM2" s="44" t="n"/>
      <c r="PFN2" s="44" t="n"/>
      <c r="PFO2" s="44" t="n"/>
      <c r="PFP2" s="44" t="n"/>
      <c r="PFQ2" s="44" t="n"/>
      <c r="PFR2" s="44" t="n"/>
      <c r="PFS2" s="44" t="n"/>
      <c r="PFT2" s="44" t="n"/>
      <c r="PFU2" s="44" t="n"/>
      <c r="PFV2" s="44" t="n"/>
      <c r="PFW2" s="44" t="n"/>
      <c r="PFX2" s="44" t="n"/>
      <c r="PFY2" s="44" t="n"/>
      <c r="PFZ2" s="44" t="n"/>
      <c r="PGA2" s="44" t="n"/>
      <c r="PGB2" s="44" t="n"/>
      <c r="PGC2" s="44" t="n"/>
      <c r="PGD2" s="44" t="n"/>
      <c r="PGE2" s="44" t="n"/>
      <c r="PGF2" s="44" t="n"/>
      <c r="PGG2" s="44" t="n"/>
      <c r="PGH2" s="44" t="n"/>
      <c r="PGI2" s="44" t="n"/>
      <c r="PGJ2" s="44" t="n"/>
      <c r="PGK2" s="44" t="n"/>
      <c r="PGL2" s="44" t="n"/>
      <c r="PGM2" s="44" t="n"/>
      <c r="PGN2" s="44" t="n"/>
      <c r="PGO2" s="44" t="n"/>
      <c r="PGP2" s="44" t="n"/>
      <c r="PGQ2" s="44" t="n"/>
      <c r="PGR2" s="44" t="n"/>
      <c r="PGS2" s="44" t="n"/>
      <c r="PGT2" s="44" t="n"/>
      <c r="PGU2" s="44" t="n"/>
      <c r="PGV2" s="44" t="n"/>
      <c r="PGW2" s="44" t="n"/>
      <c r="PGX2" s="44" t="n"/>
      <c r="PGY2" s="44" t="n"/>
      <c r="PGZ2" s="44" t="n"/>
      <c r="PHA2" s="44" t="n"/>
      <c r="PHB2" s="44" t="n"/>
      <c r="PHC2" s="44" t="n"/>
      <c r="PHD2" s="44" t="n"/>
      <c r="PHE2" s="44" t="n"/>
      <c r="PHF2" s="44" t="n"/>
      <c r="PHG2" s="44" t="n"/>
      <c r="PHH2" s="44" t="n"/>
      <c r="PHI2" s="44" t="n"/>
      <c r="PHJ2" s="44" t="n"/>
      <c r="PHK2" s="44" t="n"/>
      <c r="PHL2" s="44" t="n"/>
      <c r="PHM2" s="44" t="n"/>
      <c r="PHN2" s="44" t="n"/>
      <c r="PHO2" s="44" t="n"/>
      <c r="PHP2" s="44" t="n"/>
      <c r="PHQ2" s="44" t="n"/>
      <c r="PHR2" s="44" t="n"/>
      <c r="PHS2" s="44" t="n"/>
      <c r="PHT2" s="44" t="n"/>
      <c r="PHU2" s="44" t="n"/>
      <c r="PHV2" s="44" t="n"/>
      <c r="PHW2" s="44" t="n"/>
      <c r="PHX2" s="44" t="n"/>
      <c r="PHY2" s="44" t="n"/>
      <c r="PHZ2" s="44" t="n"/>
      <c r="PIA2" s="44" t="n"/>
      <c r="PIB2" s="44" t="n"/>
      <c r="PIC2" s="44" t="n"/>
      <c r="PID2" s="44" t="n"/>
      <c r="PIE2" s="44" t="n"/>
      <c r="PIF2" s="44" t="n"/>
      <c r="PIG2" s="44" t="n"/>
      <c r="PIH2" s="44" t="n"/>
      <c r="PII2" s="44" t="n"/>
      <c r="PIJ2" s="44" t="n"/>
      <c r="PIK2" s="44" t="n"/>
      <c r="PIL2" s="44" t="n"/>
      <c r="PIM2" s="44" t="n"/>
      <c r="PIN2" s="44" t="n"/>
      <c r="PIO2" s="44" t="n"/>
      <c r="PIP2" s="44" t="n"/>
      <c r="PIQ2" s="44" t="n"/>
      <c r="PIR2" s="44" t="n"/>
      <c r="PIS2" s="44" t="n"/>
      <c r="PIT2" s="44" t="n"/>
      <c r="PIU2" s="44" t="n"/>
      <c r="PIV2" s="44" t="n"/>
      <c r="PIW2" s="44" t="n"/>
      <c r="PIX2" s="44" t="n"/>
      <c r="PIY2" s="44" t="n"/>
      <c r="PIZ2" s="44" t="n"/>
      <c r="PJA2" s="44" t="n"/>
      <c r="PJB2" s="44" t="n"/>
      <c r="PJC2" s="44" t="n"/>
      <c r="PJD2" s="44" t="n"/>
      <c r="PJE2" s="44" t="n"/>
      <c r="PJF2" s="44" t="n"/>
      <c r="PJG2" s="44" t="n"/>
      <c r="PJH2" s="44" t="n"/>
      <c r="PJI2" s="44" t="n"/>
      <c r="PJJ2" s="44" t="n"/>
      <c r="PJK2" s="44" t="n"/>
      <c r="PJL2" s="44" t="n"/>
      <c r="PJM2" s="44" t="n"/>
      <c r="PJN2" s="44" t="n"/>
      <c r="PJO2" s="44" t="n"/>
      <c r="PJP2" s="44" t="n"/>
      <c r="PJQ2" s="44" t="n"/>
      <c r="PJR2" s="44" t="n"/>
      <c r="PJS2" s="44" t="n"/>
      <c r="PJT2" s="44" t="n"/>
      <c r="PJU2" s="44" t="n"/>
      <c r="PJV2" s="44" t="n"/>
      <c r="PJW2" s="44" t="n"/>
      <c r="PJX2" s="44" t="n"/>
      <c r="PJY2" s="44" t="n"/>
      <c r="PJZ2" s="44" t="n"/>
      <c r="PKA2" s="44" t="n"/>
      <c r="PKB2" s="44" t="n"/>
      <c r="PKC2" s="44" t="n"/>
      <c r="PKD2" s="44" t="n"/>
      <c r="PKE2" s="44" t="n"/>
      <c r="PKF2" s="44" t="n"/>
      <c r="PKG2" s="44" t="n"/>
      <c r="PKH2" s="44" t="n"/>
      <c r="PKI2" s="44" t="n"/>
      <c r="PKJ2" s="44" t="n"/>
      <c r="PKK2" s="44" t="n"/>
      <c r="PKL2" s="44" t="n"/>
      <c r="PKM2" s="44" t="n"/>
      <c r="PKN2" s="44" t="n"/>
      <c r="PKO2" s="44" t="n"/>
      <c r="PKP2" s="44" t="n"/>
      <c r="PKQ2" s="44" t="n"/>
      <c r="PKR2" s="44" t="n"/>
      <c r="PKS2" s="44" t="n"/>
      <c r="PKT2" s="44" t="n"/>
      <c r="PKU2" s="44" t="n"/>
      <c r="PKV2" s="44" t="n"/>
      <c r="PKW2" s="44" t="n"/>
      <c r="PKX2" s="44" t="n"/>
      <c r="PKY2" s="44" t="n"/>
      <c r="PKZ2" s="44" t="n"/>
      <c r="PLA2" s="44" t="n"/>
      <c r="PLB2" s="44" t="n"/>
      <c r="PLC2" s="44" t="n"/>
      <c r="PLD2" s="44" t="n"/>
      <c r="PLE2" s="44" t="n"/>
      <c r="PLF2" s="44" t="n"/>
      <c r="PLG2" s="44" t="n"/>
      <c r="PLH2" s="44" t="n"/>
      <c r="PLI2" s="44" t="n"/>
      <c r="PLJ2" s="44" t="n"/>
      <c r="PLK2" s="44" t="n"/>
      <c r="PLL2" s="44" t="n"/>
      <c r="PLM2" s="44" t="n"/>
      <c r="PLN2" s="44" t="n"/>
      <c r="PLO2" s="44" t="n"/>
      <c r="PLP2" s="44" t="n"/>
      <c r="PLQ2" s="44" t="n"/>
      <c r="PLR2" s="44" t="n"/>
      <c r="PLS2" s="44" t="n"/>
      <c r="PLT2" s="44" t="n"/>
      <c r="PLU2" s="44" t="n"/>
      <c r="PLV2" s="44" t="n"/>
      <c r="PLW2" s="44" t="n"/>
      <c r="PLX2" s="44" t="n"/>
      <c r="PLY2" s="44" t="n"/>
      <c r="PLZ2" s="44" t="n"/>
      <c r="PMA2" s="44" t="n"/>
      <c r="PMB2" s="44" t="n"/>
      <c r="PMC2" s="44" t="n"/>
      <c r="PMD2" s="44" t="n"/>
      <c r="PME2" s="44" t="n"/>
      <c r="PMF2" s="44" t="n"/>
      <c r="PMG2" s="44" t="n"/>
      <c r="PMH2" s="44" t="n"/>
      <c r="PMI2" s="44" t="n"/>
      <c r="PMJ2" s="44" t="n"/>
      <c r="PMK2" s="44" t="n"/>
      <c r="PML2" s="44" t="n"/>
      <c r="PMM2" s="44" t="n"/>
      <c r="PMN2" s="44" t="n"/>
      <c r="PMO2" s="44" t="n"/>
      <c r="PMP2" s="44" t="n"/>
      <c r="PMQ2" s="44" t="n"/>
      <c r="PMR2" s="44" t="n"/>
      <c r="PMS2" s="44" t="n"/>
      <c r="PMT2" s="44" t="n"/>
      <c r="PMU2" s="44" t="n"/>
      <c r="PMV2" s="44" t="n"/>
      <c r="PMW2" s="44" t="n"/>
      <c r="PMX2" s="44" t="n"/>
      <c r="PMY2" s="44" t="n"/>
      <c r="PMZ2" s="44" t="n"/>
      <c r="PNA2" s="44" t="n"/>
      <c r="PNB2" s="44" t="n"/>
      <c r="PNC2" s="44" t="n"/>
      <c r="PND2" s="44" t="n"/>
      <c r="PNE2" s="44" t="n"/>
      <c r="PNF2" s="44" t="n"/>
      <c r="PNG2" s="44" t="n"/>
      <c r="PNH2" s="44" t="n"/>
      <c r="PNI2" s="44" t="n"/>
      <c r="PNJ2" s="44" t="n"/>
      <c r="PNK2" s="44" t="n"/>
      <c r="PNL2" s="44" t="n"/>
      <c r="PNM2" s="44" t="n"/>
      <c r="PNN2" s="44" t="n"/>
      <c r="PNO2" s="44" t="n"/>
      <c r="PNP2" s="44" t="n"/>
      <c r="PNQ2" s="44" t="n"/>
      <c r="PNR2" s="44" t="n"/>
      <c r="PNS2" s="44" t="n"/>
      <c r="PNT2" s="44" t="n"/>
      <c r="PNU2" s="44" t="n"/>
      <c r="PNV2" s="44" t="n"/>
      <c r="PNW2" s="44" t="n"/>
      <c r="PNX2" s="44" t="n"/>
      <c r="PNY2" s="44" t="n"/>
      <c r="PNZ2" s="44" t="n"/>
      <c r="POA2" s="44" t="n"/>
      <c r="POB2" s="44" t="n"/>
      <c r="POC2" s="44" t="n"/>
      <c r="POD2" s="44" t="n"/>
      <c r="POE2" s="44" t="n"/>
      <c r="POF2" s="44" t="n"/>
      <c r="POG2" s="44" t="n"/>
      <c r="POH2" s="44" t="n"/>
      <c r="POI2" s="44" t="n"/>
      <c r="POJ2" s="44" t="n"/>
      <c r="POK2" s="44" t="n"/>
      <c r="POL2" s="44" t="n"/>
      <c r="POM2" s="44" t="n"/>
      <c r="PON2" s="44" t="n"/>
      <c r="POO2" s="44" t="n"/>
      <c r="POP2" s="44" t="n"/>
      <c r="POQ2" s="44" t="n"/>
      <c r="POR2" s="44" t="n"/>
      <c r="POS2" s="44" t="n"/>
      <c r="POT2" s="44" t="n"/>
      <c r="POU2" s="44" t="n"/>
      <c r="POV2" s="44" t="n"/>
      <c r="POW2" s="44" t="n"/>
      <c r="POX2" s="44" t="n"/>
      <c r="POY2" s="44" t="n"/>
      <c r="POZ2" s="44" t="n"/>
      <c r="PPA2" s="44" t="n"/>
      <c r="PPB2" s="44" t="n"/>
      <c r="PPC2" s="44" t="n"/>
      <c r="PPD2" s="44" t="n"/>
      <c r="PPE2" s="44" t="n"/>
      <c r="PPF2" s="44" t="n"/>
      <c r="PPG2" s="44" t="n"/>
      <c r="PPH2" s="44" t="n"/>
      <c r="PPI2" s="44" t="n"/>
      <c r="PPJ2" s="44" t="n"/>
      <c r="PPK2" s="44" t="n"/>
      <c r="PPL2" s="44" t="n"/>
      <c r="PPM2" s="44" t="n"/>
      <c r="PPN2" s="44" t="n"/>
      <c r="PPO2" s="44" t="n"/>
      <c r="PPP2" s="44" t="n"/>
      <c r="PPQ2" s="44" t="n"/>
      <c r="PPR2" s="44" t="n"/>
      <c r="PPS2" s="44" t="n"/>
      <c r="PPT2" s="44" t="n"/>
      <c r="PPU2" s="44" t="n"/>
      <c r="PPV2" s="44" t="n"/>
      <c r="PPW2" s="44" t="n"/>
      <c r="PPX2" s="44" t="n"/>
      <c r="PPY2" s="44" t="n"/>
      <c r="PPZ2" s="44" t="n"/>
      <c r="PQA2" s="44" t="n"/>
      <c r="PQB2" s="44" t="n"/>
      <c r="PQC2" s="44" t="n"/>
      <c r="PQD2" s="44" t="n"/>
      <c r="PQE2" s="44" t="n"/>
      <c r="PQF2" s="44" t="n"/>
      <c r="PQG2" s="44" t="n"/>
      <c r="PQH2" s="44" t="n"/>
      <c r="PQI2" s="44" t="n"/>
      <c r="PQJ2" s="44" t="n"/>
      <c r="PQK2" s="44" t="n"/>
      <c r="PQL2" s="44" t="n"/>
      <c r="PQM2" s="44" t="n"/>
      <c r="PQN2" s="44" t="n"/>
      <c r="PQO2" s="44" t="n"/>
      <c r="PQP2" s="44" t="n"/>
      <c r="PQQ2" s="44" t="n"/>
      <c r="PQR2" s="44" t="n"/>
      <c r="PQS2" s="44" t="n"/>
      <c r="PQT2" s="44" t="n"/>
      <c r="PQU2" s="44" t="n"/>
      <c r="PQV2" s="44" t="n"/>
      <c r="PQW2" s="44" t="n"/>
      <c r="PQX2" s="44" t="n"/>
      <c r="PQY2" s="44" t="n"/>
      <c r="PQZ2" s="44" t="n"/>
      <c r="PRA2" s="44" t="n"/>
      <c r="PRB2" s="44" t="n"/>
      <c r="PRC2" s="44" t="n"/>
      <c r="PRD2" s="44" t="n"/>
      <c r="PRE2" s="44" t="n"/>
      <c r="PRF2" s="44" t="n"/>
      <c r="PRG2" s="44" t="n"/>
      <c r="PRH2" s="44" t="n"/>
      <c r="PRI2" s="44" t="n"/>
      <c r="PRJ2" s="44" t="n"/>
      <c r="PRK2" s="44" t="n"/>
      <c r="PRL2" s="44" t="n"/>
      <c r="PRM2" s="44" t="n"/>
      <c r="PRN2" s="44" t="n"/>
      <c r="PRO2" s="44" t="n"/>
      <c r="PRP2" s="44" t="n"/>
      <c r="PRQ2" s="44" t="n"/>
      <c r="PRR2" s="44" t="n"/>
      <c r="PRS2" s="44" t="n"/>
      <c r="PRT2" s="44" t="n"/>
      <c r="PRU2" s="44" t="n"/>
      <c r="PRV2" s="44" t="n"/>
      <c r="PRW2" s="44" t="n"/>
      <c r="PRX2" s="44" t="n"/>
      <c r="PRY2" s="44" t="n"/>
      <c r="PRZ2" s="44" t="n"/>
      <c r="PSA2" s="44" t="n"/>
      <c r="PSB2" s="44" t="n"/>
      <c r="PSC2" s="44" t="n"/>
      <c r="PSD2" s="44" t="n"/>
      <c r="PSE2" s="44" t="n"/>
      <c r="PSF2" s="44" t="n"/>
      <c r="PSG2" s="44" t="n"/>
      <c r="PSH2" s="44" t="n"/>
      <c r="PSI2" s="44" t="n"/>
      <c r="PSJ2" s="44" t="n"/>
      <c r="PSK2" s="44" t="n"/>
      <c r="PSL2" s="44" t="n"/>
      <c r="PSM2" s="44" t="n"/>
      <c r="PSN2" s="44" t="n"/>
      <c r="PSO2" s="44" t="n"/>
      <c r="PSP2" s="44" t="n"/>
      <c r="PSQ2" s="44" t="n"/>
      <c r="PSR2" s="44" t="n"/>
      <c r="PSS2" s="44" t="n"/>
      <c r="PST2" s="44" t="n"/>
      <c r="PSU2" s="44" t="n"/>
      <c r="PSV2" s="44" t="n"/>
      <c r="PSW2" s="44" t="n"/>
      <c r="PSX2" s="44" t="n"/>
      <c r="PSY2" s="44" t="n"/>
      <c r="PSZ2" s="44" t="n"/>
      <c r="PTA2" s="44" t="n"/>
      <c r="PTB2" s="44" t="n"/>
      <c r="PTC2" s="44" t="n"/>
      <c r="PTD2" s="44" t="n"/>
      <c r="PTE2" s="44" t="n"/>
      <c r="PTF2" s="44" t="n"/>
      <c r="PTG2" s="44" t="n"/>
      <c r="PTH2" s="44" t="n"/>
      <c r="PTI2" s="44" t="n"/>
      <c r="PTJ2" s="44" t="n"/>
      <c r="PTK2" s="44" t="n"/>
      <c r="PTL2" s="44" t="n"/>
      <c r="PTM2" s="44" t="n"/>
      <c r="PTN2" s="44" t="n"/>
      <c r="PTO2" s="44" t="n"/>
      <c r="PTP2" s="44" t="n"/>
      <c r="PTQ2" s="44" t="n"/>
      <c r="PTR2" s="44" t="n"/>
      <c r="PTS2" s="44" t="n"/>
      <c r="PTT2" s="44" t="n"/>
      <c r="PTU2" s="44" t="n"/>
      <c r="PTV2" s="44" t="n"/>
      <c r="PTW2" s="44" t="n"/>
      <c r="PTX2" s="44" t="n"/>
      <c r="PTY2" s="44" t="n"/>
      <c r="PTZ2" s="44" t="n"/>
      <c r="PUA2" s="44" t="n"/>
      <c r="PUB2" s="44" t="n"/>
      <c r="PUC2" s="44" t="n"/>
      <c r="PUD2" s="44" t="n"/>
      <c r="PUE2" s="44" t="n"/>
      <c r="PUF2" s="44" t="n"/>
      <c r="PUG2" s="44" t="n"/>
      <c r="PUH2" s="44" t="n"/>
      <c r="PUI2" s="44" t="n"/>
      <c r="PUJ2" s="44" t="n"/>
      <c r="PUK2" s="44" t="n"/>
      <c r="PUL2" s="44" t="n"/>
      <c r="PUM2" s="44" t="n"/>
      <c r="PUN2" s="44" t="n"/>
      <c r="PUO2" s="44" t="n"/>
      <c r="PUP2" s="44" t="n"/>
      <c r="PUQ2" s="44" t="n"/>
      <c r="PUR2" s="44" t="n"/>
      <c r="PUS2" s="44" t="n"/>
      <c r="PUT2" s="44" t="n"/>
      <c r="PUU2" s="44" t="n"/>
      <c r="PUV2" s="44" t="n"/>
      <c r="PUW2" s="44" t="n"/>
      <c r="PUX2" s="44" t="n"/>
      <c r="PUY2" s="44" t="n"/>
      <c r="PUZ2" s="44" t="n"/>
      <c r="PVA2" s="44" t="n"/>
      <c r="PVB2" s="44" t="n"/>
      <c r="PVC2" s="44" t="n"/>
      <c r="PVD2" s="44" t="n"/>
      <c r="PVE2" s="44" t="n"/>
      <c r="PVF2" s="44" t="n"/>
      <c r="PVG2" s="44" t="n"/>
      <c r="PVH2" s="44" t="n"/>
      <c r="PVI2" s="44" t="n"/>
      <c r="PVJ2" s="44" t="n"/>
      <c r="PVK2" s="44" t="n"/>
      <c r="PVL2" s="44" t="n"/>
      <c r="PVM2" s="44" t="n"/>
      <c r="PVN2" s="44" t="n"/>
      <c r="PVO2" s="44" t="n"/>
      <c r="PVP2" s="44" t="n"/>
      <c r="PVQ2" s="44" t="n"/>
      <c r="PVR2" s="44" t="n"/>
      <c r="PVS2" s="44" t="n"/>
      <c r="PVT2" s="44" t="n"/>
      <c r="PVU2" s="44" t="n"/>
      <c r="PVV2" s="44" t="n"/>
      <c r="PVW2" s="44" t="n"/>
      <c r="PVX2" s="44" t="n"/>
      <c r="PVY2" s="44" t="n"/>
      <c r="PVZ2" s="44" t="n"/>
      <c r="PWA2" s="44" t="n"/>
      <c r="PWB2" s="44" t="n"/>
      <c r="PWC2" s="44" t="n"/>
      <c r="PWD2" s="44" t="n"/>
      <c r="PWE2" s="44" t="n"/>
      <c r="PWF2" s="44" t="n"/>
      <c r="PWG2" s="44" t="n"/>
      <c r="PWH2" s="44" t="n"/>
      <c r="PWI2" s="44" t="n"/>
      <c r="PWJ2" s="44" t="n"/>
      <c r="PWK2" s="44" t="n"/>
      <c r="PWL2" s="44" t="n"/>
      <c r="PWM2" s="44" t="n"/>
      <c r="PWN2" s="44" t="n"/>
      <c r="PWO2" s="44" t="n"/>
      <c r="PWP2" s="44" t="n"/>
      <c r="PWQ2" s="44" t="n"/>
      <c r="PWR2" s="44" t="n"/>
      <c r="PWS2" s="44" t="n"/>
      <c r="PWT2" s="44" t="n"/>
      <c r="PWU2" s="44" t="n"/>
      <c r="PWV2" s="44" t="n"/>
      <c r="PWW2" s="44" t="n"/>
      <c r="PWX2" s="44" t="n"/>
      <c r="PWY2" s="44" t="n"/>
      <c r="PWZ2" s="44" t="n"/>
      <c r="PXA2" s="44" t="n"/>
      <c r="PXB2" s="44" t="n"/>
      <c r="PXC2" s="44" t="n"/>
      <c r="PXD2" s="44" t="n"/>
      <c r="PXE2" s="44" t="n"/>
      <c r="PXF2" s="44" t="n"/>
      <c r="PXG2" s="44" t="n"/>
      <c r="PXH2" s="44" t="n"/>
      <c r="PXI2" s="44" t="n"/>
      <c r="PXJ2" s="44" t="n"/>
      <c r="PXK2" s="44" t="n"/>
      <c r="PXL2" s="44" t="n"/>
      <c r="PXM2" s="44" t="n"/>
      <c r="PXN2" s="44" t="n"/>
      <c r="PXO2" s="44" t="n"/>
      <c r="PXP2" s="44" t="n"/>
      <c r="PXQ2" s="44" t="n"/>
      <c r="PXR2" s="44" t="n"/>
      <c r="PXS2" s="44" t="n"/>
      <c r="PXT2" s="44" t="n"/>
      <c r="PXU2" s="44" t="n"/>
      <c r="PXV2" s="44" t="n"/>
      <c r="PXW2" s="44" t="n"/>
      <c r="PXX2" s="44" t="n"/>
      <c r="PXY2" s="44" t="n"/>
      <c r="PXZ2" s="44" t="n"/>
      <c r="PYA2" s="44" t="n"/>
      <c r="PYB2" s="44" t="n"/>
      <c r="PYC2" s="44" t="n"/>
      <c r="PYD2" s="44" t="n"/>
      <c r="PYE2" s="44" t="n"/>
      <c r="PYF2" s="44" t="n"/>
      <c r="PYG2" s="44" t="n"/>
      <c r="PYH2" s="44" t="n"/>
      <c r="PYI2" s="44" t="n"/>
      <c r="PYJ2" s="44" t="n"/>
      <c r="PYK2" s="44" t="n"/>
      <c r="PYL2" s="44" t="n"/>
      <c r="PYM2" s="44" t="n"/>
      <c r="PYN2" s="44" t="n"/>
      <c r="PYO2" s="44" t="n"/>
      <c r="PYP2" s="44" t="n"/>
      <c r="PYQ2" s="44" t="n"/>
      <c r="PYR2" s="44" t="n"/>
      <c r="PYS2" s="44" t="n"/>
      <c r="PYT2" s="44" t="n"/>
      <c r="PYU2" s="44" t="n"/>
      <c r="PYV2" s="44" t="n"/>
      <c r="PYW2" s="44" t="n"/>
      <c r="PYX2" s="44" t="n"/>
      <c r="PYY2" s="44" t="n"/>
      <c r="PYZ2" s="44" t="n"/>
      <c r="PZA2" s="44" t="n"/>
      <c r="PZB2" s="44" t="n"/>
      <c r="PZC2" s="44" t="n"/>
      <c r="PZD2" s="44" t="n"/>
      <c r="PZE2" s="44" t="n"/>
      <c r="PZF2" s="44" t="n"/>
      <c r="PZG2" s="44" t="n"/>
      <c r="PZH2" s="44" t="n"/>
      <c r="PZI2" s="44" t="n"/>
      <c r="PZJ2" s="44" t="n"/>
      <c r="PZK2" s="44" t="n"/>
      <c r="PZL2" s="44" t="n"/>
      <c r="PZM2" s="44" t="n"/>
      <c r="PZN2" s="44" t="n"/>
      <c r="PZO2" s="44" t="n"/>
      <c r="PZP2" s="44" t="n"/>
      <c r="PZQ2" s="44" t="n"/>
      <c r="PZR2" s="44" t="n"/>
      <c r="PZS2" s="44" t="n"/>
      <c r="PZT2" s="44" t="n"/>
      <c r="PZU2" s="44" t="n"/>
      <c r="PZV2" s="44" t="n"/>
      <c r="PZW2" s="44" t="n"/>
      <c r="PZX2" s="44" t="n"/>
      <c r="PZY2" s="44" t="n"/>
      <c r="PZZ2" s="44" t="n"/>
      <c r="QAA2" s="44" t="n"/>
      <c r="QAB2" s="44" t="n"/>
      <c r="QAC2" s="44" t="n"/>
      <c r="QAD2" s="44" t="n"/>
      <c r="QAE2" s="44" t="n"/>
      <c r="QAF2" s="44" t="n"/>
      <c r="QAG2" s="44" t="n"/>
      <c r="QAH2" s="44" t="n"/>
      <c r="QAI2" s="44" t="n"/>
      <c r="QAJ2" s="44" t="n"/>
      <c r="QAK2" s="44" t="n"/>
      <c r="QAL2" s="44" t="n"/>
      <c r="QAM2" s="44" t="n"/>
      <c r="QAN2" s="44" t="n"/>
      <c r="QAO2" s="44" t="n"/>
      <c r="QAP2" s="44" t="n"/>
      <c r="QAQ2" s="44" t="n"/>
      <c r="QAR2" s="44" t="n"/>
      <c r="QAS2" s="44" t="n"/>
      <c r="QAT2" s="44" t="n"/>
      <c r="QAU2" s="44" t="n"/>
      <c r="QAV2" s="44" t="n"/>
      <c r="QAW2" s="44" t="n"/>
      <c r="QAX2" s="44" t="n"/>
      <c r="QAY2" s="44" t="n"/>
      <c r="QAZ2" s="44" t="n"/>
      <c r="QBA2" s="44" t="n"/>
      <c r="QBB2" s="44" t="n"/>
      <c r="QBC2" s="44" t="n"/>
      <c r="QBD2" s="44" t="n"/>
      <c r="QBE2" s="44" t="n"/>
      <c r="QBF2" s="44" t="n"/>
      <c r="QBG2" s="44" t="n"/>
      <c r="QBH2" s="44" t="n"/>
      <c r="QBI2" s="44" t="n"/>
      <c r="QBJ2" s="44" t="n"/>
      <c r="QBK2" s="44" t="n"/>
      <c r="QBL2" s="44" t="n"/>
      <c r="QBM2" s="44" t="n"/>
      <c r="QBN2" s="44" t="n"/>
      <c r="QBO2" s="44" t="n"/>
      <c r="QBP2" s="44" t="n"/>
      <c r="QBQ2" s="44" t="n"/>
      <c r="QBR2" s="44" t="n"/>
      <c r="QBS2" s="44" t="n"/>
      <c r="QBT2" s="44" t="n"/>
      <c r="QBU2" s="44" t="n"/>
      <c r="QBV2" s="44" t="n"/>
      <c r="QBW2" s="44" t="n"/>
      <c r="QBX2" s="44" t="n"/>
      <c r="QBY2" s="44" t="n"/>
      <c r="QBZ2" s="44" t="n"/>
      <c r="QCA2" s="44" t="n"/>
      <c r="QCB2" s="44" t="n"/>
      <c r="QCC2" s="44" t="n"/>
      <c r="QCD2" s="44" t="n"/>
      <c r="QCE2" s="44" t="n"/>
      <c r="QCF2" s="44" t="n"/>
      <c r="QCG2" s="44" t="n"/>
      <c r="QCH2" s="44" t="n"/>
      <c r="QCI2" s="44" t="n"/>
      <c r="QCJ2" s="44" t="n"/>
      <c r="QCK2" s="44" t="n"/>
      <c r="QCL2" s="44" t="n"/>
      <c r="QCM2" s="44" t="n"/>
      <c r="QCN2" s="44" t="n"/>
      <c r="QCO2" s="44" t="n"/>
      <c r="QCP2" s="44" t="n"/>
      <c r="QCQ2" s="44" t="n"/>
      <c r="QCR2" s="44" t="n"/>
      <c r="QCS2" s="44" t="n"/>
      <c r="QCT2" s="44" t="n"/>
      <c r="QCU2" s="44" t="n"/>
      <c r="QCV2" s="44" t="n"/>
      <c r="QCW2" s="44" t="n"/>
      <c r="QCX2" s="44" t="n"/>
      <c r="QCY2" s="44" t="n"/>
      <c r="QCZ2" s="44" t="n"/>
      <c r="QDA2" s="44" t="n"/>
      <c r="QDB2" s="44" t="n"/>
      <c r="QDC2" s="44" t="n"/>
      <c r="QDD2" s="44" t="n"/>
      <c r="QDE2" s="44" t="n"/>
      <c r="QDF2" s="44" t="n"/>
      <c r="QDG2" s="44" t="n"/>
      <c r="QDH2" s="44" t="n"/>
      <c r="QDI2" s="44" t="n"/>
      <c r="QDJ2" s="44" t="n"/>
      <c r="QDK2" s="44" t="n"/>
      <c r="QDL2" s="44" t="n"/>
      <c r="QDM2" s="44" t="n"/>
      <c r="QDN2" s="44" t="n"/>
      <c r="QDO2" s="44" t="n"/>
      <c r="QDP2" s="44" t="n"/>
      <c r="QDQ2" s="44" t="n"/>
      <c r="QDR2" s="44" t="n"/>
      <c r="QDS2" s="44" t="n"/>
      <c r="QDT2" s="44" t="n"/>
      <c r="QDU2" s="44" t="n"/>
      <c r="QDV2" s="44" t="n"/>
      <c r="QDW2" s="44" t="n"/>
      <c r="QDX2" s="44" t="n"/>
      <c r="QDY2" s="44" t="n"/>
      <c r="QDZ2" s="44" t="n"/>
      <c r="QEA2" s="44" t="n"/>
      <c r="QEB2" s="44" t="n"/>
      <c r="QEC2" s="44" t="n"/>
      <c r="QED2" s="44" t="n"/>
      <c r="QEE2" s="44" t="n"/>
      <c r="QEF2" s="44" t="n"/>
      <c r="QEG2" s="44" t="n"/>
      <c r="QEH2" s="44" t="n"/>
      <c r="QEI2" s="44" t="n"/>
      <c r="QEJ2" s="44" t="n"/>
      <c r="QEK2" s="44" t="n"/>
      <c r="QEL2" s="44" t="n"/>
      <c r="QEM2" s="44" t="n"/>
      <c r="QEN2" s="44" t="n"/>
      <c r="QEO2" s="44" t="n"/>
      <c r="QEP2" s="44" t="n"/>
      <c r="QEQ2" s="44" t="n"/>
      <c r="QER2" s="44" t="n"/>
      <c r="QES2" s="44" t="n"/>
      <c r="QET2" s="44" t="n"/>
      <c r="QEU2" s="44" t="n"/>
      <c r="QEV2" s="44" t="n"/>
      <c r="QEW2" s="44" t="n"/>
      <c r="QEX2" s="44" t="n"/>
      <c r="QEY2" s="44" t="n"/>
      <c r="QEZ2" s="44" t="n"/>
      <c r="QFA2" s="44" t="n"/>
      <c r="QFB2" s="44" t="n"/>
      <c r="QFC2" s="44" t="n"/>
      <c r="QFD2" s="44" t="n"/>
      <c r="QFE2" s="44" t="n"/>
      <c r="QFF2" s="44" t="n"/>
      <c r="QFG2" s="44" t="n"/>
      <c r="QFH2" s="44" t="n"/>
      <c r="QFI2" s="44" t="n"/>
      <c r="QFJ2" s="44" t="n"/>
      <c r="QFK2" s="44" t="n"/>
      <c r="QFL2" s="44" t="n"/>
      <c r="QFM2" s="44" t="n"/>
      <c r="QFN2" s="44" t="n"/>
      <c r="QFO2" s="44" t="n"/>
      <c r="QFP2" s="44" t="n"/>
      <c r="QFQ2" s="44" t="n"/>
      <c r="QFR2" s="44" t="n"/>
      <c r="QFS2" s="44" t="n"/>
      <c r="QFT2" s="44" t="n"/>
      <c r="QFU2" s="44" t="n"/>
      <c r="QFV2" s="44" t="n"/>
      <c r="QFW2" s="44" t="n"/>
      <c r="QFX2" s="44" t="n"/>
      <c r="QFY2" s="44" t="n"/>
      <c r="QFZ2" s="44" t="n"/>
      <c r="QGA2" s="44" t="n"/>
      <c r="QGB2" s="44" t="n"/>
      <c r="QGC2" s="44" t="n"/>
      <c r="QGD2" s="44" t="n"/>
      <c r="QGE2" s="44" t="n"/>
      <c r="QGF2" s="44" t="n"/>
      <c r="QGG2" s="44" t="n"/>
      <c r="QGH2" s="44" t="n"/>
      <c r="QGI2" s="44" t="n"/>
      <c r="QGJ2" s="44" t="n"/>
      <c r="QGK2" s="44" t="n"/>
      <c r="QGL2" s="44" t="n"/>
      <c r="QGM2" s="44" t="n"/>
      <c r="QGN2" s="44" t="n"/>
      <c r="QGO2" s="44" t="n"/>
      <c r="QGP2" s="44" t="n"/>
      <c r="QGQ2" s="44" t="n"/>
      <c r="QGR2" s="44" t="n"/>
      <c r="QGS2" s="44" t="n"/>
      <c r="QGT2" s="44" t="n"/>
      <c r="QGU2" s="44" t="n"/>
      <c r="QGV2" s="44" t="n"/>
      <c r="QGW2" s="44" t="n"/>
      <c r="QGX2" s="44" t="n"/>
      <c r="QGY2" s="44" t="n"/>
      <c r="QGZ2" s="44" t="n"/>
      <c r="QHA2" s="44" t="n"/>
      <c r="QHB2" s="44" t="n"/>
      <c r="QHC2" s="44" t="n"/>
      <c r="QHD2" s="44" t="n"/>
      <c r="QHE2" s="44" t="n"/>
      <c r="QHF2" s="44" t="n"/>
      <c r="QHG2" s="44" t="n"/>
      <c r="QHH2" s="44" t="n"/>
      <c r="QHI2" s="44" t="n"/>
      <c r="QHJ2" s="44" t="n"/>
      <c r="QHK2" s="44" t="n"/>
      <c r="QHL2" s="44" t="n"/>
      <c r="QHM2" s="44" t="n"/>
      <c r="QHN2" s="44" t="n"/>
      <c r="QHO2" s="44" t="n"/>
      <c r="QHP2" s="44" t="n"/>
      <c r="QHQ2" s="44" t="n"/>
      <c r="QHR2" s="44" t="n"/>
      <c r="QHS2" s="44" t="n"/>
      <c r="QHT2" s="44" t="n"/>
      <c r="QHU2" s="44" t="n"/>
      <c r="QHV2" s="44" t="n"/>
      <c r="QHW2" s="44" t="n"/>
      <c r="QHX2" s="44" t="n"/>
      <c r="QHY2" s="44" t="n"/>
      <c r="QHZ2" s="44" t="n"/>
      <c r="QIA2" s="44" t="n"/>
      <c r="QIB2" s="44" t="n"/>
      <c r="QIC2" s="44" t="n"/>
      <c r="QID2" s="44" t="n"/>
      <c r="QIE2" s="44" t="n"/>
      <c r="QIF2" s="44" t="n"/>
      <c r="QIG2" s="44" t="n"/>
      <c r="QIH2" s="44" t="n"/>
      <c r="QII2" s="44" t="n"/>
      <c r="QIJ2" s="44" t="n"/>
      <c r="QIK2" s="44" t="n"/>
      <c r="QIL2" s="44" t="n"/>
      <c r="QIM2" s="44" t="n"/>
      <c r="QIN2" s="44" t="n"/>
      <c r="QIO2" s="44" t="n"/>
      <c r="QIP2" s="44" t="n"/>
      <c r="QIQ2" s="44" t="n"/>
      <c r="QIR2" s="44" t="n"/>
      <c r="QIS2" s="44" t="n"/>
      <c r="QIT2" s="44" t="n"/>
      <c r="QIU2" s="44" t="n"/>
      <c r="QIV2" s="44" t="n"/>
      <c r="QIW2" s="44" t="n"/>
      <c r="QIX2" s="44" t="n"/>
      <c r="QIY2" s="44" t="n"/>
      <c r="QIZ2" s="44" t="n"/>
      <c r="QJA2" s="44" t="n"/>
      <c r="QJB2" s="44" t="n"/>
      <c r="QJC2" s="44" t="n"/>
      <c r="QJD2" s="44" t="n"/>
      <c r="QJE2" s="44" t="n"/>
      <c r="QJF2" s="44" t="n"/>
      <c r="QJG2" s="44" t="n"/>
      <c r="QJH2" s="44" t="n"/>
      <c r="QJI2" s="44" t="n"/>
      <c r="QJJ2" s="44" t="n"/>
      <c r="QJK2" s="44" t="n"/>
      <c r="QJL2" s="44" t="n"/>
      <c r="QJM2" s="44" t="n"/>
      <c r="QJN2" s="44" t="n"/>
      <c r="QJO2" s="44" t="n"/>
      <c r="QJP2" s="44" t="n"/>
      <c r="QJQ2" s="44" t="n"/>
      <c r="QJR2" s="44" t="n"/>
      <c r="QJS2" s="44" t="n"/>
      <c r="QJT2" s="44" t="n"/>
      <c r="QJU2" s="44" t="n"/>
      <c r="QJV2" s="44" t="n"/>
      <c r="QJW2" s="44" t="n"/>
      <c r="QJX2" s="44" t="n"/>
      <c r="QJY2" s="44" t="n"/>
      <c r="QJZ2" s="44" t="n"/>
      <c r="QKA2" s="44" t="n"/>
      <c r="QKB2" s="44" t="n"/>
      <c r="QKC2" s="44" t="n"/>
      <c r="QKD2" s="44" t="n"/>
      <c r="QKE2" s="44" t="n"/>
      <c r="QKF2" s="44" t="n"/>
      <c r="QKG2" s="44" t="n"/>
      <c r="QKH2" s="44" t="n"/>
      <c r="QKI2" s="44" t="n"/>
      <c r="QKJ2" s="44" t="n"/>
      <c r="QKK2" s="44" t="n"/>
      <c r="QKL2" s="44" t="n"/>
      <c r="QKM2" s="44" t="n"/>
      <c r="QKN2" s="44" t="n"/>
      <c r="QKO2" s="44" t="n"/>
      <c r="QKP2" s="44" t="n"/>
      <c r="QKQ2" s="44" t="n"/>
      <c r="QKR2" s="44" t="n"/>
      <c r="QKS2" s="44" t="n"/>
      <c r="QKT2" s="44" t="n"/>
      <c r="QKU2" s="44" t="n"/>
      <c r="QKV2" s="44" t="n"/>
      <c r="QKW2" s="44" t="n"/>
      <c r="QKX2" s="44" t="n"/>
      <c r="QKY2" s="44" t="n"/>
      <c r="QKZ2" s="44" t="n"/>
      <c r="QLA2" s="44" t="n"/>
      <c r="QLB2" s="44" t="n"/>
      <c r="QLC2" s="44" t="n"/>
      <c r="QLD2" s="44" t="n"/>
      <c r="QLE2" s="44" t="n"/>
      <c r="QLF2" s="44" t="n"/>
      <c r="QLG2" s="44" t="n"/>
      <c r="QLH2" s="44" t="n"/>
      <c r="QLI2" s="44" t="n"/>
      <c r="QLJ2" s="44" t="n"/>
      <c r="QLK2" s="44" t="n"/>
      <c r="QLL2" s="44" t="n"/>
      <c r="QLM2" s="44" t="n"/>
      <c r="QLN2" s="44" t="n"/>
      <c r="QLO2" s="44" t="n"/>
      <c r="QLP2" s="44" t="n"/>
      <c r="QLQ2" s="44" t="n"/>
      <c r="QLR2" s="44" t="n"/>
      <c r="QLS2" s="44" t="n"/>
      <c r="QLT2" s="44" t="n"/>
      <c r="QLU2" s="44" t="n"/>
      <c r="QLV2" s="44" t="n"/>
      <c r="QLW2" s="44" t="n"/>
      <c r="QLX2" s="44" t="n"/>
      <c r="QLY2" s="44" t="n"/>
      <c r="QLZ2" s="44" t="n"/>
      <c r="QMA2" s="44" t="n"/>
      <c r="QMB2" s="44" t="n"/>
      <c r="QMC2" s="44" t="n"/>
      <c r="QMD2" s="44" t="n"/>
      <c r="QME2" s="44" t="n"/>
      <c r="QMF2" s="44" t="n"/>
      <c r="QMG2" s="44" t="n"/>
      <c r="QMH2" s="44" t="n"/>
      <c r="QMI2" s="44" t="n"/>
      <c r="QMJ2" s="44" t="n"/>
      <c r="QMK2" s="44" t="n"/>
      <c r="QML2" s="44" t="n"/>
      <c r="QMM2" s="44" t="n"/>
      <c r="QMN2" s="44" t="n"/>
      <c r="QMO2" s="44" t="n"/>
      <c r="QMP2" s="44" t="n"/>
      <c r="QMQ2" s="44" t="n"/>
      <c r="QMR2" s="44" t="n"/>
      <c r="QMS2" s="44" t="n"/>
      <c r="QMT2" s="44" t="n"/>
      <c r="QMU2" s="44" t="n"/>
      <c r="QMV2" s="44" t="n"/>
      <c r="QMW2" s="44" t="n"/>
      <c r="QMX2" s="44" t="n"/>
      <c r="QMY2" s="44" t="n"/>
      <c r="QMZ2" s="44" t="n"/>
      <c r="QNA2" s="44" t="n"/>
      <c r="QNB2" s="44" t="n"/>
      <c r="QNC2" s="44" t="n"/>
      <c r="QND2" s="44" t="n"/>
      <c r="QNE2" s="44" t="n"/>
      <c r="QNF2" s="44" t="n"/>
      <c r="QNG2" s="44" t="n"/>
      <c r="QNH2" s="44" t="n"/>
      <c r="QNI2" s="44" t="n"/>
      <c r="QNJ2" s="44" t="n"/>
      <c r="QNK2" s="44" t="n"/>
      <c r="QNL2" s="44" t="n"/>
      <c r="QNM2" s="44" t="n"/>
      <c r="QNN2" s="44" t="n"/>
      <c r="QNO2" s="44" t="n"/>
      <c r="QNP2" s="44" t="n"/>
      <c r="QNQ2" s="44" t="n"/>
      <c r="QNR2" s="44" t="n"/>
      <c r="QNS2" s="44" t="n"/>
      <c r="QNT2" s="44" t="n"/>
      <c r="QNU2" s="44" t="n"/>
      <c r="QNV2" s="44" t="n"/>
      <c r="QNW2" s="44" t="n"/>
      <c r="QNX2" s="44" t="n"/>
      <c r="QNY2" s="44" t="n"/>
      <c r="QNZ2" s="44" t="n"/>
      <c r="QOA2" s="44" t="n"/>
      <c r="QOB2" s="44" t="n"/>
      <c r="QOC2" s="44" t="n"/>
      <c r="QOD2" s="44" t="n"/>
      <c r="QOE2" s="44" t="n"/>
      <c r="QOF2" s="44" t="n"/>
      <c r="QOG2" s="44" t="n"/>
      <c r="QOH2" s="44" t="n"/>
      <c r="QOI2" s="44" t="n"/>
      <c r="QOJ2" s="44" t="n"/>
      <c r="QOK2" s="44" t="n"/>
      <c r="QOL2" s="44" t="n"/>
      <c r="QOM2" s="44" t="n"/>
      <c r="QON2" s="44" t="n"/>
      <c r="QOO2" s="44" t="n"/>
      <c r="QOP2" s="44" t="n"/>
      <c r="QOQ2" s="44" t="n"/>
      <c r="QOR2" s="44" t="n"/>
      <c r="QOS2" s="44" t="n"/>
      <c r="QOT2" s="44" t="n"/>
      <c r="QOU2" s="44" t="n"/>
      <c r="QOV2" s="44" t="n"/>
      <c r="QOW2" s="44" t="n"/>
      <c r="QOX2" s="44" t="n"/>
      <c r="QOY2" s="44" t="n"/>
      <c r="QOZ2" s="44" t="n"/>
      <c r="QPA2" s="44" t="n"/>
      <c r="QPB2" s="44" t="n"/>
      <c r="QPC2" s="44" t="n"/>
      <c r="QPD2" s="44" t="n"/>
      <c r="QPE2" s="44" t="n"/>
      <c r="QPF2" s="44" t="n"/>
      <c r="QPG2" s="44" t="n"/>
      <c r="QPH2" s="44" t="n"/>
      <c r="QPI2" s="44" t="n"/>
      <c r="QPJ2" s="44" t="n"/>
      <c r="QPK2" s="44" t="n"/>
      <c r="QPL2" s="44" t="n"/>
      <c r="QPM2" s="44" t="n"/>
      <c r="QPN2" s="44" t="n"/>
      <c r="QPO2" s="44" t="n"/>
      <c r="QPP2" s="44" t="n"/>
      <c r="QPQ2" s="44" t="n"/>
      <c r="QPR2" s="44" t="n"/>
      <c r="QPS2" s="44" t="n"/>
      <c r="QPT2" s="44" t="n"/>
      <c r="QPU2" s="44" t="n"/>
      <c r="QPV2" s="44" t="n"/>
      <c r="QPW2" s="44" t="n"/>
      <c r="QPX2" s="44" t="n"/>
      <c r="QPY2" s="44" t="n"/>
      <c r="QPZ2" s="44" t="n"/>
      <c r="QQA2" s="44" t="n"/>
      <c r="QQB2" s="44" t="n"/>
      <c r="QQC2" s="44" t="n"/>
      <c r="QQD2" s="44" t="n"/>
      <c r="QQE2" s="44" t="n"/>
      <c r="QQF2" s="44" t="n"/>
      <c r="QQG2" s="44" t="n"/>
      <c r="QQH2" s="44" t="n"/>
      <c r="QQI2" s="44" t="n"/>
      <c r="QQJ2" s="44" t="n"/>
      <c r="QQK2" s="44" t="n"/>
      <c r="QQL2" s="44" t="n"/>
      <c r="QQM2" s="44" t="n"/>
      <c r="QQN2" s="44" t="n"/>
      <c r="QQO2" s="44" t="n"/>
      <c r="QQP2" s="44" t="n"/>
      <c r="QQQ2" s="44" t="n"/>
      <c r="QQR2" s="44" t="n"/>
      <c r="QQS2" s="44" t="n"/>
      <c r="QQT2" s="44" t="n"/>
      <c r="QQU2" s="44" t="n"/>
      <c r="QQV2" s="44" t="n"/>
      <c r="QQW2" s="44" t="n"/>
      <c r="QQX2" s="44" t="n"/>
      <c r="QQY2" s="44" t="n"/>
      <c r="QQZ2" s="44" t="n"/>
      <c r="QRA2" s="44" t="n"/>
      <c r="QRB2" s="44" t="n"/>
      <c r="QRC2" s="44" t="n"/>
      <c r="QRD2" s="44" t="n"/>
      <c r="QRE2" s="44" t="n"/>
      <c r="QRF2" s="44" t="n"/>
      <c r="QRG2" s="44" t="n"/>
      <c r="QRH2" s="44" t="n"/>
      <c r="QRI2" s="44" t="n"/>
      <c r="QRJ2" s="44" t="n"/>
      <c r="QRK2" s="44" t="n"/>
      <c r="QRL2" s="44" t="n"/>
      <c r="QRM2" s="44" t="n"/>
      <c r="QRN2" s="44" t="n"/>
      <c r="QRO2" s="44" t="n"/>
      <c r="QRP2" s="44" t="n"/>
      <c r="QRQ2" s="44" t="n"/>
      <c r="QRR2" s="44" t="n"/>
      <c r="QRS2" s="44" t="n"/>
      <c r="QRT2" s="44" t="n"/>
      <c r="QRU2" s="44" t="n"/>
      <c r="QRV2" s="44" t="n"/>
      <c r="QRW2" s="44" t="n"/>
      <c r="QRX2" s="44" t="n"/>
      <c r="QRY2" s="44" t="n"/>
      <c r="QRZ2" s="44" t="n"/>
      <c r="QSA2" s="44" t="n"/>
      <c r="QSB2" s="44" t="n"/>
      <c r="QSC2" s="44" t="n"/>
      <c r="QSD2" s="44" t="n"/>
      <c r="QSE2" s="44" t="n"/>
      <c r="QSF2" s="44" t="n"/>
      <c r="QSG2" s="44" t="n"/>
      <c r="QSH2" s="44" t="n"/>
      <c r="QSI2" s="44" t="n"/>
      <c r="QSJ2" s="44" t="n"/>
      <c r="QSK2" s="44" t="n"/>
      <c r="QSL2" s="44" t="n"/>
      <c r="QSM2" s="44" t="n"/>
      <c r="QSN2" s="44" t="n"/>
      <c r="QSO2" s="44" t="n"/>
      <c r="QSP2" s="44" t="n"/>
      <c r="QSQ2" s="44" t="n"/>
      <c r="QSR2" s="44" t="n"/>
      <c r="QSS2" s="44" t="n"/>
      <c r="QST2" s="44" t="n"/>
      <c r="QSU2" s="44" t="n"/>
      <c r="QSV2" s="44" t="n"/>
      <c r="QSW2" s="44" t="n"/>
      <c r="QSX2" s="44" t="n"/>
      <c r="QSY2" s="44" t="n"/>
      <c r="QSZ2" s="44" t="n"/>
      <c r="QTA2" s="44" t="n"/>
      <c r="QTB2" s="44" t="n"/>
      <c r="QTC2" s="44" t="n"/>
      <c r="QTD2" s="44" t="n"/>
      <c r="QTE2" s="44" t="n"/>
      <c r="QTF2" s="44" t="n"/>
      <c r="QTG2" s="44" t="n"/>
      <c r="QTH2" s="44" t="n"/>
      <c r="QTI2" s="44" t="n"/>
      <c r="QTJ2" s="44" t="n"/>
      <c r="QTK2" s="44" t="n"/>
      <c r="QTL2" s="44" t="n"/>
      <c r="QTM2" s="44" t="n"/>
      <c r="QTN2" s="44" t="n"/>
      <c r="QTO2" s="44" t="n"/>
      <c r="QTP2" s="44" t="n"/>
      <c r="QTQ2" s="44" t="n"/>
      <c r="QTR2" s="44" t="n"/>
      <c r="QTS2" s="44" t="n"/>
      <c r="QTT2" s="44" t="n"/>
      <c r="QTU2" s="44" t="n"/>
      <c r="QTV2" s="44" t="n"/>
      <c r="QTW2" s="44" t="n"/>
      <c r="QTX2" s="44" t="n"/>
      <c r="QTY2" s="44" t="n"/>
      <c r="QTZ2" s="44" t="n"/>
      <c r="QUA2" s="44" t="n"/>
      <c r="QUB2" s="44" t="n"/>
      <c r="QUC2" s="44" t="n"/>
      <c r="QUD2" s="44" t="n"/>
      <c r="QUE2" s="44" t="n"/>
      <c r="QUF2" s="44" t="n"/>
      <c r="QUG2" s="44" t="n"/>
      <c r="QUH2" s="44" t="n"/>
      <c r="QUI2" s="44" t="n"/>
      <c r="QUJ2" s="44" t="n"/>
      <c r="QUK2" s="44" t="n"/>
      <c r="QUL2" s="44" t="n"/>
      <c r="QUM2" s="44" t="n"/>
      <c r="QUN2" s="44" t="n"/>
      <c r="QUO2" s="44" t="n"/>
      <c r="QUP2" s="44" t="n"/>
      <c r="QUQ2" s="44" t="n"/>
      <c r="QUR2" s="44" t="n"/>
      <c r="QUS2" s="44" t="n"/>
      <c r="QUT2" s="44" t="n"/>
      <c r="QUU2" s="44" t="n"/>
      <c r="QUV2" s="44" t="n"/>
      <c r="QUW2" s="44" t="n"/>
      <c r="QUX2" s="44" t="n"/>
      <c r="QUY2" s="44" t="n"/>
      <c r="QUZ2" s="44" t="n"/>
      <c r="QVA2" s="44" t="n"/>
      <c r="QVB2" s="44" t="n"/>
      <c r="QVC2" s="44" t="n"/>
      <c r="QVD2" s="44" t="n"/>
      <c r="QVE2" s="44" t="n"/>
      <c r="QVF2" s="44" t="n"/>
      <c r="QVG2" s="44" t="n"/>
      <c r="QVH2" s="44" t="n"/>
      <c r="QVI2" s="44" t="n"/>
      <c r="QVJ2" s="44" t="n"/>
      <c r="QVK2" s="44" t="n"/>
      <c r="QVL2" s="44" t="n"/>
      <c r="QVM2" s="44" t="n"/>
      <c r="QVN2" s="44" t="n"/>
      <c r="QVO2" s="44" t="n"/>
      <c r="QVP2" s="44" t="n"/>
      <c r="QVQ2" s="44" t="n"/>
      <c r="QVR2" s="44" t="n"/>
      <c r="QVS2" s="44" t="n"/>
      <c r="QVT2" s="44" t="n"/>
      <c r="QVU2" s="44" t="n"/>
      <c r="QVV2" s="44" t="n"/>
      <c r="QVW2" s="44" t="n"/>
      <c r="QVX2" s="44" t="n"/>
      <c r="QVY2" s="44" t="n"/>
      <c r="QVZ2" s="44" t="n"/>
      <c r="QWA2" s="44" t="n"/>
      <c r="QWB2" s="44" t="n"/>
      <c r="QWC2" s="44" t="n"/>
      <c r="QWD2" s="44" t="n"/>
      <c r="QWE2" s="44" t="n"/>
      <c r="QWF2" s="44" t="n"/>
      <c r="QWG2" s="44" t="n"/>
      <c r="QWH2" s="44" t="n"/>
      <c r="QWI2" s="44" t="n"/>
      <c r="QWJ2" s="44" t="n"/>
      <c r="QWK2" s="44" t="n"/>
      <c r="QWL2" s="44" t="n"/>
      <c r="QWM2" s="44" t="n"/>
      <c r="QWN2" s="44" t="n"/>
      <c r="QWO2" s="44" t="n"/>
      <c r="QWP2" s="44" t="n"/>
      <c r="QWQ2" s="44" t="n"/>
      <c r="QWR2" s="44" t="n"/>
      <c r="QWS2" s="44" t="n"/>
      <c r="QWT2" s="44" t="n"/>
      <c r="QWU2" s="44" t="n"/>
      <c r="QWV2" s="44" t="n"/>
      <c r="QWW2" s="44" t="n"/>
      <c r="QWX2" s="44" t="n"/>
      <c r="QWY2" s="44" t="n"/>
      <c r="QWZ2" s="44" t="n"/>
      <c r="QXA2" s="44" t="n"/>
      <c r="QXB2" s="44" t="n"/>
      <c r="QXC2" s="44" t="n"/>
      <c r="QXD2" s="44" t="n"/>
      <c r="QXE2" s="44" t="n"/>
      <c r="QXF2" s="44" t="n"/>
      <c r="QXG2" s="44" t="n"/>
      <c r="QXH2" s="44" t="n"/>
      <c r="QXI2" s="44" t="n"/>
      <c r="QXJ2" s="44" t="n"/>
      <c r="QXK2" s="44" t="n"/>
      <c r="QXL2" s="44" t="n"/>
      <c r="QXM2" s="44" t="n"/>
      <c r="QXN2" s="44" t="n"/>
      <c r="QXO2" s="44" t="n"/>
      <c r="QXP2" s="44" t="n"/>
      <c r="QXQ2" s="44" t="n"/>
      <c r="QXR2" s="44" t="n"/>
      <c r="QXS2" s="44" t="n"/>
      <c r="QXT2" s="44" t="n"/>
      <c r="QXU2" s="44" t="n"/>
      <c r="QXV2" s="44" t="n"/>
      <c r="QXW2" s="44" t="n"/>
      <c r="QXX2" s="44" t="n"/>
      <c r="QXY2" s="44" t="n"/>
      <c r="QXZ2" s="44" t="n"/>
      <c r="QYA2" s="44" t="n"/>
      <c r="QYB2" s="44" t="n"/>
      <c r="QYC2" s="44" t="n"/>
      <c r="QYD2" s="44" t="n"/>
      <c r="QYE2" s="44" t="n"/>
      <c r="QYF2" s="44" t="n"/>
      <c r="QYG2" s="44" t="n"/>
      <c r="QYH2" s="44" t="n"/>
      <c r="QYI2" s="44" t="n"/>
      <c r="QYJ2" s="44" t="n"/>
      <c r="QYK2" s="44" t="n"/>
      <c r="QYL2" s="44" t="n"/>
      <c r="QYM2" s="44" t="n"/>
      <c r="QYN2" s="44" t="n"/>
      <c r="QYO2" s="44" t="n"/>
      <c r="QYP2" s="44" t="n"/>
      <c r="QYQ2" s="44" t="n"/>
      <c r="QYR2" s="44" t="n"/>
      <c r="QYS2" s="44" t="n"/>
      <c r="QYT2" s="44" t="n"/>
      <c r="QYU2" s="44" t="n"/>
      <c r="QYV2" s="44" t="n"/>
      <c r="QYW2" s="44" t="n"/>
      <c r="QYX2" s="44" t="n"/>
      <c r="QYY2" s="44" t="n"/>
      <c r="QYZ2" s="44" t="n"/>
      <c r="QZA2" s="44" t="n"/>
      <c r="QZB2" s="44" t="n"/>
      <c r="QZC2" s="44" t="n"/>
      <c r="QZD2" s="44" t="n"/>
      <c r="QZE2" s="44" t="n"/>
      <c r="QZF2" s="44" t="n"/>
      <c r="QZG2" s="44" t="n"/>
      <c r="QZH2" s="44" t="n"/>
      <c r="QZI2" s="44" t="n"/>
      <c r="QZJ2" s="44" t="n"/>
      <c r="QZK2" s="44" t="n"/>
      <c r="QZL2" s="44" t="n"/>
      <c r="QZM2" s="44" t="n"/>
      <c r="QZN2" s="44" t="n"/>
      <c r="QZO2" s="44" t="n"/>
      <c r="QZP2" s="44" t="n"/>
      <c r="QZQ2" s="44" t="n"/>
      <c r="QZR2" s="44" t="n"/>
      <c r="QZS2" s="44" t="n"/>
      <c r="QZT2" s="44" t="n"/>
      <c r="QZU2" s="44" t="n"/>
      <c r="QZV2" s="44" t="n"/>
      <c r="QZW2" s="44" t="n"/>
      <c r="QZX2" s="44" t="n"/>
      <c r="QZY2" s="44" t="n"/>
      <c r="QZZ2" s="44" t="n"/>
      <c r="RAA2" s="44" t="n"/>
      <c r="RAB2" s="44" t="n"/>
      <c r="RAC2" s="44" t="n"/>
      <c r="RAD2" s="44" t="n"/>
      <c r="RAE2" s="44" t="n"/>
      <c r="RAF2" s="44" t="n"/>
      <c r="RAG2" s="44" t="n"/>
      <c r="RAH2" s="44" t="n"/>
      <c r="RAI2" s="44" t="n"/>
      <c r="RAJ2" s="44" t="n"/>
      <c r="RAK2" s="44" t="n"/>
      <c r="RAL2" s="44" t="n"/>
      <c r="RAM2" s="44" t="n"/>
      <c r="RAN2" s="44" t="n"/>
      <c r="RAO2" s="44" t="n"/>
      <c r="RAP2" s="44" t="n"/>
      <c r="RAQ2" s="44" t="n"/>
      <c r="RAR2" s="44" t="n"/>
      <c r="RAS2" s="44" t="n"/>
      <c r="RAT2" s="44" t="n"/>
      <c r="RAU2" s="44" t="n"/>
      <c r="RAV2" s="44" t="n"/>
      <c r="RAW2" s="44" t="n"/>
      <c r="RAX2" s="44" t="n"/>
      <c r="RAY2" s="44" t="n"/>
      <c r="RAZ2" s="44" t="n"/>
      <c r="RBA2" s="44" t="n"/>
      <c r="RBB2" s="44" t="n"/>
      <c r="RBC2" s="44" t="n"/>
      <c r="RBD2" s="44" t="n"/>
      <c r="RBE2" s="44" t="n"/>
      <c r="RBF2" s="44" t="n"/>
      <c r="RBG2" s="44" t="n"/>
      <c r="RBH2" s="44" t="n"/>
      <c r="RBI2" s="44" t="n"/>
      <c r="RBJ2" s="44" t="n"/>
      <c r="RBK2" s="44" t="n"/>
      <c r="RBL2" s="44" t="n"/>
      <c r="RBM2" s="44" t="n"/>
      <c r="RBN2" s="44" t="n"/>
      <c r="RBO2" s="44" t="n"/>
      <c r="RBP2" s="44" t="n"/>
      <c r="RBQ2" s="44" t="n"/>
      <c r="RBR2" s="44" t="n"/>
      <c r="RBS2" s="44" t="n"/>
      <c r="RBT2" s="44" t="n"/>
      <c r="RBU2" s="44" t="n"/>
      <c r="RBV2" s="44" t="n"/>
      <c r="RBW2" s="44" t="n"/>
      <c r="RBX2" s="44" t="n"/>
      <c r="RBY2" s="44" t="n"/>
      <c r="RBZ2" s="44" t="n"/>
      <c r="RCA2" s="44" t="n"/>
      <c r="RCB2" s="44" t="n"/>
      <c r="RCC2" s="44" t="n"/>
      <c r="RCD2" s="44" t="n"/>
      <c r="RCE2" s="44" t="n"/>
      <c r="RCF2" s="44" t="n"/>
      <c r="RCG2" s="44" t="n"/>
      <c r="RCH2" s="44" t="n"/>
      <c r="RCI2" s="44" t="n"/>
      <c r="RCJ2" s="44" t="n"/>
      <c r="RCK2" s="44" t="n"/>
      <c r="RCL2" s="44" t="n"/>
      <c r="RCM2" s="44" t="n"/>
      <c r="RCN2" s="44" t="n"/>
      <c r="RCO2" s="44" t="n"/>
      <c r="RCP2" s="44" t="n"/>
      <c r="RCQ2" s="44" t="n"/>
      <c r="RCR2" s="44" t="n"/>
      <c r="RCS2" s="44" t="n"/>
      <c r="RCT2" s="44" t="n"/>
      <c r="RCU2" s="44" t="n"/>
      <c r="RCV2" s="44" t="n"/>
      <c r="RCW2" s="44" t="n"/>
      <c r="RCX2" s="44" t="n"/>
      <c r="RCY2" s="44" t="n"/>
      <c r="RCZ2" s="44" t="n"/>
      <c r="RDA2" s="44" t="n"/>
      <c r="RDB2" s="44" t="n"/>
      <c r="RDC2" s="44" t="n"/>
      <c r="RDD2" s="44" t="n"/>
      <c r="RDE2" s="44" t="n"/>
      <c r="RDF2" s="44" t="n"/>
      <c r="RDG2" s="44" t="n"/>
      <c r="RDH2" s="44" t="n"/>
      <c r="RDI2" s="44" t="n"/>
      <c r="RDJ2" s="44" t="n"/>
      <c r="RDK2" s="44" t="n"/>
      <c r="RDL2" s="44" t="n"/>
      <c r="RDM2" s="44" t="n"/>
      <c r="RDN2" s="44" t="n"/>
      <c r="RDO2" s="44" t="n"/>
      <c r="RDP2" s="44" t="n"/>
      <c r="RDQ2" s="44" t="n"/>
      <c r="RDR2" s="44" t="n"/>
      <c r="RDS2" s="44" t="n"/>
      <c r="RDT2" s="44" t="n"/>
      <c r="RDU2" s="44" t="n"/>
      <c r="RDV2" s="44" t="n"/>
      <c r="RDW2" s="44" t="n"/>
      <c r="RDX2" s="44" t="n"/>
      <c r="RDY2" s="44" t="n"/>
      <c r="RDZ2" s="44" t="n"/>
      <c r="REA2" s="44" t="n"/>
      <c r="REB2" s="44" t="n"/>
      <c r="REC2" s="44" t="n"/>
      <c r="RED2" s="44" t="n"/>
      <c r="REE2" s="44" t="n"/>
      <c r="REF2" s="44" t="n"/>
      <c r="REG2" s="44" t="n"/>
      <c r="REH2" s="44" t="n"/>
      <c r="REI2" s="44" t="n"/>
      <c r="REJ2" s="44" t="n"/>
      <c r="REK2" s="44" t="n"/>
      <c r="REL2" s="44" t="n"/>
      <c r="REM2" s="44" t="n"/>
      <c r="REN2" s="44" t="n"/>
      <c r="REO2" s="44" t="n"/>
      <c r="REP2" s="44" t="n"/>
      <c r="REQ2" s="44" t="n"/>
      <c r="RER2" s="44" t="n"/>
      <c r="RES2" s="44" t="n"/>
      <c r="RET2" s="44" t="n"/>
      <c r="REU2" s="44" t="n"/>
      <c r="REV2" s="44" t="n"/>
      <c r="REW2" s="44" t="n"/>
      <c r="REX2" s="44" t="n"/>
      <c r="REY2" s="44" t="n"/>
      <c r="REZ2" s="44" t="n"/>
      <c r="RFA2" s="44" t="n"/>
      <c r="RFB2" s="44" t="n"/>
      <c r="RFC2" s="44" t="n"/>
      <c r="RFD2" s="44" t="n"/>
      <c r="RFE2" s="44" t="n"/>
      <c r="RFF2" s="44" t="n"/>
      <c r="RFG2" s="44" t="n"/>
      <c r="RFH2" s="44" t="n"/>
      <c r="RFI2" s="44" t="n"/>
      <c r="RFJ2" s="44" t="n"/>
      <c r="RFK2" s="44" t="n"/>
      <c r="RFL2" s="44" t="n"/>
      <c r="RFM2" s="44" t="n"/>
      <c r="RFN2" s="44" t="n"/>
      <c r="RFO2" s="44" t="n"/>
      <c r="RFP2" s="44" t="n"/>
      <c r="RFQ2" s="44" t="n"/>
      <c r="RFR2" s="44" t="n"/>
      <c r="RFS2" s="44" t="n"/>
      <c r="RFT2" s="44" t="n"/>
      <c r="RFU2" s="44" t="n"/>
      <c r="RFV2" s="44" t="n"/>
      <c r="RFW2" s="44" t="n"/>
      <c r="RFX2" s="44" t="n"/>
      <c r="RFY2" s="44" t="n"/>
      <c r="RFZ2" s="44" t="n"/>
      <c r="RGA2" s="44" t="n"/>
      <c r="RGB2" s="44" t="n"/>
      <c r="RGC2" s="44" t="n"/>
      <c r="RGD2" s="44" t="n"/>
      <c r="RGE2" s="44" t="n"/>
      <c r="RGF2" s="44" t="n"/>
      <c r="RGG2" s="44" t="n"/>
      <c r="RGH2" s="44" t="n"/>
      <c r="RGI2" s="44" t="n"/>
      <c r="RGJ2" s="44" t="n"/>
      <c r="RGK2" s="44" t="n"/>
      <c r="RGL2" s="44" t="n"/>
      <c r="RGM2" s="44" t="n"/>
      <c r="RGN2" s="44" t="n"/>
      <c r="RGO2" s="44" t="n"/>
      <c r="RGP2" s="44" t="n"/>
      <c r="RGQ2" s="44" t="n"/>
      <c r="RGR2" s="44" t="n"/>
      <c r="RGS2" s="44" t="n"/>
      <c r="RGT2" s="44" t="n"/>
      <c r="RGU2" s="44" t="n"/>
      <c r="RGV2" s="44" t="n"/>
      <c r="RGW2" s="44" t="n"/>
      <c r="RGX2" s="44" t="n"/>
      <c r="RGY2" s="44" t="n"/>
      <c r="RGZ2" s="44" t="n"/>
      <c r="RHA2" s="44" t="n"/>
      <c r="RHB2" s="44" t="n"/>
      <c r="RHC2" s="44" t="n"/>
      <c r="RHD2" s="44" t="n"/>
      <c r="RHE2" s="44" t="n"/>
      <c r="RHF2" s="44" t="n"/>
      <c r="RHG2" s="44" t="n"/>
      <c r="RHH2" s="44" t="n"/>
      <c r="RHI2" s="44" t="n"/>
      <c r="RHJ2" s="44" t="n"/>
      <c r="RHK2" s="44" t="n"/>
      <c r="RHL2" s="44" t="n"/>
      <c r="RHM2" s="44" t="n"/>
      <c r="RHN2" s="44" t="n"/>
      <c r="RHO2" s="44" t="n"/>
      <c r="RHP2" s="44" t="n"/>
      <c r="RHQ2" s="44" t="n"/>
      <c r="RHR2" s="44" t="n"/>
      <c r="RHS2" s="44" t="n"/>
      <c r="RHT2" s="44" t="n"/>
      <c r="RHU2" s="44" t="n"/>
      <c r="RHV2" s="44" t="n"/>
      <c r="RHW2" s="44" t="n"/>
      <c r="RHX2" s="44" t="n"/>
      <c r="RHY2" s="44" t="n"/>
      <c r="RHZ2" s="44" t="n"/>
      <c r="RIA2" s="44" t="n"/>
      <c r="RIB2" s="44" t="n"/>
      <c r="RIC2" s="44" t="n"/>
      <c r="RID2" s="44" t="n"/>
      <c r="RIE2" s="44" t="n"/>
      <c r="RIF2" s="44" t="n"/>
      <c r="RIG2" s="44" t="n"/>
      <c r="RIH2" s="44" t="n"/>
      <c r="RII2" s="44" t="n"/>
      <c r="RIJ2" s="44" t="n"/>
      <c r="RIK2" s="44" t="n"/>
      <c r="RIL2" s="44" t="n"/>
      <c r="RIM2" s="44" t="n"/>
      <c r="RIN2" s="44" t="n"/>
      <c r="RIO2" s="44" t="n"/>
      <c r="RIP2" s="44" t="n"/>
      <c r="RIQ2" s="44" t="n"/>
      <c r="RIR2" s="44" t="n"/>
      <c r="RIS2" s="44" t="n"/>
      <c r="RIT2" s="44" t="n"/>
      <c r="RIU2" s="44" t="n"/>
      <c r="RIV2" s="44" t="n"/>
      <c r="RIW2" s="44" t="n"/>
      <c r="RIX2" s="44" t="n"/>
      <c r="RIY2" s="44" t="n"/>
      <c r="RIZ2" s="44" t="n"/>
      <c r="RJA2" s="44" t="n"/>
      <c r="RJB2" s="44" t="n"/>
      <c r="RJC2" s="44" t="n"/>
      <c r="RJD2" s="44" t="n"/>
      <c r="RJE2" s="44" t="n"/>
      <c r="RJF2" s="44" t="n"/>
      <c r="RJG2" s="44" t="n"/>
      <c r="RJH2" s="44" t="n"/>
      <c r="RJI2" s="44" t="n"/>
      <c r="RJJ2" s="44" t="n"/>
      <c r="RJK2" s="44" t="n"/>
      <c r="RJL2" s="44" t="n"/>
      <c r="RJM2" s="44" t="n"/>
      <c r="RJN2" s="44" t="n"/>
      <c r="RJO2" s="44" t="n"/>
      <c r="RJP2" s="44" t="n"/>
      <c r="RJQ2" s="44" t="n"/>
      <c r="RJR2" s="44" t="n"/>
      <c r="RJS2" s="44" t="n"/>
      <c r="RJT2" s="44" t="n"/>
      <c r="RJU2" s="44" t="n"/>
      <c r="RJV2" s="44" t="n"/>
      <c r="RJW2" s="44" t="n"/>
      <c r="RJX2" s="44" t="n"/>
      <c r="RJY2" s="44" t="n"/>
      <c r="RJZ2" s="44" t="n"/>
      <c r="RKA2" s="44" t="n"/>
      <c r="RKB2" s="44" t="n"/>
      <c r="RKC2" s="44" t="n"/>
      <c r="RKD2" s="44" t="n"/>
      <c r="RKE2" s="44" t="n"/>
      <c r="RKF2" s="44" t="n"/>
      <c r="RKG2" s="44" t="n"/>
      <c r="RKH2" s="44" t="n"/>
      <c r="RKI2" s="44" t="n"/>
      <c r="RKJ2" s="44" t="n"/>
      <c r="RKK2" s="44" t="n"/>
      <c r="RKL2" s="44" t="n"/>
      <c r="RKM2" s="44" t="n"/>
      <c r="RKN2" s="44" t="n"/>
      <c r="RKO2" s="44" t="n"/>
      <c r="RKP2" s="44" t="n"/>
      <c r="RKQ2" s="44" t="n"/>
      <c r="RKR2" s="44" t="n"/>
      <c r="RKS2" s="44" t="n"/>
      <c r="RKT2" s="44" t="n"/>
      <c r="RKU2" s="44" t="n"/>
      <c r="RKV2" s="44" t="n"/>
      <c r="RKW2" s="44" t="n"/>
      <c r="RKX2" s="44" t="n"/>
      <c r="RKY2" s="44" t="n"/>
      <c r="RKZ2" s="44" t="n"/>
      <c r="RLA2" s="44" t="n"/>
      <c r="RLB2" s="44" t="n"/>
      <c r="RLC2" s="44" t="n"/>
      <c r="RLD2" s="44" t="n"/>
      <c r="RLE2" s="44" t="n"/>
      <c r="RLF2" s="44" t="n"/>
      <c r="RLG2" s="44" t="n"/>
      <c r="RLH2" s="44" t="n"/>
      <c r="RLI2" s="44" t="n"/>
      <c r="RLJ2" s="44" t="n"/>
      <c r="RLK2" s="44" t="n"/>
      <c r="RLL2" s="44" t="n"/>
      <c r="RLM2" s="44" t="n"/>
      <c r="RLN2" s="44" t="n"/>
      <c r="RLO2" s="44" t="n"/>
      <c r="RLP2" s="44" t="n"/>
      <c r="RLQ2" s="44" t="n"/>
      <c r="RLR2" s="44" t="n"/>
      <c r="RLS2" s="44" t="n"/>
      <c r="RLT2" s="44" t="n"/>
      <c r="RLU2" s="44" t="n"/>
      <c r="RLV2" s="44" t="n"/>
      <c r="RLW2" s="44" t="n"/>
      <c r="RLX2" s="44" t="n"/>
      <c r="RLY2" s="44" t="n"/>
      <c r="RLZ2" s="44" t="n"/>
      <c r="RMA2" s="44" t="n"/>
      <c r="RMB2" s="44" t="n"/>
      <c r="RMC2" s="44" t="n"/>
      <c r="RMD2" s="44" t="n"/>
      <c r="RME2" s="44" t="n"/>
      <c r="RMF2" s="44" t="n"/>
      <c r="RMG2" s="44" t="n"/>
      <c r="RMH2" s="44" t="n"/>
      <c r="RMI2" s="44" t="n"/>
      <c r="RMJ2" s="44" t="n"/>
      <c r="RMK2" s="44" t="n"/>
      <c r="RML2" s="44" t="n"/>
      <c r="RMM2" s="44" t="n"/>
      <c r="RMN2" s="44" t="n"/>
      <c r="RMO2" s="44" t="n"/>
      <c r="RMP2" s="44" t="n"/>
      <c r="RMQ2" s="44" t="n"/>
      <c r="RMR2" s="44" t="n"/>
      <c r="RMS2" s="44" t="n"/>
      <c r="RMT2" s="44" t="n"/>
      <c r="RMU2" s="44" t="n"/>
      <c r="RMV2" s="44" t="n"/>
      <c r="RMW2" s="44" t="n"/>
      <c r="RMX2" s="44" t="n"/>
      <c r="RMY2" s="44" t="n"/>
      <c r="RMZ2" s="44" t="n"/>
      <c r="RNA2" s="44" t="n"/>
      <c r="RNB2" s="44" t="n"/>
      <c r="RNC2" s="44" t="n"/>
      <c r="RND2" s="44" t="n"/>
      <c r="RNE2" s="44" t="n"/>
      <c r="RNF2" s="44" t="n"/>
      <c r="RNG2" s="44" t="n"/>
      <c r="RNH2" s="44" t="n"/>
      <c r="RNI2" s="44" t="n"/>
      <c r="RNJ2" s="44" t="n"/>
      <c r="RNK2" s="44" t="n"/>
      <c r="RNL2" s="44" t="n"/>
      <c r="RNM2" s="44" t="n"/>
      <c r="RNN2" s="44" t="n"/>
      <c r="RNO2" s="44" t="n"/>
      <c r="RNP2" s="44" t="n"/>
      <c r="RNQ2" s="44" t="n"/>
      <c r="RNR2" s="44" t="n"/>
      <c r="RNS2" s="44" t="n"/>
      <c r="RNT2" s="44" t="n"/>
      <c r="RNU2" s="44" t="n"/>
      <c r="RNV2" s="44" t="n"/>
      <c r="RNW2" s="44" t="n"/>
      <c r="RNX2" s="44" t="n"/>
      <c r="RNY2" s="44" t="n"/>
      <c r="RNZ2" s="44" t="n"/>
      <c r="ROA2" s="44" t="n"/>
      <c r="ROB2" s="44" t="n"/>
      <c r="ROC2" s="44" t="n"/>
      <c r="ROD2" s="44" t="n"/>
      <c r="ROE2" s="44" t="n"/>
      <c r="ROF2" s="44" t="n"/>
      <c r="ROG2" s="44" t="n"/>
      <c r="ROH2" s="44" t="n"/>
      <c r="ROI2" s="44" t="n"/>
      <c r="ROJ2" s="44" t="n"/>
      <c r="ROK2" s="44" t="n"/>
      <c r="ROL2" s="44" t="n"/>
      <c r="ROM2" s="44" t="n"/>
      <c r="RON2" s="44" t="n"/>
      <c r="ROO2" s="44" t="n"/>
      <c r="ROP2" s="44" t="n"/>
      <c r="ROQ2" s="44" t="n"/>
      <c r="ROR2" s="44" t="n"/>
      <c r="ROS2" s="44" t="n"/>
      <c r="ROT2" s="44" t="n"/>
      <c r="ROU2" s="44" t="n"/>
      <c r="ROV2" s="44" t="n"/>
      <c r="ROW2" s="44" t="n"/>
      <c r="ROX2" s="44" t="n"/>
      <c r="ROY2" s="44" t="n"/>
      <c r="ROZ2" s="44" t="n"/>
      <c r="RPA2" s="44" t="n"/>
      <c r="RPB2" s="44" t="n"/>
      <c r="RPC2" s="44" t="n"/>
      <c r="RPD2" s="44" t="n"/>
      <c r="RPE2" s="44" t="n"/>
      <c r="RPF2" s="44" t="n"/>
      <c r="RPG2" s="44" t="n"/>
      <c r="RPH2" s="44" t="n"/>
      <c r="RPI2" s="44" t="n"/>
      <c r="RPJ2" s="44" t="n"/>
      <c r="RPK2" s="44" t="n"/>
      <c r="RPL2" s="44" t="n"/>
      <c r="RPM2" s="44" t="n"/>
      <c r="RPN2" s="44" t="n"/>
      <c r="RPO2" s="44" t="n"/>
      <c r="RPP2" s="44" t="n"/>
      <c r="RPQ2" s="44" t="n"/>
      <c r="RPR2" s="44" t="n"/>
      <c r="RPS2" s="44" t="n"/>
      <c r="RPT2" s="44" t="n"/>
      <c r="RPU2" s="44" t="n"/>
      <c r="RPV2" s="44" t="n"/>
      <c r="RPW2" s="44" t="n"/>
      <c r="RPX2" s="44" t="n"/>
      <c r="RPY2" s="44" t="n"/>
      <c r="RPZ2" s="44" t="n"/>
      <c r="RQA2" s="44" t="n"/>
      <c r="RQB2" s="44" t="n"/>
      <c r="RQC2" s="44" t="n"/>
      <c r="RQD2" s="44" t="n"/>
      <c r="RQE2" s="44" t="n"/>
      <c r="RQF2" s="44" t="n"/>
      <c r="RQG2" s="44" t="n"/>
      <c r="RQH2" s="44" t="n"/>
      <c r="RQI2" s="44" t="n"/>
      <c r="RQJ2" s="44" t="n"/>
      <c r="RQK2" s="44" t="n"/>
      <c r="RQL2" s="44" t="n"/>
      <c r="RQM2" s="44" t="n"/>
      <c r="RQN2" s="44" t="n"/>
      <c r="RQO2" s="44" t="n"/>
      <c r="RQP2" s="44" t="n"/>
      <c r="RQQ2" s="44" t="n"/>
      <c r="RQR2" s="44" t="n"/>
      <c r="RQS2" s="44" t="n"/>
      <c r="RQT2" s="44" t="n"/>
      <c r="RQU2" s="44" t="n"/>
      <c r="RQV2" s="44" t="n"/>
      <c r="RQW2" s="44" t="n"/>
      <c r="RQX2" s="44" t="n"/>
      <c r="RQY2" s="44" t="n"/>
      <c r="RQZ2" s="44" t="n"/>
      <c r="RRA2" s="44" t="n"/>
      <c r="RRB2" s="44" t="n"/>
      <c r="RRC2" s="44" t="n"/>
      <c r="RRD2" s="44" t="n"/>
      <c r="RRE2" s="44" t="n"/>
      <c r="RRF2" s="44" t="n"/>
      <c r="RRG2" s="44" t="n"/>
      <c r="RRH2" s="44" t="n"/>
      <c r="RRI2" s="44" t="n"/>
      <c r="RRJ2" s="44" t="n"/>
      <c r="RRK2" s="44" t="n"/>
      <c r="RRL2" s="44" t="n"/>
      <c r="RRM2" s="44" t="n"/>
      <c r="RRN2" s="44" t="n"/>
      <c r="RRO2" s="44" t="n"/>
      <c r="RRP2" s="44" t="n"/>
      <c r="RRQ2" s="44" t="n"/>
      <c r="RRR2" s="44" t="n"/>
      <c r="RRS2" s="44" t="n"/>
      <c r="RRT2" s="44" t="n"/>
      <c r="RRU2" s="44" t="n"/>
      <c r="RRV2" s="44" t="n"/>
      <c r="RRW2" s="44" t="n"/>
      <c r="RRX2" s="44" t="n"/>
      <c r="RRY2" s="44" t="n"/>
      <c r="RRZ2" s="44" t="n"/>
      <c r="RSA2" s="44" t="n"/>
      <c r="RSB2" s="44" t="n"/>
      <c r="RSC2" s="44" t="n"/>
      <c r="RSD2" s="44" t="n"/>
      <c r="RSE2" s="44" t="n"/>
      <c r="RSF2" s="44" t="n"/>
      <c r="RSG2" s="44" t="n"/>
      <c r="RSH2" s="44" t="n"/>
      <c r="RSI2" s="44" t="n"/>
      <c r="RSJ2" s="44" t="n"/>
      <c r="RSK2" s="44" t="n"/>
      <c r="RSL2" s="44" t="n"/>
      <c r="RSM2" s="44" t="n"/>
      <c r="RSN2" s="44" t="n"/>
      <c r="RSO2" s="44" t="n"/>
      <c r="RSP2" s="44" t="n"/>
      <c r="RSQ2" s="44" t="n"/>
      <c r="RSR2" s="44" t="n"/>
      <c r="RSS2" s="44" t="n"/>
      <c r="RST2" s="44" t="n"/>
      <c r="RSU2" s="44" t="n"/>
      <c r="RSV2" s="44" t="n"/>
      <c r="RSW2" s="44" t="n"/>
      <c r="RSX2" s="44" t="n"/>
      <c r="RSY2" s="44" t="n"/>
      <c r="RSZ2" s="44" t="n"/>
      <c r="RTA2" s="44" t="n"/>
      <c r="RTB2" s="44" t="n"/>
      <c r="RTC2" s="44" t="n"/>
      <c r="RTD2" s="44" t="n"/>
      <c r="RTE2" s="44" t="n"/>
      <c r="RTF2" s="44" t="n"/>
      <c r="RTG2" s="44" t="n"/>
      <c r="RTH2" s="44" t="n"/>
      <c r="RTI2" s="44" t="n"/>
      <c r="RTJ2" s="44" t="n"/>
      <c r="RTK2" s="44" t="n"/>
      <c r="RTL2" s="44" t="n"/>
      <c r="RTM2" s="44" t="n"/>
      <c r="RTN2" s="44" t="n"/>
      <c r="RTO2" s="44" t="n"/>
      <c r="RTP2" s="44" t="n"/>
      <c r="RTQ2" s="44" t="n"/>
      <c r="RTR2" s="44" t="n"/>
      <c r="RTS2" s="44" t="n"/>
      <c r="RTT2" s="44" t="n"/>
      <c r="RTU2" s="44" t="n"/>
      <c r="RTV2" s="44" t="n"/>
      <c r="RTW2" s="44" t="n"/>
      <c r="RTX2" s="44" t="n"/>
      <c r="RTY2" s="44" t="n"/>
      <c r="RTZ2" s="44" t="n"/>
      <c r="RUA2" s="44" t="n"/>
      <c r="RUB2" s="44" t="n"/>
      <c r="RUC2" s="44" t="n"/>
      <c r="RUD2" s="44" t="n"/>
      <c r="RUE2" s="44" t="n"/>
      <c r="RUF2" s="44" t="n"/>
      <c r="RUG2" s="44" t="n"/>
      <c r="RUH2" s="44" t="n"/>
      <c r="RUI2" s="44" t="n"/>
      <c r="RUJ2" s="44" t="n"/>
      <c r="RUK2" s="44" t="n"/>
      <c r="RUL2" s="44" t="n"/>
      <c r="RUM2" s="44" t="n"/>
      <c r="RUN2" s="44" t="n"/>
      <c r="RUO2" s="44" t="n"/>
      <c r="RUP2" s="44" t="n"/>
      <c r="RUQ2" s="44" t="n"/>
      <c r="RUR2" s="44" t="n"/>
      <c r="RUS2" s="44" t="n"/>
      <c r="RUT2" s="44" t="n"/>
      <c r="RUU2" s="44" t="n"/>
      <c r="RUV2" s="44" t="n"/>
      <c r="RUW2" s="44" t="n"/>
      <c r="RUX2" s="44" t="n"/>
      <c r="RUY2" s="44" t="n"/>
      <c r="RUZ2" s="44" t="n"/>
      <c r="RVA2" s="44" t="n"/>
      <c r="RVB2" s="44" t="n"/>
      <c r="RVC2" s="44" t="n"/>
      <c r="RVD2" s="44" t="n"/>
      <c r="RVE2" s="44" t="n"/>
      <c r="RVF2" s="44" t="n"/>
      <c r="RVG2" s="44" t="n"/>
      <c r="RVH2" s="44" t="n"/>
      <c r="RVI2" s="44" t="n"/>
      <c r="RVJ2" s="44" t="n"/>
      <c r="RVK2" s="44" t="n"/>
      <c r="RVL2" s="44" t="n"/>
      <c r="RVM2" s="44" t="n"/>
      <c r="RVN2" s="44" t="n"/>
      <c r="RVO2" s="44" t="n"/>
      <c r="RVP2" s="44" t="n"/>
      <c r="RVQ2" s="44" t="n"/>
      <c r="RVR2" s="44" t="n"/>
      <c r="RVS2" s="44" t="n"/>
      <c r="RVT2" s="44" t="n"/>
      <c r="RVU2" s="44" t="n"/>
      <c r="RVV2" s="44" t="n"/>
      <c r="RVW2" s="44" t="n"/>
      <c r="RVX2" s="44" t="n"/>
      <c r="RVY2" s="44" t="n"/>
      <c r="RVZ2" s="44" t="n"/>
      <c r="RWA2" s="44" t="n"/>
      <c r="RWB2" s="44" t="n"/>
      <c r="RWC2" s="44" t="n"/>
      <c r="RWD2" s="44" t="n"/>
      <c r="RWE2" s="44" t="n"/>
      <c r="RWF2" s="44" t="n"/>
      <c r="RWG2" s="44" t="n"/>
      <c r="RWH2" s="44" t="n"/>
      <c r="RWI2" s="44" t="n"/>
      <c r="RWJ2" s="44" t="n"/>
      <c r="RWK2" s="44" t="n"/>
      <c r="RWL2" s="44" t="n"/>
      <c r="RWM2" s="44" t="n"/>
      <c r="RWN2" s="44" t="n"/>
      <c r="RWO2" s="44" t="n"/>
      <c r="RWP2" s="44" t="n"/>
      <c r="RWQ2" s="44" t="n"/>
      <c r="RWR2" s="44" t="n"/>
      <c r="RWS2" s="44" t="n"/>
      <c r="RWT2" s="44" t="n"/>
      <c r="RWU2" s="44" t="n"/>
      <c r="RWV2" s="44" t="n"/>
      <c r="RWW2" s="44" t="n"/>
      <c r="RWX2" s="44" t="n"/>
      <c r="RWY2" s="44" t="n"/>
      <c r="RWZ2" s="44" t="n"/>
      <c r="RXA2" s="44" t="n"/>
      <c r="RXB2" s="44" t="n"/>
      <c r="RXC2" s="44" t="n"/>
      <c r="RXD2" s="44" t="n"/>
      <c r="RXE2" s="44" t="n"/>
      <c r="RXF2" s="44" t="n"/>
      <c r="RXG2" s="44" t="n"/>
      <c r="RXH2" s="44" t="n"/>
      <c r="RXI2" s="44" t="n"/>
      <c r="RXJ2" s="44" t="n"/>
      <c r="RXK2" s="44" t="n"/>
      <c r="RXL2" s="44" t="n"/>
      <c r="RXM2" s="44" t="n"/>
      <c r="RXN2" s="44" t="n"/>
      <c r="RXO2" s="44" t="n"/>
      <c r="RXP2" s="44" t="n"/>
      <c r="RXQ2" s="44" t="n"/>
      <c r="RXR2" s="44" t="n"/>
      <c r="RXS2" s="44" t="n"/>
      <c r="RXT2" s="44" t="n"/>
      <c r="RXU2" s="44" t="n"/>
      <c r="RXV2" s="44" t="n"/>
      <c r="RXW2" s="44" t="n"/>
      <c r="RXX2" s="44" t="n"/>
      <c r="RXY2" s="44" t="n"/>
      <c r="RXZ2" s="44" t="n"/>
      <c r="RYA2" s="44" t="n"/>
      <c r="RYB2" s="44" t="n"/>
      <c r="RYC2" s="44" t="n"/>
      <c r="RYD2" s="44" t="n"/>
      <c r="RYE2" s="44" t="n"/>
      <c r="RYF2" s="44" t="n"/>
      <c r="RYG2" s="44" t="n"/>
      <c r="RYH2" s="44" t="n"/>
      <c r="RYI2" s="44" t="n"/>
      <c r="RYJ2" s="44" t="n"/>
      <c r="RYK2" s="44" t="n"/>
      <c r="RYL2" s="44" t="n"/>
      <c r="RYM2" s="44" t="n"/>
      <c r="RYN2" s="44" t="n"/>
      <c r="RYO2" s="44" t="n"/>
      <c r="RYP2" s="44" t="n"/>
      <c r="RYQ2" s="44" t="n"/>
      <c r="RYR2" s="44" t="n"/>
      <c r="RYS2" s="44" t="n"/>
      <c r="RYT2" s="44" t="n"/>
      <c r="RYU2" s="44" t="n"/>
      <c r="RYV2" s="44" t="n"/>
      <c r="RYW2" s="44" t="n"/>
      <c r="RYX2" s="44" t="n"/>
      <c r="RYY2" s="44" t="n"/>
      <c r="RYZ2" s="44" t="n"/>
      <c r="RZA2" s="44" t="n"/>
      <c r="RZB2" s="44" t="n"/>
      <c r="RZC2" s="44" t="n"/>
      <c r="RZD2" s="44" t="n"/>
      <c r="RZE2" s="44" t="n"/>
      <c r="RZF2" s="44" t="n"/>
      <c r="RZG2" s="44" t="n"/>
      <c r="RZH2" s="44" t="n"/>
      <c r="RZI2" s="44" t="n"/>
      <c r="RZJ2" s="44" t="n"/>
      <c r="RZK2" s="44" t="n"/>
      <c r="RZL2" s="44" t="n"/>
      <c r="RZM2" s="44" t="n"/>
      <c r="RZN2" s="44" t="n"/>
      <c r="RZO2" s="44" t="n"/>
      <c r="RZP2" s="44" t="n"/>
      <c r="RZQ2" s="44" t="n"/>
      <c r="RZR2" s="44" t="n"/>
      <c r="RZS2" s="44" t="n"/>
      <c r="RZT2" s="44" t="n"/>
      <c r="RZU2" s="44" t="n"/>
      <c r="RZV2" s="44" t="n"/>
      <c r="RZW2" s="44" t="n"/>
      <c r="RZX2" s="44" t="n"/>
      <c r="RZY2" s="44" t="n"/>
      <c r="RZZ2" s="44" t="n"/>
      <c r="SAA2" s="44" t="n"/>
      <c r="SAB2" s="44" t="n"/>
      <c r="SAC2" s="44" t="n"/>
      <c r="SAD2" s="44" t="n"/>
      <c r="SAE2" s="44" t="n"/>
      <c r="SAF2" s="44" t="n"/>
      <c r="SAG2" s="44" t="n"/>
      <c r="SAH2" s="44" t="n"/>
      <c r="SAI2" s="44" t="n"/>
      <c r="SAJ2" s="44" t="n"/>
      <c r="SAK2" s="44" t="n"/>
      <c r="SAL2" s="44" t="n"/>
      <c r="SAM2" s="44" t="n"/>
      <c r="SAN2" s="44" t="n"/>
      <c r="SAO2" s="44" t="n"/>
      <c r="SAP2" s="44" t="n"/>
      <c r="SAQ2" s="44" t="n"/>
      <c r="SAR2" s="44" t="n"/>
      <c r="SAS2" s="44" t="n"/>
      <c r="SAT2" s="44" t="n"/>
      <c r="SAU2" s="44" t="n"/>
      <c r="SAV2" s="44" t="n"/>
      <c r="SAW2" s="44" t="n"/>
      <c r="SAX2" s="44" t="n"/>
      <c r="SAY2" s="44" t="n"/>
      <c r="SAZ2" s="44" t="n"/>
      <c r="SBA2" s="44" t="n"/>
      <c r="SBB2" s="44" t="n"/>
      <c r="SBC2" s="44" t="n"/>
      <c r="SBD2" s="44" t="n"/>
      <c r="SBE2" s="44" t="n"/>
      <c r="SBF2" s="44" t="n"/>
      <c r="SBG2" s="44" t="n"/>
      <c r="SBH2" s="44" t="n"/>
      <c r="SBI2" s="44" t="n"/>
      <c r="SBJ2" s="44" t="n"/>
      <c r="SBK2" s="44" t="n"/>
      <c r="SBL2" s="44" t="n"/>
      <c r="SBM2" s="44" t="n"/>
      <c r="SBN2" s="44" t="n"/>
      <c r="SBO2" s="44" t="n"/>
      <c r="SBP2" s="44" t="n"/>
      <c r="SBQ2" s="44" t="n"/>
      <c r="SBR2" s="44" t="n"/>
      <c r="SBS2" s="44" t="n"/>
      <c r="SBT2" s="44" t="n"/>
      <c r="SBU2" s="44" t="n"/>
      <c r="SBV2" s="44" t="n"/>
      <c r="SBW2" s="44" t="n"/>
      <c r="SBX2" s="44" t="n"/>
      <c r="SBY2" s="44" t="n"/>
      <c r="SBZ2" s="44" t="n"/>
      <c r="SCA2" s="44" t="n"/>
      <c r="SCB2" s="44" t="n"/>
      <c r="SCC2" s="44" t="n"/>
      <c r="SCD2" s="44" t="n"/>
      <c r="SCE2" s="44" t="n"/>
      <c r="SCF2" s="44" t="n"/>
      <c r="SCG2" s="44" t="n"/>
      <c r="SCH2" s="44" t="n"/>
      <c r="SCI2" s="44" t="n"/>
      <c r="SCJ2" s="44" t="n"/>
      <c r="SCK2" s="44" t="n"/>
      <c r="SCL2" s="44" t="n"/>
      <c r="SCM2" s="44" t="n"/>
      <c r="SCN2" s="44" t="n"/>
      <c r="SCO2" s="44" t="n"/>
      <c r="SCP2" s="44" t="n"/>
      <c r="SCQ2" s="44" t="n"/>
      <c r="SCR2" s="44" t="n"/>
      <c r="SCS2" s="44" t="n"/>
      <c r="SCT2" s="44" t="n"/>
      <c r="SCU2" s="44" t="n"/>
      <c r="SCV2" s="44" t="n"/>
      <c r="SCW2" s="44" t="n"/>
      <c r="SCX2" s="44" t="n"/>
      <c r="SCY2" s="44" t="n"/>
      <c r="SCZ2" s="44" t="n"/>
      <c r="SDA2" s="44" t="n"/>
      <c r="SDB2" s="44" t="n"/>
      <c r="SDC2" s="44" t="n"/>
      <c r="SDD2" s="44" t="n"/>
      <c r="SDE2" s="44" t="n"/>
      <c r="SDF2" s="44" t="n"/>
      <c r="SDG2" s="44" t="n"/>
      <c r="SDH2" s="44" t="n"/>
      <c r="SDI2" s="44" t="n"/>
      <c r="SDJ2" s="44" t="n"/>
      <c r="SDK2" s="44" t="n"/>
      <c r="SDL2" s="44" t="n"/>
      <c r="SDM2" s="44" t="n"/>
      <c r="SDN2" s="44" t="n"/>
      <c r="SDO2" s="44" t="n"/>
      <c r="SDP2" s="44" t="n"/>
      <c r="SDQ2" s="44" t="n"/>
      <c r="SDR2" s="44" t="n"/>
      <c r="SDS2" s="44" t="n"/>
      <c r="SDT2" s="44" t="n"/>
      <c r="SDU2" s="44" t="n"/>
      <c r="SDV2" s="44" t="n"/>
      <c r="SDW2" s="44" t="n"/>
      <c r="SDX2" s="44" t="n"/>
      <c r="SDY2" s="44" t="n"/>
      <c r="SDZ2" s="44" t="n"/>
      <c r="SEA2" s="44" t="n"/>
      <c r="SEB2" s="44" t="n"/>
      <c r="SEC2" s="44" t="n"/>
      <c r="SED2" s="44" t="n"/>
      <c r="SEE2" s="44" t="n"/>
      <c r="SEF2" s="44" t="n"/>
      <c r="SEG2" s="44" t="n"/>
      <c r="SEH2" s="44" t="n"/>
      <c r="SEI2" s="44" t="n"/>
      <c r="SEJ2" s="44" t="n"/>
      <c r="SEK2" s="44" t="n"/>
      <c r="SEL2" s="44" t="n"/>
      <c r="SEM2" s="44" t="n"/>
      <c r="SEN2" s="44" t="n"/>
      <c r="SEO2" s="44" t="n"/>
      <c r="SEP2" s="44" t="n"/>
      <c r="SEQ2" s="44" t="n"/>
      <c r="SER2" s="44" t="n"/>
      <c r="SES2" s="44" t="n"/>
      <c r="SET2" s="44" t="n"/>
      <c r="SEU2" s="44" t="n"/>
      <c r="SEV2" s="44" t="n"/>
      <c r="SEW2" s="44" t="n"/>
      <c r="SEX2" s="44" t="n"/>
      <c r="SEY2" s="44" t="n"/>
      <c r="SEZ2" s="44" t="n"/>
      <c r="SFA2" s="44" t="n"/>
      <c r="SFB2" s="44" t="n"/>
      <c r="SFC2" s="44" t="n"/>
      <c r="SFD2" s="44" t="n"/>
      <c r="SFE2" s="44" t="n"/>
      <c r="SFF2" s="44" t="n"/>
      <c r="SFG2" s="44" t="n"/>
      <c r="SFH2" s="44" t="n"/>
      <c r="SFI2" s="44" t="n"/>
      <c r="SFJ2" s="44" t="n"/>
      <c r="SFK2" s="44" t="n"/>
      <c r="SFL2" s="44" t="n"/>
      <c r="SFM2" s="44" t="n"/>
      <c r="SFN2" s="44" t="n"/>
      <c r="SFO2" s="44" t="n"/>
      <c r="SFP2" s="44" t="n"/>
      <c r="SFQ2" s="44" t="n"/>
      <c r="SFR2" s="44" t="n"/>
      <c r="SFS2" s="44" t="n"/>
      <c r="SFT2" s="44" t="n"/>
      <c r="SFU2" s="44" t="n"/>
      <c r="SFV2" s="44" t="n"/>
      <c r="SFW2" s="44" t="n"/>
      <c r="SFX2" s="44" t="n"/>
      <c r="SFY2" s="44" t="n"/>
      <c r="SFZ2" s="44" t="n"/>
      <c r="SGA2" s="44" t="n"/>
      <c r="SGB2" s="44" t="n"/>
      <c r="SGC2" s="44" t="n"/>
      <c r="SGD2" s="44" t="n"/>
      <c r="SGE2" s="44" t="n"/>
      <c r="SGF2" s="44" t="n"/>
      <c r="SGG2" s="44" t="n"/>
      <c r="SGH2" s="44" t="n"/>
      <c r="SGI2" s="44" t="n"/>
      <c r="SGJ2" s="44" t="n"/>
      <c r="SGK2" s="44" t="n"/>
      <c r="SGL2" s="44" t="n"/>
      <c r="SGM2" s="44" t="n"/>
      <c r="SGN2" s="44" t="n"/>
      <c r="SGO2" s="44" t="n"/>
      <c r="SGP2" s="44" t="n"/>
      <c r="SGQ2" s="44" t="n"/>
      <c r="SGR2" s="44" t="n"/>
      <c r="SGS2" s="44" t="n"/>
      <c r="SGT2" s="44" t="n"/>
      <c r="SGU2" s="44" t="n"/>
      <c r="SGV2" s="44" t="n"/>
      <c r="SGW2" s="44" t="n"/>
      <c r="SGX2" s="44" t="n"/>
      <c r="SGY2" s="44" t="n"/>
      <c r="SGZ2" s="44" t="n"/>
      <c r="SHA2" s="44" t="n"/>
      <c r="SHB2" s="44" t="n"/>
      <c r="SHC2" s="44" t="n"/>
      <c r="SHD2" s="44" t="n"/>
      <c r="SHE2" s="44" t="n"/>
      <c r="SHF2" s="44" t="n"/>
      <c r="SHG2" s="44" t="n"/>
      <c r="SHH2" s="44" t="n"/>
      <c r="SHI2" s="44" t="n"/>
      <c r="SHJ2" s="44" t="n"/>
      <c r="SHK2" s="44" t="n"/>
      <c r="SHL2" s="44" t="n"/>
      <c r="SHM2" s="44" t="n"/>
      <c r="SHN2" s="44" t="n"/>
      <c r="SHO2" s="44" t="n"/>
      <c r="SHP2" s="44" t="n"/>
      <c r="SHQ2" s="44" t="n"/>
      <c r="SHR2" s="44" t="n"/>
      <c r="SHS2" s="44" t="n"/>
      <c r="SHT2" s="44" t="n"/>
      <c r="SHU2" s="44" t="n"/>
      <c r="SHV2" s="44" t="n"/>
      <c r="SHW2" s="44" t="n"/>
      <c r="SHX2" s="44" t="n"/>
      <c r="SHY2" s="44" t="n"/>
      <c r="SHZ2" s="44" t="n"/>
      <c r="SIA2" s="44" t="n"/>
      <c r="SIB2" s="44" t="n"/>
      <c r="SIC2" s="44" t="n"/>
      <c r="SID2" s="44" t="n"/>
      <c r="SIE2" s="44" t="n"/>
      <c r="SIF2" s="44" t="n"/>
      <c r="SIG2" s="44" t="n"/>
      <c r="SIH2" s="44" t="n"/>
      <c r="SII2" s="44" t="n"/>
      <c r="SIJ2" s="44" t="n"/>
      <c r="SIK2" s="44" t="n"/>
      <c r="SIL2" s="44" t="n"/>
      <c r="SIM2" s="44" t="n"/>
      <c r="SIN2" s="44" t="n"/>
      <c r="SIO2" s="44" t="n"/>
      <c r="SIP2" s="44" t="n"/>
      <c r="SIQ2" s="44" t="n"/>
      <c r="SIR2" s="44" t="n"/>
      <c r="SIS2" s="44" t="n"/>
      <c r="SIT2" s="44" t="n"/>
      <c r="SIU2" s="44" t="n"/>
      <c r="SIV2" s="44" t="n"/>
      <c r="SIW2" s="44" t="n"/>
      <c r="SIX2" s="44" t="n"/>
      <c r="SIY2" s="44" t="n"/>
      <c r="SIZ2" s="44" t="n"/>
      <c r="SJA2" s="44" t="n"/>
      <c r="SJB2" s="44" t="n"/>
      <c r="SJC2" s="44" t="n"/>
      <c r="SJD2" s="44" t="n"/>
      <c r="SJE2" s="44" t="n"/>
      <c r="SJF2" s="44" t="n"/>
      <c r="SJG2" s="44" t="n"/>
      <c r="SJH2" s="44" t="n"/>
      <c r="SJI2" s="44" t="n"/>
      <c r="SJJ2" s="44" t="n"/>
      <c r="SJK2" s="44" t="n"/>
      <c r="SJL2" s="44" t="n"/>
      <c r="SJM2" s="44" t="n"/>
      <c r="SJN2" s="44" t="n"/>
      <c r="SJO2" s="44" t="n"/>
      <c r="SJP2" s="44" t="n"/>
      <c r="SJQ2" s="44" t="n"/>
      <c r="SJR2" s="44" t="n"/>
      <c r="SJS2" s="44" t="n"/>
      <c r="SJT2" s="44" t="n"/>
      <c r="SJU2" s="44" t="n"/>
      <c r="SJV2" s="44" t="n"/>
      <c r="SJW2" s="44" t="n"/>
      <c r="SJX2" s="44" t="n"/>
      <c r="SJY2" s="44" t="n"/>
      <c r="SJZ2" s="44" t="n"/>
      <c r="SKA2" s="44" t="n"/>
      <c r="SKB2" s="44" t="n"/>
      <c r="SKC2" s="44" t="n"/>
      <c r="SKD2" s="44" t="n"/>
      <c r="SKE2" s="44" t="n"/>
      <c r="SKF2" s="44" t="n"/>
      <c r="SKG2" s="44" t="n"/>
      <c r="SKH2" s="44" t="n"/>
      <c r="SKI2" s="44" t="n"/>
      <c r="SKJ2" s="44" t="n"/>
      <c r="SKK2" s="44" t="n"/>
      <c r="SKL2" s="44" t="n"/>
      <c r="SKM2" s="44" t="n"/>
      <c r="SKN2" s="44" t="n"/>
      <c r="SKO2" s="44" t="n"/>
      <c r="SKP2" s="44" t="n"/>
      <c r="SKQ2" s="44" t="n"/>
      <c r="SKR2" s="44" t="n"/>
      <c r="SKS2" s="44" t="n"/>
      <c r="SKT2" s="44" t="n"/>
      <c r="SKU2" s="44" t="n"/>
      <c r="SKV2" s="44" t="n"/>
      <c r="SKW2" s="44" t="n"/>
      <c r="SKX2" s="44" t="n"/>
      <c r="SKY2" s="44" t="n"/>
      <c r="SKZ2" s="44" t="n"/>
      <c r="SLA2" s="44" t="n"/>
      <c r="SLB2" s="44" t="n"/>
      <c r="SLC2" s="44" t="n"/>
      <c r="SLD2" s="44" t="n"/>
      <c r="SLE2" s="44" t="n"/>
      <c r="SLF2" s="44" t="n"/>
      <c r="SLG2" s="44" t="n"/>
      <c r="SLH2" s="44" t="n"/>
      <c r="SLI2" s="44" t="n"/>
      <c r="SLJ2" s="44" t="n"/>
      <c r="SLK2" s="44" t="n"/>
      <c r="SLL2" s="44" t="n"/>
      <c r="SLM2" s="44" t="n"/>
      <c r="SLN2" s="44" t="n"/>
      <c r="SLO2" s="44" t="n"/>
      <c r="SLP2" s="44" t="n"/>
      <c r="SLQ2" s="44" t="n"/>
      <c r="SLR2" s="44" t="n"/>
      <c r="SLS2" s="44" t="n"/>
      <c r="SLT2" s="44" t="n"/>
      <c r="SLU2" s="44" t="n"/>
      <c r="SLV2" s="44" t="n"/>
      <c r="SLW2" s="44" t="n"/>
      <c r="SLX2" s="44" t="n"/>
      <c r="SLY2" s="44" t="n"/>
      <c r="SLZ2" s="44" t="n"/>
      <c r="SMA2" s="44" t="n"/>
      <c r="SMB2" s="44" t="n"/>
      <c r="SMC2" s="44" t="n"/>
      <c r="SMD2" s="44" t="n"/>
      <c r="SME2" s="44" t="n"/>
      <c r="SMF2" s="44" t="n"/>
      <c r="SMG2" s="44" t="n"/>
      <c r="SMH2" s="44" t="n"/>
      <c r="SMI2" s="44" t="n"/>
      <c r="SMJ2" s="44" t="n"/>
      <c r="SMK2" s="44" t="n"/>
      <c r="SML2" s="44" t="n"/>
      <c r="SMM2" s="44" t="n"/>
      <c r="SMN2" s="44" t="n"/>
      <c r="SMO2" s="44" t="n"/>
      <c r="SMP2" s="44" t="n"/>
      <c r="SMQ2" s="44" t="n"/>
      <c r="SMR2" s="44" t="n"/>
      <c r="SMS2" s="44" t="n"/>
      <c r="SMT2" s="44" t="n"/>
      <c r="SMU2" s="44" t="n"/>
      <c r="SMV2" s="44" t="n"/>
      <c r="SMW2" s="44" t="n"/>
      <c r="SMX2" s="44" t="n"/>
      <c r="SMY2" s="44" t="n"/>
      <c r="SMZ2" s="44" t="n"/>
      <c r="SNA2" s="44" t="n"/>
      <c r="SNB2" s="44" t="n"/>
      <c r="SNC2" s="44" t="n"/>
      <c r="SND2" s="44" t="n"/>
      <c r="SNE2" s="44" t="n"/>
      <c r="SNF2" s="44" t="n"/>
      <c r="SNG2" s="44" t="n"/>
      <c r="SNH2" s="44" t="n"/>
      <c r="SNI2" s="44" t="n"/>
      <c r="SNJ2" s="44" t="n"/>
      <c r="SNK2" s="44" t="n"/>
      <c r="SNL2" s="44" t="n"/>
      <c r="SNM2" s="44" t="n"/>
      <c r="SNN2" s="44" t="n"/>
      <c r="SNO2" s="44" t="n"/>
      <c r="SNP2" s="44" t="n"/>
      <c r="SNQ2" s="44" t="n"/>
      <c r="SNR2" s="44" t="n"/>
      <c r="SNS2" s="44" t="n"/>
      <c r="SNT2" s="44" t="n"/>
      <c r="SNU2" s="44" t="n"/>
      <c r="SNV2" s="44" t="n"/>
      <c r="SNW2" s="44" t="n"/>
      <c r="SNX2" s="44" t="n"/>
      <c r="SNY2" s="44" t="n"/>
      <c r="SNZ2" s="44" t="n"/>
      <c r="SOA2" s="44" t="n"/>
      <c r="SOB2" s="44" t="n"/>
      <c r="SOC2" s="44" t="n"/>
      <c r="SOD2" s="44" t="n"/>
      <c r="SOE2" s="44" t="n"/>
      <c r="SOF2" s="44" t="n"/>
      <c r="SOG2" s="44" t="n"/>
      <c r="SOH2" s="44" t="n"/>
      <c r="SOI2" s="44" t="n"/>
      <c r="SOJ2" s="44" t="n"/>
      <c r="SOK2" s="44" t="n"/>
      <c r="SOL2" s="44" t="n"/>
      <c r="SOM2" s="44" t="n"/>
      <c r="SON2" s="44" t="n"/>
      <c r="SOO2" s="44" t="n"/>
      <c r="SOP2" s="44" t="n"/>
      <c r="SOQ2" s="44" t="n"/>
      <c r="SOR2" s="44" t="n"/>
      <c r="SOS2" s="44" t="n"/>
      <c r="SOT2" s="44" t="n"/>
      <c r="SOU2" s="44" t="n"/>
      <c r="SOV2" s="44" t="n"/>
      <c r="SOW2" s="44" t="n"/>
      <c r="SOX2" s="44" t="n"/>
      <c r="SOY2" s="44" t="n"/>
      <c r="SOZ2" s="44" t="n"/>
      <c r="SPA2" s="44" t="n"/>
      <c r="SPB2" s="44" t="n"/>
      <c r="SPC2" s="44" t="n"/>
      <c r="SPD2" s="44" t="n"/>
      <c r="SPE2" s="44" t="n"/>
      <c r="SPF2" s="44" t="n"/>
      <c r="SPG2" s="44" t="n"/>
      <c r="SPH2" s="44" t="n"/>
      <c r="SPI2" s="44" t="n"/>
      <c r="SPJ2" s="44" t="n"/>
      <c r="SPK2" s="44" t="n"/>
      <c r="SPL2" s="44" t="n"/>
      <c r="SPM2" s="44" t="n"/>
      <c r="SPN2" s="44" t="n"/>
      <c r="SPO2" s="44" t="n"/>
      <c r="SPP2" s="44" t="n"/>
      <c r="SPQ2" s="44" t="n"/>
      <c r="SPR2" s="44" t="n"/>
      <c r="SPS2" s="44" t="n"/>
      <c r="SPT2" s="44" t="n"/>
      <c r="SPU2" s="44" t="n"/>
      <c r="SPV2" s="44" t="n"/>
      <c r="SPW2" s="44" t="n"/>
      <c r="SPX2" s="44" t="n"/>
      <c r="SPY2" s="44" t="n"/>
      <c r="SPZ2" s="44" t="n"/>
      <c r="SQA2" s="44" t="n"/>
      <c r="SQB2" s="44" t="n"/>
      <c r="SQC2" s="44" t="n"/>
      <c r="SQD2" s="44" t="n"/>
      <c r="SQE2" s="44" t="n"/>
      <c r="SQF2" s="44" t="n"/>
      <c r="SQG2" s="44" t="n"/>
      <c r="SQH2" s="44" t="n"/>
      <c r="SQI2" s="44" t="n"/>
      <c r="SQJ2" s="44" t="n"/>
      <c r="SQK2" s="44" t="n"/>
      <c r="SQL2" s="44" t="n"/>
      <c r="SQM2" s="44" t="n"/>
      <c r="SQN2" s="44" t="n"/>
      <c r="SQO2" s="44" t="n"/>
      <c r="SQP2" s="44" t="n"/>
      <c r="SQQ2" s="44" t="n"/>
      <c r="SQR2" s="44" t="n"/>
      <c r="SQS2" s="44" t="n"/>
      <c r="SQT2" s="44" t="n"/>
      <c r="SQU2" s="44" t="n"/>
      <c r="SQV2" s="44" t="n"/>
      <c r="SQW2" s="44" t="n"/>
      <c r="SQX2" s="44" t="n"/>
      <c r="SQY2" s="44" t="n"/>
      <c r="SQZ2" s="44" t="n"/>
      <c r="SRA2" s="44" t="n"/>
      <c r="SRB2" s="44" t="n"/>
      <c r="SRC2" s="44" t="n"/>
      <c r="SRD2" s="44" t="n"/>
      <c r="SRE2" s="44" t="n"/>
      <c r="SRF2" s="44" t="n"/>
      <c r="SRG2" s="44" t="n"/>
      <c r="SRH2" s="44" t="n"/>
      <c r="SRI2" s="44" t="n"/>
      <c r="SRJ2" s="44" t="n"/>
      <c r="SRK2" s="44" t="n"/>
      <c r="SRL2" s="44" t="n"/>
      <c r="SRM2" s="44" t="n"/>
      <c r="SRN2" s="44" t="n"/>
      <c r="SRO2" s="44" t="n"/>
      <c r="SRP2" s="44" t="n"/>
      <c r="SRQ2" s="44" t="n"/>
      <c r="SRR2" s="44" t="n"/>
      <c r="SRS2" s="44" t="n"/>
      <c r="SRT2" s="44" t="n"/>
      <c r="SRU2" s="44" t="n"/>
      <c r="SRV2" s="44" t="n"/>
      <c r="SRW2" s="44" t="n"/>
      <c r="SRX2" s="44" t="n"/>
      <c r="SRY2" s="44" t="n"/>
      <c r="SRZ2" s="44" t="n"/>
      <c r="SSA2" s="44" t="n"/>
      <c r="SSB2" s="44" t="n"/>
      <c r="SSC2" s="44" t="n"/>
      <c r="SSD2" s="44" t="n"/>
      <c r="SSE2" s="44" t="n"/>
      <c r="SSF2" s="44" t="n"/>
      <c r="SSG2" s="44" t="n"/>
      <c r="SSH2" s="44" t="n"/>
      <c r="SSI2" s="44" t="n"/>
      <c r="SSJ2" s="44" t="n"/>
      <c r="SSK2" s="44" t="n"/>
      <c r="SSL2" s="44" t="n"/>
      <c r="SSM2" s="44" t="n"/>
      <c r="SSN2" s="44" t="n"/>
      <c r="SSO2" s="44" t="n"/>
      <c r="SSP2" s="44" t="n"/>
      <c r="SSQ2" s="44" t="n"/>
      <c r="SSR2" s="44" t="n"/>
      <c r="SSS2" s="44" t="n"/>
      <c r="SST2" s="44" t="n"/>
      <c r="SSU2" s="44" t="n"/>
      <c r="SSV2" s="44" t="n"/>
      <c r="SSW2" s="44" t="n"/>
      <c r="SSX2" s="44" t="n"/>
      <c r="SSY2" s="44" t="n"/>
      <c r="SSZ2" s="44" t="n"/>
      <c r="STA2" s="44" t="n"/>
      <c r="STB2" s="44" t="n"/>
      <c r="STC2" s="44" t="n"/>
      <c r="STD2" s="44" t="n"/>
      <c r="STE2" s="44" t="n"/>
      <c r="STF2" s="44" t="n"/>
      <c r="STG2" s="44" t="n"/>
      <c r="STH2" s="44" t="n"/>
      <c r="STI2" s="44" t="n"/>
      <c r="STJ2" s="44" t="n"/>
      <c r="STK2" s="44" t="n"/>
      <c r="STL2" s="44" t="n"/>
      <c r="STM2" s="44" t="n"/>
      <c r="STN2" s="44" t="n"/>
      <c r="STO2" s="44" t="n"/>
      <c r="STP2" s="44" t="n"/>
      <c r="STQ2" s="44" t="n"/>
      <c r="STR2" s="44" t="n"/>
      <c r="STS2" s="44" t="n"/>
      <c r="STT2" s="44" t="n"/>
      <c r="STU2" s="44" t="n"/>
      <c r="STV2" s="44" t="n"/>
      <c r="STW2" s="44" t="n"/>
      <c r="STX2" s="44" t="n"/>
      <c r="STY2" s="44" t="n"/>
      <c r="STZ2" s="44" t="n"/>
      <c r="SUA2" s="44" t="n"/>
      <c r="SUB2" s="44" t="n"/>
      <c r="SUC2" s="44" t="n"/>
      <c r="SUD2" s="44" t="n"/>
      <c r="SUE2" s="44" t="n"/>
      <c r="SUF2" s="44" t="n"/>
      <c r="SUG2" s="44" t="n"/>
      <c r="SUH2" s="44" t="n"/>
      <c r="SUI2" s="44" t="n"/>
      <c r="SUJ2" s="44" t="n"/>
      <c r="SUK2" s="44" t="n"/>
      <c r="SUL2" s="44" t="n"/>
      <c r="SUM2" s="44" t="n"/>
      <c r="SUN2" s="44" t="n"/>
      <c r="SUO2" s="44" t="n"/>
      <c r="SUP2" s="44" t="n"/>
      <c r="SUQ2" s="44" t="n"/>
      <c r="SUR2" s="44" t="n"/>
      <c r="SUS2" s="44" t="n"/>
      <c r="SUT2" s="44" t="n"/>
      <c r="SUU2" s="44" t="n"/>
      <c r="SUV2" s="44" t="n"/>
      <c r="SUW2" s="44" t="n"/>
      <c r="SUX2" s="44" t="n"/>
      <c r="SUY2" s="44" t="n"/>
      <c r="SUZ2" s="44" t="n"/>
      <c r="SVA2" s="44" t="n"/>
      <c r="SVB2" s="44" t="n"/>
      <c r="SVC2" s="44" t="n"/>
      <c r="SVD2" s="44" t="n"/>
      <c r="SVE2" s="44" t="n"/>
      <c r="SVF2" s="44" t="n"/>
      <c r="SVG2" s="44" t="n"/>
      <c r="SVH2" s="44" t="n"/>
      <c r="SVI2" s="44" t="n"/>
      <c r="SVJ2" s="44" t="n"/>
      <c r="SVK2" s="44" t="n"/>
      <c r="SVL2" s="44" t="n"/>
      <c r="SVM2" s="44" t="n"/>
      <c r="SVN2" s="44" t="n"/>
      <c r="SVO2" s="44" t="n"/>
      <c r="SVP2" s="44" t="n"/>
      <c r="SVQ2" s="44" t="n"/>
      <c r="SVR2" s="44" t="n"/>
      <c r="SVS2" s="44" t="n"/>
      <c r="SVT2" s="44" t="n"/>
      <c r="SVU2" s="44" t="n"/>
      <c r="SVV2" s="44" t="n"/>
      <c r="SVW2" s="44" t="n"/>
      <c r="SVX2" s="44" t="n"/>
      <c r="SVY2" s="44" t="n"/>
      <c r="SVZ2" s="44" t="n"/>
      <c r="SWA2" s="44" t="n"/>
      <c r="SWB2" s="44" t="n"/>
      <c r="SWC2" s="44" t="n"/>
      <c r="SWD2" s="44" t="n"/>
      <c r="SWE2" s="44" t="n"/>
      <c r="SWF2" s="44" t="n"/>
      <c r="SWG2" s="44" t="n"/>
      <c r="SWH2" s="44" t="n"/>
      <c r="SWI2" s="44" t="n"/>
      <c r="SWJ2" s="44" t="n"/>
      <c r="SWK2" s="44" t="n"/>
      <c r="SWL2" s="44" t="n"/>
      <c r="SWM2" s="44" t="n"/>
      <c r="SWN2" s="44" t="n"/>
      <c r="SWO2" s="44" t="n"/>
      <c r="SWP2" s="44" t="n"/>
      <c r="SWQ2" s="44" t="n"/>
      <c r="SWR2" s="44" t="n"/>
      <c r="SWS2" s="44" t="n"/>
      <c r="SWT2" s="44" t="n"/>
      <c r="SWU2" s="44" t="n"/>
      <c r="SWV2" s="44" t="n"/>
      <c r="SWW2" s="44" t="n"/>
      <c r="SWX2" s="44" t="n"/>
      <c r="SWY2" s="44" t="n"/>
      <c r="SWZ2" s="44" t="n"/>
      <c r="SXA2" s="44" t="n"/>
      <c r="SXB2" s="44" t="n"/>
      <c r="SXC2" s="44" t="n"/>
      <c r="SXD2" s="44" t="n"/>
      <c r="SXE2" s="44" t="n"/>
      <c r="SXF2" s="44" t="n"/>
      <c r="SXG2" s="44" t="n"/>
      <c r="SXH2" s="44" t="n"/>
      <c r="SXI2" s="44" t="n"/>
      <c r="SXJ2" s="44" t="n"/>
      <c r="SXK2" s="44" t="n"/>
      <c r="SXL2" s="44" t="n"/>
      <c r="SXM2" s="44" t="n"/>
      <c r="SXN2" s="44" t="n"/>
      <c r="SXO2" s="44" t="n"/>
      <c r="SXP2" s="44" t="n"/>
      <c r="SXQ2" s="44" t="n"/>
      <c r="SXR2" s="44" t="n"/>
      <c r="SXS2" s="44" t="n"/>
      <c r="SXT2" s="44" t="n"/>
      <c r="SXU2" s="44" t="n"/>
      <c r="SXV2" s="44" t="n"/>
      <c r="SXW2" s="44" t="n"/>
      <c r="SXX2" s="44" t="n"/>
      <c r="SXY2" s="44" t="n"/>
      <c r="SXZ2" s="44" t="n"/>
      <c r="SYA2" s="44" t="n"/>
      <c r="SYB2" s="44" t="n"/>
      <c r="SYC2" s="44" t="n"/>
      <c r="SYD2" s="44" t="n"/>
      <c r="SYE2" s="44" t="n"/>
      <c r="SYF2" s="44" t="n"/>
      <c r="SYG2" s="44" t="n"/>
      <c r="SYH2" s="44" t="n"/>
      <c r="SYI2" s="44" t="n"/>
      <c r="SYJ2" s="44" t="n"/>
      <c r="SYK2" s="44" t="n"/>
      <c r="SYL2" s="44" t="n"/>
      <c r="SYM2" s="44" t="n"/>
      <c r="SYN2" s="44" t="n"/>
      <c r="SYO2" s="44" t="n"/>
      <c r="SYP2" s="44" t="n"/>
      <c r="SYQ2" s="44" t="n"/>
      <c r="SYR2" s="44" t="n"/>
      <c r="SYS2" s="44" t="n"/>
      <c r="SYT2" s="44" t="n"/>
      <c r="SYU2" s="44" t="n"/>
      <c r="SYV2" s="44" t="n"/>
      <c r="SYW2" s="44" t="n"/>
      <c r="SYX2" s="44" t="n"/>
      <c r="SYY2" s="44" t="n"/>
      <c r="SYZ2" s="44" t="n"/>
      <c r="SZA2" s="44" t="n"/>
      <c r="SZB2" s="44" t="n"/>
      <c r="SZC2" s="44" t="n"/>
      <c r="SZD2" s="44" t="n"/>
      <c r="SZE2" s="44" t="n"/>
      <c r="SZF2" s="44" t="n"/>
      <c r="SZG2" s="44" t="n"/>
      <c r="SZH2" s="44" t="n"/>
      <c r="SZI2" s="44" t="n"/>
      <c r="SZJ2" s="44" t="n"/>
      <c r="SZK2" s="44" t="n"/>
      <c r="SZL2" s="44" t="n"/>
      <c r="SZM2" s="44" t="n"/>
      <c r="SZN2" s="44" t="n"/>
      <c r="SZO2" s="44" t="n"/>
      <c r="SZP2" s="44" t="n"/>
      <c r="SZQ2" s="44" t="n"/>
      <c r="SZR2" s="44" t="n"/>
      <c r="SZS2" s="44" t="n"/>
      <c r="SZT2" s="44" t="n"/>
      <c r="SZU2" s="44" t="n"/>
      <c r="SZV2" s="44" t="n"/>
      <c r="SZW2" s="44" t="n"/>
      <c r="SZX2" s="44" t="n"/>
      <c r="SZY2" s="44" t="n"/>
      <c r="SZZ2" s="44" t="n"/>
      <c r="TAA2" s="44" t="n"/>
      <c r="TAB2" s="44" t="n"/>
      <c r="TAC2" s="44" t="n"/>
      <c r="TAD2" s="44" t="n"/>
      <c r="TAE2" s="44" t="n"/>
      <c r="TAF2" s="44" t="n"/>
      <c r="TAG2" s="44" t="n"/>
      <c r="TAH2" s="44" t="n"/>
      <c r="TAI2" s="44" t="n"/>
      <c r="TAJ2" s="44" t="n"/>
      <c r="TAK2" s="44" t="n"/>
      <c r="TAL2" s="44" t="n"/>
      <c r="TAM2" s="44" t="n"/>
      <c r="TAN2" s="44" t="n"/>
      <c r="TAO2" s="44" t="n"/>
      <c r="TAP2" s="44" t="n"/>
      <c r="TAQ2" s="44" t="n"/>
      <c r="TAR2" s="44" t="n"/>
      <c r="TAS2" s="44" t="n"/>
      <c r="TAT2" s="44" t="n"/>
      <c r="TAU2" s="44" t="n"/>
      <c r="TAV2" s="44" t="n"/>
      <c r="TAW2" s="44" t="n"/>
      <c r="TAX2" s="44" t="n"/>
      <c r="TAY2" s="44" t="n"/>
      <c r="TAZ2" s="44" t="n"/>
      <c r="TBA2" s="44" t="n"/>
      <c r="TBB2" s="44" t="n"/>
      <c r="TBC2" s="44" t="n"/>
      <c r="TBD2" s="44" t="n"/>
      <c r="TBE2" s="44" t="n"/>
      <c r="TBF2" s="44" t="n"/>
      <c r="TBG2" s="44" t="n"/>
      <c r="TBH2" s="44" t="n"/>
      <c r="TBI2" s="44" t="n"/>
      <c r="TBJ2" s="44" t="n"/>
      <c r="TBK2" s="44" t="n"/>
      <c r="TBL2" s="44" t="n"/>
      <c r="TBM2" s="44" t="n"/>
      <c r="TBN2" s="44" t="n"/>
      <c r="TBO2" s="44" t="n"/>
      <c r="TBP2" s="44" t="n"/>
      <c r="TBQ2" s="44" t="n"/>
      <c r="TBR2" s="44" t="n"/>
      <c r="TBS2" s="44" t="n"/>
      <c r="TBT2" s="44" t="n"/>
      <c r="TBU2" s="44" t="n"/>
      <c r="TBV2" s="44" t="n"/>
      <c r="TBW2" s="44" t="n"/>
      <c r="TBX2" s="44" t="n"/>
      <c r="TBY2" s="44" t="n"/>
      <c r="TBZ2" s="44" t="n"/>
      <c r="TCA2" s="44" t="n"/>
      <c r="TCB2" s="44" t="n"/>
      <c r="TCC2" s="44" t="n"/>
      <c r="TCD2" s="44" t="n"/>
      <c r="TCE2" s="44" t="n"/>
      <c r="TCF2" s="44" t="n"/>
      <c r="TCG2" s="44" t="n"/>
      <c r="TCH2" s="44" t="n"/>
      <c r="TCI2" s="44" t="n"/>
      <c r="TCJ2" s="44" t="n"/>
      <c r="TCK2" s="44" t="n"/>
      <c r="TCL2" s="44" t="n"/>
      <c r="TCM2" s="44" t="n"/>
      <c r="TCN2" s="44" t="n"/>
      <c r="TCO2" s="44" t="n"/>
      <c r="TCP2" s="44" t="n"/>
      <c r="TCQ2" s="44" t="n"/>
      <c r="TCR2" s="44" t="n"/>
      <c r="TCS2" s="44" t="n"/>
      <c r="TCT2" s="44" t="n"/>
      <c r="TCU2" s="44" t="n"/>
      <c r="TCV2" s="44" t="n"/>
      <c r="TCW2" s="44" t="n"/>
      <c r="TCX2" s="44" t="n"/>
      <c r="TCY2" s="44" t="n"/>
      <c r="TCZ2" s="44" t="n"/>
      <c r="TDA2" s="44" t="n"/>
      <c r="TDB2" s="44" t="n"/>
      <c r="TDC2" s="44" t="n"/>
      <c r="TDD2" s="44" t="n"/>
      <c r="TDE2" s="44" t="n"/>
      <c r="TDF2" s="44" t="n"/>
      <c r="TDG2" s="44" t="n"/>
      <c r="TDH2" s="44" t="n"/>
      <c r="TDI2" s="44" t="n"/>
      <c r="TDJ2" s="44" t="n"/>
      <c r="TDK2" s="44" t="n"/>
      <c r="TDL2" s="44" t="n"/>
      <c r="TDM2" s="44" t="n"/>
      <c r="TDN2" s="44" t="n"/>
      <c r="TDO2" s="44" t="n"/>
      <c r="TDP2" s="44" t="n"/>
      <c r="TDQ2" s="44" t="n"/>
      <c r="TDR2" s="44" t="n"/>
      <c r="TDS2" s="44" t="n"/>
      <c r="TDT2" s="44" t="n"/>
      <c r="TDU2" s="44" t="n"/>
      <c r="TDV2" s="44" t="n"/>
      <c r="TDW2" s="44" t="n"/>
      <c r="TDX2" s="44" t="n"/>
      <c r="TDY2" s="44" t="n"/>
      <c r="TDZ2" s="44" t="n"/>
      <c r="TEA2" s="44" t="n"/>
      <c r="TEB2" s="44" t="n"/>
      <c r="TEC2" s="44" t="n"/>
      <c r="TED2" s="44" t="n"/>
      <c r="TEE2" s="44" t="n"/>
      <c r="TEF2" s="44" t="n"/>
      <c r="TEG2" s="44" t="n"/>
      <c r="TEH2" s="44" t="n"/>
      <c r="TEI2" s="44" t="n"/>
      <c r="TEJ2" s="44" t="n"/>
      <c r="TEK2" s="44" t="n"/>
      <c r="TEL2" s="44" t="n"/>
      <c r="TEM2" s="44" t="n"/>
      <c r="TEN2" s="44" t="n"/>
      <c r="TEO2" s="44" t="n"/>
      <c r="TEP2" s="44" t="n"/>
      <c r="TEQ2" s="44" t="n"/>
      <c r="TER2" s="44" t="n"/>
      <c r="TES2" s="44" t="n"/>
      <c r="TET2" s="44" t="n"/>
      <c r="TEU2" s="44" t="n"/>
      <c r="TEV2" s="44" t="n"/>
      <c r="TEW2" s="44" t="n"/>
      <c r="TEX2" s="44" t="n"/>
      <c r="TEY2" s="44" t="n"/>
      <c r="TEZ2" s="44" t="n"/>
      <c r="TFA2" s="44" t="n"/>
      <c r="TFB2" s="44" t="n"/>
      <c r="TFC2" s="44" t="n"/>
      <c r="TFD2" s="44" t="n"/>
      <c r="TFE2" s="44" t="n"/>
      <c r="TFF2" s="44" t="n"/>
      <c r="TFG2" s="44" t="n"/>
      <c r="TFH2" s="44" t="n"/>
      <c r="TFI2" s="44" t="n"/>
      <c r="TFJ2" s="44" t="n"/>
      <c r="TFK2" s="44" t="n"/>
      <c r="TFL2" s="44" t="n"/>
      <c r="TFM2" s="44" t="n"/>
      <c r="TFN2" s="44" t="n"/>
      <c r="TFO2" s="44" t="n"/>
      <c r="TFP2" s="44" t="n"/>
      <c r="TFQ2" s="44" t="n"/>
      <c r="TFR2" s="44" t="n"/>
      <c r="TFS2" s="44" t="n"/>
      <c r="TFT2" s="44" t="n"/>
      <c r="TFU2" s="44" t="n"/>
      <c r="TFV2" s="44" t="n"/>
      <c r="TFW2" s="44" t="n"/>
      <c r="TFX2" s="44" t="n"/>
      <c r="TFY2" s="44" t="n"/>
      <c r="TFZ2" s="44" t="n"/>
      <c r="TGA2" s="44" t="n"/>
      <c r="TGB2" s="44" t="n"/>
      <c r="TGC2" s="44" t="n"/>
      <c r="TGD2" s="44" t="n"/>
      <c r="TGE2" s="44" t="n"/>
      <c r="TGF2" s="44" t="n"/>
      <c r="TGG2" s="44" t="n"/>
      <c r="TGH2" s="44" t="n"/>
      <c r="TGI2" s="44" t="n"/>
      <c r="TGJ2" s="44" t="n"/>
      <c r="TGK2" s="44" t="n"/>
      <c r="TGL2" s="44" t="n"/>
      <c r="TGM2" s="44" t="n"/>
      <c r="TGN2" s="44" t="n"/>
      <c r="TGO2" s="44" t="n"/>
      <c r="TGP2" s="44" t="n"/>
      <c r="TGQ2" s="44" t="n"/>
      <c r="TGR2" s="44" t="n"/>
      <c r="TGS2" s="44" t="n"/>
      <c r="TGT2" s="44" t="n"/>
      <c r="TGU2" s="44" t="n"/>
      <c r="TGV2" s="44" t="n"/>
      <c r="TGW2" s="44" t="n"/>
      <c r="TGX2" s="44" t="n"/>
      <c r="TGY2" s="44" t="n"/>
      <c r="TGZ2" s="44" t="n"/>
      <c r="THA2" s="44" t="n"/>
      <c r="THB2" s="44" t="n"/>
      <c r="THC2" s="44" t="n"/>
      <c r="THD2" s="44" t="n"/>
      <c r="THE2" s="44" t="n"/>
      <c r="THF2" s="44" t="n"/>
      <c r="THG2" s="44" t="n"/>
      <c r="THH2" s="44" t="n"/>
      <c r="THI2" s="44" t="n"/>
      <c r="THJ2" s="44" t="n"/>
      <c r="THK2" s="44" t="n"/>
      <c r="THL2" s="44" t="n"/>
      <c r="THM2" s="44" t="n"/>
      <c r="THN2" s="44" t="n"/>
      <c r="THO2" s="44" t="n"/>
      <c r="THP2" s="44" t="n"/>
      <c r="THQ2" s="44" t="n"/>
      <c r="THR2" s="44" t="n"/>
      <c r="THS2" s="44" t="n"/>
      <c r="THT2" s="44" t="n"/>
      <c r="THU2" s="44" t="n"/>
      <c r="THV2" s="44" t="n"/>
      <c r="THW2" s="44" t="n"/>
      <c r="THX2" s="44" t="n"/>
      <c r="THY2" s="44" t="n"/>
      <c r="THZ2" s="44" t="n"/>
      <c r="TIA2" s="44" t="n"/>
      <c r="TIB2" s="44" t="n"/>
      <c r="TIC2" s="44" t="n"/>
      <c r="TID2" s="44" t="n"/>
      <c r="TIE2" s="44" t="n"/>
      <c r="TIF2" s="44" t="n"/>
      <c r="TIG2" s="44" t="n"/>
      <c r="TIH2" s="44" t="n"/>
      <c r="TII2" s="44" t="n"/>
      <c r="TIJ2" s="44" t="n"/>
      <c r="TIK2" s="44" t="n"/>
      <c r="TIL2" s="44" t="n"/>
      <c r="TIM2" s="44" t="n"/>
      <c r="TIN2" s="44" t="n"/>
      <c r="TIO2" s="44" t="n"/>
      <c r="TIP2" s="44" t="n"/>
      <c r="TIQ2" s="44" t="n"/>
      <c r="TIR2" s="44" t="n"/>
      <c r="TIS2" s="44" t="n"/>
      <c r="TIT2" s="44" t="n"/>
      <c r="TIU2" s="44" t="n"/>
      <c r="TIV2" s="44" t="n"/>
      <c r="TIW2" s="44" t="n"/>
      <c r="TIX2" s="44" t="n"/>
      <c r="TIY2" s="44" t="n"/>
      <c r="TIZ2" s="44" t="n"/>
      <c r="TJA2" s="44" t="n"/>
      <c r="TJB2" s="44" t="n"/>
      <c r="TJC2" s="44" t="n"/>
      <c r="TJD2" s="44" t="n"/>
      <c r="TJE2" s="44" t="n"/>
      <c r="TJF2" s="44" t="n"/>
      <c r="TJG2" s="44" t="n"/>
      <c r="TJH2" s="44" t="n"/>
      <c r="TJI2" s="44" t="n"/>
      <c r="TJJ2" s="44" t="n"/>
      <c r="TJK2" s="44" t="n"/>
      <c r="TJL2" s="44" t="n"/>
      <c r="TJM2" s="44" t="n"/>
      <c r="TJN2" s="44" t="n"/>
      <c r="TJO2" s="44" t="n"/>
      <c r="TJP2" s="44" t="n"/>
      <c r="TJQ2" s="44" t="n"/>
      <c r="TJR2" s="44" t="n"/>
      <c r="TJS2" s="44" t="n"/>
      <c r="TJT2" s="44" t="n"/>
      <c r="TJU2" s="44" t="n"/>
      <c r="TJV2" s="44" t="n"/>
      <c r="TJW2" s="44" t="n"/>
      <c r="TJX2" s="44" t="n"/>
      <c r="TJY2" s="44" t="n"/>
      <c r="TJZ2" s="44" t="n"/>
      <c r="TKA2" s="44" t="n"/>
      <c r="TKB2" s="44" t="n"/>
      <c r="TKC2" s="44" t="n"/>
      <c r="TKD2" s="44" t="n"/>
      <c r="TKE2" s="44" t="n"/>
      <c r="TKF2" s="44" t="n"/>
      <c r="TKG2" s="44" t="n"/>
      <c r="TKH2" s="44" t="n"/>
      <c r="TKI2" s="44" t="n"/>
      <c r="TKJ2" s="44" t="n"/>
      <c r="TKK2" s="44" t="n"/>
      <c r="TKL2" s="44" t="n"/>
      <c r="TKM2" s="44" t="n"/>
      <c r="TKN2" s="44" t="n"/>
      <c r="TKO2" s="44" t="n"/>
      <c r="TKP2" s="44" t="n"/>
      <c r="TKQ2" s="44" t="n"/>
      <c r="TKR2" s="44" t="n"/>
      <c r="TKS2" s="44" t="n"/>
      <c r="TKT2" s="44" t="n"/>
      <c r="TKU2" s="44" t="n"/>
      <c r="TKV2" s="44" t="n"/>
      <c r="TKW2" s="44" t="n"/>
      <c r="TKX2" s="44" t="n"/>
      <c r="TKY2" s="44" t="n"/>
      <c r="TKZ2" s="44" t="n"/>
      <c r="TLA2" s="44" t="n"/>
      <c r="TLB2" s="44" t="n"/>
      <c r="TLC2" s="44" t="n"/>
      <c r="TLD2" s="44" t="n"/>
      <c r="TLE2" s="44" t="n"/>
      <c r="TLF2" s="44" t="n"/>
      <c r="TLG2" s="44" t="n"/>
      <c r="TLH2" s="44" t="n"/>
      <c r="TLI2" s="44" t="n"/>
      <c r="TLJ2" s="44" t="n"/>
      <c r="TLK2" s="44" t="n"/>
      <c r="TLL2" s="44" t="n"/>
      <c r="TLM2" s="44" t="n"/>
      <c r="TLN2" s="44" t="n"/>
      <c r="TLO2" s="44" t="n"/>
      <c r="TLP2" s="44" t="n"/>
      <c r="TLQ2" s="44" t="n"/>
      <c r="TLR2" s="44" t="n"/>
      <c r="TLS2" s="44" t="n"/>
      <c r="TLT2" s="44" t="n"/>
      <c r="TLU2" s="44" t="n"/>
      <c r="TLV2" s="44" t="n"/>
      <c r="TLW2" s="44" t="n"/>
      <c r="TLX2" s="44" t="n"/>
      <c r="TLY2" s="44" t="n"/>
      <c r="TLZ2" s="44" t="n"/>
      <c r="TMA2" s="44" t="n"/>
      <c r="TMB2" s="44" t="n"/>
      <c r="TMC2" s="44" t="n"/>
      <c r="TMD2" s="44" t="n"/>
      <c r="TME2" s="44" t="n"/>
      <c r="TMF2" s="44" t="n"/>
      <c r="TMG2" s="44" t="n"/>
      <c r="TMH2" s="44" t="n"/>
      <c r="TMI2" s="44" t="n"/>
      <c r="TMJ2" s="44" t="n"/>
      <c r="TMK2" s="44" t="n"/>
      <c r="TML2" s="44" t="n"/>
      <c r="TMM2" s="44" t="n"/>
      <c r="TMN2" s="44" t="n"/>
      <c r="TMO2" s="44" t="n"/>
      <c r="TMP2" s="44" t="n"/>
      <c r="TMQ2" s="44" t="n"/>
      <c r="TMR2" s="44" t="n"/>
      <c r="TMS2" s="44" t="n"/>
      <c r="TMT2" s="44" t="n"/>
      <c r="TMU2" s="44" t="n"/>
      <c r="TMV2" s="44" t="n"/>
      <c r="TMW2" s="44" t="n"/>
      <c r="TMX2" s="44" t="n"/>
      <c r="TMY2" s="44" t="n"/>
      <c r="TMZ2" s="44" t="n"/>
      <c r="TNA2" s="44" t="n"/>
      <c r="TNB2" s="44" t="n"/>
      <c r="TNC2" s="44" t="n"/>
      <c r="TND2" s="44" t="n"/>
      <c r="TNE2" s="44" t="n"/>
      <c r="TNF2" s="44" t="n"/>
      <c r="TNG2" s="44" t="n"/>
      <c r="TNH2" s="44" t="n"/>
      <c r="TNI2" s="44" t="n"/>
      <c r="TNJ2" s="44" t="n"/>
      <c r="TNK2" s="44" t="n"/>
      <c r="TNL2" s="44" t="n"/>
      <c r="TNM2" s="44" t="n"/>
      <c r="TNN2" s="44" t="n"/>
      <c r="TNO2" s="44" t="n"/>
      <c r="TNP2" s="44" t="n"/>
      <c r="TNQ2" s="44" t="n"/>
      <c r="TNR2" s="44" t="n"/>
      <c r="TNS2" s="44" t="n"/>
      <c r="TNT2" s="44" t="n"/>
      <c r="TNU2" s="44" t="n"/>
      <c r="TNV2" s="44" t="n"/>
      <c r="TNW2" s="44" t="n"/>
      <c r="TNX2" s="44" t="n"/>
      <c r="TNY2" s="44" t="n"/>
      <c r="TNZ2" s="44" t="n"/>
      <c r="TOA2" s="44" t="n"/>
      <c r="TOB2" s="44" t="n"/>
      <c r="TOC2" s="44" t="n"/>
      <c r="TOD2" s="44" t="n"/>
      <c r="TOE2" s="44" t="n"/>
      <c r="TOF2" s="44" t="n"/>
      <c r="TOG2" s="44" t="n"/>
      <c r="TOH2" s="44" t="n"/>
      <c r="TOI2" s="44" t="n"/>
      <c r="TOJ2" s="44" t="n"/>
      <c r="TOK2" s="44" t="n"/>
      <c r="TOL2" s="44" t="n"/>
      <c r="TOM2" s="44" t="n"/>
      <c r="TON2" s="44" t="n"/>
      <c r="TOO2" s="44" t="n"/>
      <c r="TOP2" s="44" t="n"/>
      <c r="TOQ2" s="44" t="n"/>
      <c r="TOR2" s="44" t="n"/>
      <c r="TOS2" s="44" t="n"/>
      <c r="TOT2" s="44" t="n"/>
      <c r="TOU2" s="44" t="n"/>
      <c r="TOV2" s="44" t="n"/>
      <c r="TOW2" s="44" t="n"/>
      <c r="TOX2" s="44" t="n"/>
      <c r="TOY2" s="44" t="n"/>
      <c r="TOZ2" s="44" t="n"/>
      <c r="TPA2" s="44" t="n"/>
      <c r="TPB2" s="44" t="n"/>
      <c r="TPC2" s="44" t="n"/>
      <c r="TPD2" s="44" t="n"/>
      <c r="TPE2" s="44" t="n"/>
      <c r="TPF2" s="44" t="n"/>
      <c r="TPG2" s="44" t="n"/>
      <c r="TPH2" s="44" t="n"/>
      <c r="TPI2" s="44" t="n"/>
      <c r="TPJ2" s="44" t="n"/>
      <c r="TPK2" s="44" t="n"/>
      <c r="TPL2" s="44" t="n"/>
      <c r="TPM2" s="44" t="n"/>
      <c r="TPN2" s="44" t="n"/>
      <c r="TPO2" s="44" t="n"/>
      <c r="TPP2" s="44" t="n"/>
      <c r="TPQ2" s="44" t="n"/>
      <c r="TPR2" s="44" t="n"/>
      <c r="TPS2" s="44" t="n"/>
      <c r="TPT2" s="44" t="n"/>
      <c r="TPU2" s="44" t="n"/>
      <c r="TPV2" s="44" t="n"/>
      <c r="TPW2" s="44" t="n"/>
      <c r="TPX2" s="44" t="n"/>
      <c r="TPY2" s="44" t="n"/>
      <c r="TPZ2" s="44" t="n"/>
      <c r="TQA2" s="44" t="n"/>
      <c r="TQB2" s="44" t="n"/>
      <c r="TQC2" s="44" t="n"/>
      <c r="TQD2" s="44" t="n"/>
      <c r="TQE2" s="44" t="n"/>
      <c r="TQF2" s="44" t="n"/>
      <c r="TQG2" s="44" t="n"/>
      <c r="TQH2" s="44" t="n"/>
      <c r="TQI2" s="44" t="n"/>
      <c r="TQJ2" s="44" t="n"/>
      <c r="TQK2" s="44" t="n"/>
      <c r="TQL2" s="44" t="n"/>
      <c r="TQM2" s="44" t="n"/>
      <c r="TQN2" s="44" t="n"/>
      <c r="TQO2" s="44" t="n"/>
      <c r="TQP2" s="44" t="n"/>
      <c r="TQQ2" s="44" t="n"/>
      <c r="TQR2" s="44" t="n"/>
      <c r="TQS2" s="44" t="n"/>
      <c r="TQT2" s="44" t="n"/>
      <c r="TQU2" s="44" t="n"/>
      <c r="TQV2" s="44" t="n"/>
      <c r="TQW2" s="44" t="n"/>
      <c r="TQX2" s="44" t="n"/>
      <c r="TQY2" s="44" t="n"/>
      <c r="TQZ2" s="44" t="n"/>
      <c r="TRA2" s="44" t="n"/>
      <c r="TRB2" s="44" t="n"/>
      <c r="TRC2" s="44" t="n"/>
      <c r="TRD2" s="44" t="n"/>
      <c r="TRE2" s="44" t="n"/>
      <c r="TRF2" s="44" t="n"/>
      <c r="TRG2" s="44" t="n"/>
      <c r="TRH2" s="44" t="n"/>
      <c r="TRI2" s="44" t="n"/>
      <c r="TRJ2" s="44" t="n"/>
      <c r="TRK2" s="44" t="n"/>
      <c r="TRL2" s="44" t="n"/>
      <c r="TRM2" s="44" t="n"/>
      <c r="TRN2" s="44" t="n"/>
      <c r="TRO2" s="44" t="n"/>
      <c r="TRP2" s="44" t="n"/>
      <c r="TRQ2" s="44" t="n"/>
      <c r="TRR2" s="44" t="n"/>
      <c r="TRS2" s="44" t="n"/>
      <c r="TRT2" s="44" t="n"/>
      <c r="TRU2" s="44" t="n"/>
      <c r="TRV2" s="44" t="n"/>
      <c r="TRW2" s="44" t="n"/>
      <c r="TRX2" s="44" t="n"/>
      <c r="TRY2" s="44" t="n"/>
      <c r="TRZ2" s="44" t="n"/>
      <c r="TSA2" s="44" t="n"/>
      <c r="TSB2" s="44" t="n"/>
      <c r="TSC2" s="44" t="n"/>
      <c r="TSD2" s="44" t="n"/>
      <c r="TSE2" s="44" t="n"/>
      <c r="TSF2" s="44" t="n"/>
      <c r="TSG2" s="44" t="n"/>
      <c r="TSH2" s="44" t="n"/>
      <c r="TSI2" s="44" t="n"/>
      <c r="TSJ2" s="44" t="n"/>
      <c r="TSK2" s="44" t="n"/>
      <c r="TSL2" s="44" t="n"/>
      <c r="TSM2" s="44" t="n"/>
      <c r="TSN2" s="44" t="n"/>
      <c r="TSO2" s="44" t="n"/>
      <c r="TSP2" s="44" t="n"/>
      <c r="TSQ2" s="44" t="n"/>
      <c r="TSR2" s="44" t="n"/>
      <c r="TSS2" s="44" t="n"/>
      <c r="TST2" s="44" t="n"/>
      <c r="TSU2" s="44" t="n"/>
      <c r="TSV2" s="44" t="n"/>
      <c r="TSW2" s="44" t="n"/>
      <c r="TSX2" s="44" t="n"/>
      <c r="TSY2" s="44" t="n"/>
      <c r="TSZ2" s="44" t="n"/>
      <c r="TTA2" s="44" t="n"/>
      <c r="TTB2" s="44" t="n"/>
      <c r="TTC2" s="44" t="n"/>
      <c r="TTD2" s="44" t="n"/>
      <c r="TTE2" s="44" t="n"/>
      <c r="TTF2" s="44" t="n"/>
      <c r="TTG2" s="44" t="n"/>
      <c r="TTH2" s="44" t="n"/>
      <c r="TTI2" s="44" t="n"/>
      <c r="TTJ2" s="44" t="n"/>
      <c r="TTK2" s="44" t="n"/>
      <c r="TTL2" s="44" t="n"/>
      <c r="TTM2" s="44" t="n"/>
      <c r="TTN2" s="44" t="n"/>
      <c r="TTO2" s="44" t="n"/>
      <c r="TTP2" s="44" t="n"/>
      <c r="TTQ2" s="44" t="n"/>
      <c r="TTR2" s="44" t="n"/>
      <c r="TTS2" s="44" t="n"/>
      <c r="TTT2" s="44" t="n"/>
      <c r="TTU2" s="44" t="n"/>
      <c r="TTV2" s="44" t="n"/>
      <c r="TTW2" s="44" t="n"/>
      <c r="TTX2" s="44" t="n"/>
      <c r="TTY2" s="44" t="n"/>
      <c r="TTZ2" s="44" t="n"/>
      <c r="TUA2" s="44" t="n"/>
      <c r="TUB2" s="44" t="n"/>
      <c r="TUC2" s="44" t="n"/>
      <c r="TUD2" s="44" t="n"/>
      <c r="TUE2" s="44" t="n"/>
      <c r="TUF2" s="44" t="n"/>
      <c r="TUG2" s="44" t="n"/>
      <c r="TUH2" s="44" t="n"/>
      <c r="TUI2" s="44" t="n"/>
      <c r="TUJ2" s="44" t="n"/>
      <c r="TUK2" s="44" t="n"/>
      <c r="TUL2" s="44" t="n"/>
      <c r="TUM2" s="44" t="n"/>
      <c r="TUN2" s="44" t="n"/>
      <c r="TUO2" s="44" t="n"/>
      <c r="TUP2" s="44" t="n"/>
      <c r="TUQ2" s="44" t="n"/>
      <c r="TUR2" s="44" t="n"/>
      <c r="TUS2" s="44" t="n"/>
      <c r="TUT2" s="44" t="n"/>
      <c r="TUU2" s="44" t="n"/>
      <c r="TUV2" s="44" t="n"/>
      <c r="TUW2" s="44" t="n"/>
      <c r="TUX2" s="44" t="n"/>
      <c r="TUY2" s="44" t="n"/>
      <c r="TUZ2" s="44" t="n"/>
      <c r="TVA2" s="44" t="n"/>
      <c r="TVB2" s="44" t="n"/>
      <c r="TVC2" s="44" t="n"/>
      <c r="TVD2" s="44" t="n"/>
      <c r="TVE2" s="44" t="n"/>
      <c r="TVF2" s="44" t="n"/>
      <c r="TVG2" s="44" t="n"/>
      <c r="TVH2" s="44" t="n"/>
      <c r="TVI2" s="44" t="n"/>
      <c r="TVJ2" s="44" t="n"/>
      <c r="TVK2" s="44" t="n"/>
      <c r="TVL2" s="44" t="n"/>
      <c r="TVM2" s="44" t="n"/>
      <c r="TVN2" s="44" t="n"/>
      <c r="TVO2" s="44" t="n"/>
      <c r="TVP2" s="44" t="n"/>
      <c r="TVQ2" s="44" t="n"/>
      <c r="TVR2" s="44" t="n"/>
      <c r="TVS2" s="44" t="n"/>
      <c r="TVT2" s="44" t="n"/>
      <c r="TVU2" s="44" t="n"/>
      <c r="TVV2" s="44" t="n"/>
      <c r="TVW2" s="44" t="n"/>
      <c r="TVX2" s="44" t="n"/>
      <c r="TVY2" s="44" t="n"/>
      <c r="TVZ2" s="44" t="n"/>
      <c r="TWA2" s="44" t="n"/>
      <c r="TWB2" s="44" t="n"/>
      <c r="TWC2" s="44" t="n"/>
      <c r="TWD2" s="44" t="n"/>
      <c r="TWE2" s="44" t="n"/>
      <c r="TWF2" s="44" t="n"/>
      <c r="TWG2" s="44" t="n"/>
      <c r="TWH2" s="44" t="n"/>
      <c r="TWI2" s="44" t="n"/>
      <c r="TWJ2" s="44" t="n"/>
      <c r="TWK2" s="44" t="n"/>
      <c r="TWL2" s="44" t="n"/>
      <c r="TWM2" s="44" t="n"/>
      <c r="TWN2" s="44" t="n"/>
      <c r="TWO2" s="44" t="n"/>
      <c r="TWP2" s="44" t="n"/>
      <c r="TWQ2" s="44" t="n"/>
      <c r="TWR2" s="44" t="n"/>
      <c r="TWS2" s="44" t="n"/>
      <c r="TWT2" s="44" t="n"/>
      <c r="TWU2" s="44" t="n"/>
      <c r="TWV2" s="44" t="n"/>
      <c r="TWW2" s="44" t="n"/>
      <c r="TWX2" s="44" t="n"/>
      <c r="TWY2" s="44" t="n"/>
      <c r="TWZ2" s="44" t="n"/>
      <c r="TXA2" s="44" t="n"/>
      <c r="TXB2" s="44" t="n"/>
      <c r="TXC2" s="44" t="n"/>
      <c r="TXD2" s="44" t="n"/>
      <c r="TXE2" s="44" t="n"/>
      <c r="TXF2" s="44" t="n"/>
      <c r="TXG2" s="44" t="n"/>
      <c r="TXH2" s="44" t="n"/>
      <c r="TXI2" s="44" t="n"/>
      <c r="TXJ2" s="44" t="n"/>
      <c r="TXK2" s="44" t="n"/>
      <c r="TXL2" s="44" t="n"/>
      <c r="TXM2" s="44" t="n"/>
      <c r="TXN2" s="44" t="n"/>
      <c r="TXO2" s="44" t="n"/>
      <c r="TXP2" s="44" t="n"/>
      <c r="TXQ2" s="44" t="n"/>
      <c r="TXR2" s="44" t="n"/>
      <c r="TXS2" s="44" t="n"/>
      <c r="TXT2" s="44" t="n"/>
      <c r="TXU2" s="44" t="n"/>
      <c r="TXV2" s="44" t="n"/>
      <c r="TXW2" s="44" t="n"/>
      <c r="TXX2" s="44" t="n"/>
      <c r="TXY2" s="44" t="n"/>
      <c r="TXZ2" s="44" t="n"/>
      <c r="TYA2" s="44" t="n"/>
      <c r="TYB2" s="44" t="n"/>
      <c r="TYC2" s="44" t="n"/>
      <c r="TYD2" s="44" t="n"/>
      <c r="TYE2" s="44" t="n"/>
      <c r="TYF2" s="44" t="n"/>
      <c r="TYG2" s="44" t="n"/>
      <c r="TYH2" s="44" t="n"/>
      <c r="TYI2" s="44" t="n"/>
      <c r="TYJ2" s="44" t="n"/>
      <c r="TYK2" s="44" t="n"/>
      <c r="TYL2" s="44" t="n"/>
      <c r="TYM2" s="44" t="n"/>
      <c r="TYN2" s="44" t="n"/>
      <c r="TYO2" s="44" t="n"/>
      <c r="TYP2" s="44" t="n"/>
      <c r="TYQ2" s="44" t="n"/>
      <c r="TYR2" s="44" t="n"/>
      <c r="TYS2" s="44" t="n"/>
      <c r="TYT2" s="44" t="n"/>
      <c r="TYU2" s="44" t="n"/>
      <c r="TYV2" s="44" t="n"/>
      <c r="TYW2" s="44" t="n"/>
      <c r="TYX2" s="44" t="n"/>
      <c r="TYY2" s="44" t="n"/>
      <c r="TYZ2" s="44" t="n"/>
      <c r="TZA2" s="44" t="n"/>
      <c r="TZB2" s="44" t="n"/>
      <c r="TZC2" s="44" t="n"/>
      <c r="TZD2" s="44" t="n"/>
      <c r="TZE2" s="44" t="n"/>
      <c r="TZF2" s="44" t="n"/>
      <c r="TZG2" s="44" t="n"/>
      <c r="TZH2" s="44" t="n"/>
      <c r="TZI2" s="44" t="n"/>
      <c r="TZJ2" s="44" t="n"/>
      <c r="TZK2" s="44" t="n"/>
      <c r="TZL2" s="44" t="n"/>
      <c r="TZM2" s="44" t="n"/>
      <c r="TZN2" s="44" t="n"/>
      <c r="TZO2" s="44" t="n"/>
      <c r="TZP2" s="44" t="n"/>
      <c r="TZQ2" s="44" t="n"/>
      <c r="TZR2" s="44" t="n"/>
      <c r="TZS2" s="44" t="n"/>
      <c r="TZT2" s="44" t="n"/>
      <c r="TZU2" s="44" t="n"/>
      <c r="TZV2" s="44" t="n"/>
      <c r="TZW2" s="44" t="n"/>
      <c r="TZX2" s="44" t="n"/>
      <c r="TZY2" s="44" t="n"/>
      <c r="TZZ2" s="44" t="n"/>
      <c r="UAA2" s="44" t="n"/>
      <c r="UAB2" s="44" t="n"/>
      <c r="UAC2" s="44" t="n"/>
      <c r="UAD2" s="44" t="n"/>
      <c r="UAE2" s="44" t="n"/>
      <c r="UAF2" s="44" t="n"/>
      <c r="UAG2" s="44" t="n"/>
      <c r="UAH2" s="44" t="n"/>
      <c r="UAI2" s="44" t="n"/>
      <c r="UAJ2" s="44" t="n"/>
      <c r="UAK2" s="44" t="n"/>
      <c r="UAL2" s="44" t="n"/>
      <c r="UAM2" s="44" t="n"/>
      <c r="UAN2" s="44" t="n"/>
      <c r="UAO2" s="44" t="n"/>
      <c r="UAP2" s="44" t="n"/>
      <c r="UAQ2" s="44" t="n"/>
      <c r="UAR2" s="44" t="n"/>
      <c r="UAS2" s="44" t="n"/>
      <c r="UAT2" s="44" t="n"/>
      <c r="UAU2" s="44" t="n"/>
      <c r="UAV2" s="44" t="n"/>
      <c r="UAW2" s="44" t="n"/>
      <c r="UAX2" s="44" t="n"/>
      <c r="UAY2" s="44" t="n"/>
      <c r="UAZ2" s="44" t="n"/>
      <c r="UBA2" s="44" t="n"/>
      <c r="UBB2" s="44" t="n"/>
      <c r="UBC2" s="44" t="n"/>
      <c r="UBD2" s="44" t="n"/>
      <c r="UBE2" s="44" t="n"/>
      <c r="UBF2" s="44" t="n"/>
      <c r="UBG2" s="44" t="n"/>
      <c r="UBH2" s="44" t="n"/>
      <c r="UBI2" s="44" t="n"/>
      <c r="UBJ2" s="44" t="n"/>
      <c r="UBK2" s="44" t="n"/>
      <c r="UBL2" s="44" t="n"/>
      <c r="UBM2" s="44" t="n"/>
      <c r="UBN2" s="44" t="n"/>
      <c r="UBO2" s="44" t="n"/>
      <c r="UBP2" s="44" t="n"/>
      <c r="UBQ2" s="44" t="n"/>
      <c r="UBR2" s="44" t="n"/>
      <c r="UBS2" s="44" t="n"/>
      <c r="UBT2" s="44" t="n"/>
      <c r="UBU2" s="44" t="n"/>
      <c r="UBV2" s="44" t="n"/>
      <c r="UBW2" s="44" t="n"/>
      <c r="UBX2" s="44" t="n"/>
      <c r="UBY2" s="44" t="n"/>
      <c r="UBZ2" s="44" t="n"/>
      <c r="UCA2" s="44" t="n"/>
      <c r="UCB2" s="44" t="n"/>
      <c r="UCC2" s="44" t="n"/>
      <c r="UCD2" s="44" t="n"/>
      <c r="UCE2" s="44" t="n"/>
      <c r="UCF2" s="44" t="n"/>
      <c r="UCG2" s="44" t="n"/>
      <c r="UCH2" s="44" t="n"/>
      <c r="UCI2" s="44" t="n"/>
      <c r="UCJ2" s="44" t="n"/>
      <c r="UCK2" s="44" t="n"/>
      <c r="UCL2" s="44" t="n"/>
      <c r="UCM2" s="44" t="n"/>
      <c r="UCN2" s="44" t="n"/>
      <c r="UCO2" s="44" t="n"/>
      <c r="UCP2" s="44" t="n"/>
      <c r="UCQ2" s="44" t="n"/>
      <c r="UCR2" s="44" t="n"/>
      <c r="UCS2" s="44" t="n"/>
      <c r="UCT2" s="44" t="n"/>
      <c r="UCU2" s="44" t="n"/>
      <c r="UCV2" s="44" t="n"/>
      <c r="UCW2" s="44" t="n"/>
      <c r="UCX2" s="44" t="n"/>
      <c r="UCY2" s="44" t="n"/>
      <c r="UCZ2" s="44" t="n"/>
      <c r="UDA2" s="44" t="n"/>
      <c r="UDB2" s="44" t="n"/>
      <c r="UDC2" s="44" t="n"/>
      <c r="UDD2" s="44" t="n"/>
      <c r="UDE2" s="44" t="n"/>
      <c r="UDF2" s="44" t="n"/>
      <c r="UDG2" s="44" t="n"/>
      <c r="UDH2" s="44" t="n"/>
      <c r="UDI2" s="44" t="n"/>
      <c r="UDJ2" s="44" t="n"/>
      <c r="UDK2" s="44" t="n"/>
      <c r="UDL2" s="44" t="n"/>
      <c r="UDM2" s="44" t="n"/>
      <c r="UDN2" s="44" t="n"/>
      <c r="UDO2" s="44" t="n"/>
      <c r="UDP2" s="44" t="n"/>
      <c r="UDQ2" s="44" t="n"/>
      <c r="UDR2" s="44" t="n"/>
      <c r="UDS2" s="44" t="n"/>
      <c r="UDT2" s="44" t="n"/>
      <c r="UDU2" s="44" t="n"/>
      <c r="UDV2" s="44" t="n"/>
      <c r="UDW2" s="44" t="n"/>
      <c r="UDX2" s="44" t="n"/>
      <c r="UDY2" s="44" t="n"/>
      <c r="UDZ2" s="44" t="n"/>
      <c r="UEA2" s="44" t="n"/>
      <c r="UEB2" s="44" t="n"/>
      <c r="UEC2" s="44" t="n"/>
      <c r="UED2" s="44" t="n"/>
      <c r="UEE2" s="44" t="n"/>
      <c r="UEF2" s="44" t="n"/>
      <c r="UEG2" s="44" t="n"/>
      <c r="UEH2" s="44" t="n"/>
      <c r="UEI2" s="44" t="n"/>
      <c r="UEJ2" s="44" t="n"/>
      <c r="UEK2" s="44" t="n"/>
      <c r="UEL2" s="44" t="n"/>
      <c r="UEM2" s="44" t="n"/>
      <c r="UEN2" s="44" t="n"/>
      <c r="UEO2" s="44" t="n"/>
      <c r="UEP2" s="44" t="n"/>
      <c r="UEQ2" s="44" t="n"/>
      <c r="UER2" s="44" t="n"/>
      <c r="UES2" s="44" t="n"/>
      <c r="UET2" s="44" t="n"/>
      <c r="UEU2" s="44" t="n"/>
      <c r="UEV2" s="44" t="n"/>
      <c r="UEW2" s="44" t="n"/>
      <c r="UEX2" s="44" t="n"/>
      <c r="UEY2" s="44" t="n"/>
      <c r="UEZ2" s="44" t="n"/>
      <c r="UFA2" s="44" t="n"/>
      <c r="UFB2" s="44" t="n"/>
      <c r="UFC2" s="44" t="n"/>
      <c r="UFD2" s="44" t="n"/>
      <c r="UFE2" s="44" t="n"/>
      <c r="UFF2" s="44" t="n"/>
      <c r="UFG2" s="44" t="n"/>
      <c r="UFH2" s="44" t="n"/>
      <c r="UFI2" s="44" t="n"/>
      <c r="UFJ2" s="44" t="n"/>
      <c r="UFK2" s="44" t="n"/>
      <c r="UFL2" s="44" t="n"/>
      <c r="UFM2" s="44" t="n"/>
      <c r="UFN2" s="44" t="n"/>
      <c r="UFO2" s="44" t="n"/>
      <c r="UFP2" s="44" t="n"/>
      <c r="UFQ2" s="44" t="n"/>
      <c r="UFR2" s="44" t="n"/>
      <c r="UFS2" s="44" t="n"/>
      <c r="UFT2" s="44" t="n"/>
      <c r="UFU2" s="44" t="n"/>
      <c r="UFV2" s="44" t="n"/>
      <c r="UFW2" s="44" t="n"/>
      <c r="UFX2" s="44" t="n"/>
      <c r="UFY2" s="44" t="n"/>
      <c r="UFZ2" s="44" t="n"/>
      <c r="UGA2" s="44" t="n"/>
      <c r="UGB2" s="44" t="n"/>
      <c r="UGC2" s="44" t="n"/>
      <c r="UGD2" s="44" t="n"/>
      <c r="UGE2" s="44" t="n"/>
      <c r="UGF2" s="44" t="n"/>
      <c r="UGG2" s="44" t="n"/>
      <c r="UGH2" s="44" t="n"/>
      <c r="UGI2" s="44" t="n"/>
      <c r="UGJ2" s="44" t="n"/>
      <c r="UGK2" s="44" t="n"/>
      <c r="UGL2" s="44" t="n"/>
      <c r="UGM2" s="44" t="n"/>
      <c r="UGN2" s="44" t="n"/>
      <c r="UGO2" s="44" t="n"/>
      <c r="UGP2" s="44" t="n"/>
      <c r="UGQ2" s="44" t="n"/>
      <c r="UGR2" s="44" t="n"/>
      <c r="UGS2" s="44" t="n"/>
      <c r="UGT2" s="44" t="n"/>
      <c r="UGU2" s="44" t="n"/>
      <c r="UGV2" s="44" t="n"/>
      <c r="UGW2" s="44" t="n"/>
      <c r="UGX2" s="44" t="n"/>
      <c r="UGY2" s="44" t="n"/>
      <c r="UGZ2" s="44" t="n"/>
      <c r="UHA2" s="44" t="n"/>
      <c r="UHB2" s="44" t="n"/>
      <c r="UHC2" s="44" t="n"/>
      <c r="UHD2" s="44" t="n"/>
      <c r="UHE2" s="44" t="n"/>
      <c r="UHF2" s="44" t="n"/>
      <c r="UHG2" s="44" t="n"/>
      <c r="UHH2" s="44" t="n"/>
      <c r="UHI2" s="44" t="n"/>
      <c r="UHJ2" s="44" t="n"/>
      <c r="UHK2" s="44" t="n"/>
      <c r="UHL2" s="44" t="n"/>
      <c r="UHM2" s="44" t="n"/>
      <c r="UHN2" s="44" t="n"/>
      <c r="UHO2" s="44" t="n"/>
      <c r="UHP2" s="44" t="n"/>
      <c r="UHQ2" s="44" t="n"/>
      <c r="UHR2" s="44" t="n"/>
      <c r="UHS2" s="44" t="n"/>
      <c r="UHT2" s="44" t="n"/>
      <c r="UHU2" s="44" t="n"/>
      <c r="UHV2" s="44" t="n"/>
      <c r="UHW2" s="44" t="n"/>
      <c r="UHX2" s="44" t="n"/>
      <c r="UHY2" s="44" t="n"/>
      <c r="UHZ2" s="44" t="n"/>
      <c r="UIA2" s="44" t="n"/>
      <c r="UIB2" s="44" t="n"/>
      <c r="UIC2" s="44" t="n"/>
      <c r="UID2" s="44" t="n"/>
      <c r="UIE2" s="44" t="n"/>
      <c r="UIF2" s="44" t="n"/>
      <c r="UIG2" s="44" t="n"/>
      <c r="UIH2" s="44" t="n"/>
      <c r="UII2" s="44" t="n"/>
      <c r="UIJ2" s="44" t="n"/>
      <c r="UIK2" s="44" t="n"/>
      <c r="UIL2" s="44" t="n"/>
      <c r="UIM2" s="44" t="n"/>
      <c r="UIN2" s="44" t="n"/>
      <c r="UIO2" s="44" t="n"/>
      <c r="UIP2" s="44" t="n"/>
      <c r="UIQ2" s="44" t="n"/>
      <c r="UIR2" s="44" t="n"/>
      <c r="UIS2" s="44" t="n"/>
      <c r="UIT2" s="44" t="n"/>
      <c r="UIU2" s="44" t="n"/>
      <c r="UIV2" s="44" t="n"/>
      <c r="UIW2" s="44" t="n"/>
      <c r="UIX2" s="44" t="n"/>
      <c r="UIY2" s="44" t="n"/>
      <c r="UIZ2" s="44" t="n"/>
      <c r="UJA2" s="44" t="n"/>
      <c r="UJB2" s="44" t="n"/>
      <c r="UJC2" s="44" t="n"/>
      <c r="UJD2" s="44" t="n"/>
      <c r="UJE2" s="44" t="n"/>
      <c r="UJF2" s="44" t="n"/>
      <c r="UJG2" s="44" t="n"/>
      <c r="UJH2" s="44" t="n"/>
      <c r="UJI2" s="44" t="n"/>
      <c r="UJJ2" s="44" t="n"/>
      <c r="UJK2" s="44" t="n"/>
      <c r="UJL2" s="44" t="n"/>
      <c r="UJM2" s="44" t="n"/>
      <c r="UJN2" s="44" t="n"/>
      <c r="UJO2" s="44" t="n"/>
      <c r="UJP2" s="44" t="n"/>
      <c r="UJQ2" s="44" t="n"/>
      <c r="UJR2" s="44" t="n"/>
      <c r="UJS2" s="44" t="n"/>
      <c r="UJT2" s="44" t="n"/>
      <c r="UJU2" s="44" t="n"/>
      <c r="UJV2" s="44" t="n"/>
      <c r="UJW2" s="44" t="n"/>
      <c r="UJX2" s="44" t="n"/>
      <c r="UJY2" s="44" t="n"/>
      <c r="UJZ2" s="44" t="n"/>
      <c r="UKA2" s="44" t="n"/>
      <c r="UKB2" s="44" t="n"/>
      <c r="UKC2" s="44" t="n"/>
      <c r="UKD2" s="44" t="n"/>
      <c r="UKE2" s="44" t="n"/>
      <c r="UKF2" s="44" t="n"/>
      <c r="UKG2" s="44" t="n"/>
      <c r="UKH2" s="44" t="n"/>
      <c r="UKI2" s="44" t="n"/>
      <c r="UKJ2" s="44" t="n"/>
      <c r="UKK2" s="44" t="n"/>
      <c r="UKL2" s="44" t="n"/>
      <c r="UKM2" s="44" t="n"/>
      <c r="UKN2" s="44" t="n"/>
      <c r="UKO2" s="44" t="n"/>
      <c r="UKP2" s="44" t="n"/>
      <c r="UKQ2" s="44" t="n"/>
      <c r="UKR2" s="44" t="n"/>
      <c r="UKS2" s="44" t="n"/>
      <c r="UKT2" s="44" t="n"/>
      <c r="UKU2" s="44" t="n"/>
      <c r="UKV2" s="44" t="n"/>
      <c r="UKW2" s="44" t="n"/>
      <c r="UKX2" s="44" t="n"/>
      <c r="UKY2" s="44" t="n"/>
      <c r="UKZ2" s="44" t="n"/>
      <c r="ULA2" s="44" t="n"/>
      <c r="ULB2" s="44" t="n"/>
      <c r="ULC2" s="44" t="n"/>
      <c r="ULD2" s="44" t="n"/>
      <c r="ULE2" s="44" t="n"/>
      <c r="ULF2" s="44" t="n"/>
      <c r="ULG2" s="44" t="n"/>
      <c r="ULH2" s="44" t="n"/>
      <c r="ULI2" s="44" t="n"/>
      <c r="ULJ2" s="44" t="n"/>
      <c r="ULK2" s="44" t="n"/>
      <c r="ULL2" s="44" t="n"/>
      <c r="ULM2" s="44" t="n"/>
      <c r="ULN2" s="44" t="n"/>
      <c r="ULO2" s="44" t="n"/>
      <c r="ULP2" s="44" t="n"/>
      <c r="ULQ2" s="44" t="n"/>
      <c r="ULR2" s="44" t="n"/>
      <c r="ULS2" s="44" t="n"/>
      <c r="ULT2" s="44" t="n"/>
      <c r="ULU2" s="44" t="n"/>
      <c r="ULV2" s="44" t="n"/>
      <c r="ULW2" s="44" t="n"/>
      <c r="ULX2" s="44" t="n"/>
      <c r="ULY2" s="44" t="n"/>
      <c r="ULZ2" s="44" t="n"/>
      <c r="UMA2" s="44" t="n"/>
      <c r="UMB2" s="44" t="n"/>
      <c r="UMC2" s="44" t="n"/>
      <c r="UMD2" s="44" t="n"/>
      <c r="UME2" s="44" t="n"/>
      <c r="UMF2" s="44" t="n"/>
      <c r="UMG2" s="44" t="n"/>
      <c r="UMH2" s="44" t="n"/>
      <c r="UMI2" s="44" t="n"/>
      <c r="UMJ2" s="44" t="n"/>
      <c r="UMK2" s="44" t="n"/>
      <c r="UML2" s="44" t="n"/>
      <c r="UMM2" s="44" t="n"/>
      <c r="UMN2" s="44" t="n"/>
      <c r="UMO2" s="44" t="n"/>
      <c r="UMP2" s="44" t="n"/>
      <c r="UMQ2" s="44" t="n"/>
      <c r="UMR2" s="44" t="n"/>
      <c r="UMS2" s="44" t="n"/>
      <c r="UMT2" s="44" t="n"/>
      <c r="UMU2" s="44" t="n"/>
      <c r="UMV2" s="44" t="n"/>
      <c r="UMW2" s="44" t="n"/>
      <c r="UMX2" s="44" t="n"/>
      <c r="UMY2" s="44" t="n"/>
      <c r="UMZ2" s="44" t="n"/>
      <c r="UNA2" s="44" t="n"/>
      <c r="UNB2" s="44" t="n"/>
      <c r="UNC2" s="44" t="n"/>
      <c r="UND2" s="44" t="n"/>
      <c r="UNE2" s="44" t="n"/>
      <c r="UNF2" s="44" t="n"/>
      <c r="UNG2" s="44" t="n"/>
      <c r="UNH2" s="44" t="n"/>
      <c r="UNI2" s="44" t="n"/>
      <c r="UNJ2" s="44" t="n"/>
      <c r="UNK2" s="44" t="n"/>
      <c r="UNL2" s="44" t="n"/>
      <c r="UNM2" s="44" t="n"/>
      <c r="UNN2" s="44" t="n"/>
      <c r="UNO2" s="44" t="n"/>
      <c r="UNP2" s="44" t="n"/>
      <c r="UNQ2" s="44" t="n"/>
      <c r="UNR2" s="44" t="n"/>
      <c r="UNS2" s="44" t="n"/>
      <c r="UNT2" s="44" t="n"/>
      <c r="UNU2" s="44" t="n"/>
      <c r="UNV2" s="44" t="n"/>
      <c r="UNW2" s="44" t="n"/>
      <c r="UNX2" s="44" t="n"/>
      <c r="UNY2" s="44" t="n"/>
      <c r="UNZ2" s="44" t="n"/>
      <c r="UOA2" s="44" t="n"/>
      <c r="UOB2" s="44" t="n"/>
      <c r="UOC2" s="44" t="n"/>
      <c r="UOD2" s="44" t="n"/>
      <c r="UOE2" s="44" t="n"/>
      <c r="UOF2" s="44" t="n"/>
      <c r="UOG2" s="44" t="n"/>
      <c r="UOH2" s="44" t="n"/>
      <c r="UOI2" s="44" t="n"/>
      <c r="UOJ2" s="44" t="n"/>
      <c r="UOK2" s="44" t="n"/>
      <c r="UOL2" s="44" t="n"/>
      <c r="UOM2" s="44" t="n"/>
      <c r="UON2" s="44" t="n"/>
      <c r="UOO2" s="44" t="n"/>
      <c r="UOP2" s="44" t="n"/>
      <c r="UOQ2" s="44" t="n"/>
      <c r="UOR2" s="44" t="n"/>
      <c r="UOS2" s="44" t="n"/>
      <c r="UOT2" s="44" t="n"/>
      <c r="UOU2" s="44" t="n"/>
      <c r="UOV2" s="44" t="n"/>
      <c r="UOW2" s="44" t="n"/>
      <c r="UOX2" s="44" t="n"/>
      <c r="UOY2" s="44" t="n"/>
      <c r="UOZ2" s="44" t="n"/>
      <c r="UPA2" s="44" t="n"/>
      <c r="UPB2" s="44" t="n"/>
      <c r="UPC2" s="44" t="n"/>
      <c r="UPD2" s="44" t="n"/>
      <c r="UPE2" s="44" t="n"/>
      <c r="UPF2" s="44" t="n"/>
      <c r="UPG2" s="44" t="n"/>
      <c r="UPH2" s="44" t="n"/>
      <c r="UPI2" s="44" t="n"/>
      <c r="UPJ2" s="44" t="n"/>
      <c r="UPK2" s="44" t="n"/>
      <c r="UPL2" s="44" t="n"/>
      <c r="UPM2" s="44" t="n"/>
      <c r="UPN2" s="44" t="n"/>
      <c r="UPO2" s="44" t="n"/>
      <c r="UPP2" s="44" t="n"/>
      <c r="UPQ2" s="44" t="n"/>
      <c r="UPR2" s="44" t="n"/>
      <c r="UPS2" s="44" t="n"/>
      <c r="UPT2" s="44" t="n"/>
      <c r="UPU2" s="44" t="n"/>
      <c r="UPV2" s="44" t="n"/>
      <c r="UPW2" s="44" t="n"/>
      <c r="UPX2" s="44" t="n"/>
      <c r="UPY2" s="44" t="n"/>
      <c r="UPZ2" s="44" t="n"/>
      <c r="UQA2" s="44" t="n"/>
      <c r="UQB2" s="44" t="n"/>
      <c r="UQC2" s="44" t="n"/>
      <c r="UQD2" s="44" t="n"/>
      <c r="UQE2" s="44" t="n"/>
      <c r="UQF2" s="44" t="n"/>
      <c r="UQG2" s="44" t="n"/>
      <c r="UQH2" s="44" t="n"/>
      <c r="UQI2" s="44" t="n"/>
      <c r="UQJ2" s="44" t="n"/>
      <c r="UQK2" s="44" t="n"/>
      <c r="UQL2" s="44" t="n"/>
      <c r="UQM2" s="44" t="n"/>
      <c r="UQN2" s="44" t="n"/>
      <c r="UQO2" s="44" t="n"/>
      <c r="UQP2" s="44" t="n"/>
      <c r="UQQ2" s="44" t="n"/>
      <c r="UQR2" s="44" t="n"/>
      <c r="UQS2" s="44" t="n"/>
      <c r="UQT2" s="44" t="n"/>
      <c r="UQU2" s="44" t="n"/>
      <c r="UQV2" s="44" t="n"/>
      <c r="UQW2" s="44" t="n"/>
      <c r="UQX2" s="44" t="n"/>
      <c r="UQY2" s="44" t="n"/>
      <c r="UQZ2" s="44" t="n"/>
      <c r="URA2" s="44" t="n"/>
      <c r="URB2" s="44" t="n"/>
      <c r="URC2" s="44" t="n"/>
      <c r="URD2" s="44" t="n"/>
      <c r="URE2" s="44" t="n"/>
      <c r="URF2" s="44" t="n"/>
      <c r="URG2" s="44" t="n"/>
      <c r="URH2" s="44" t="n"/>
      <c r="URI2" s="44" t="n"/>
      <c r="URJ2" s="44" t="n"/>
      <c r="URK2" s="44" t="n"/>
      <c r="URL2" s="44" t="n"/>
      <c r="URM2" s="44" t="n"/>
      <c r="URN2" s="44" t="n"/>
      <c r="URO2" s="44" t="n"/>
      <c r="URP2" s="44" t="n"/>
      <c r="URQ2" s="44" t="n"/>
      <c r="URR2" s="44" t="n"/>
      <c r="URS2" s="44" t="n"/>
      <c r="URT2" s="44" t="n"/>
      <c r="URU2" s="44" t="n"/>
      <c r="URV2" s="44" t="n"/>
      <c r="URW2" s="44" t="n"/>
      <c r="URX2" s="44" t="n"/>
      <c r="URY2" s="44" t="n"/>
      <c r="URZ2" s="44" t="n"/>
      <c r="USA2" s="44" t="n"/>
      <c r="USB2" s="44" t="n"/>
      <c r="USC2" s="44" t="n"/>
      <c r="USD2" s="44" t="n"/>
      <c r="USE2" s="44" t="n"/>
      <c r="USF2" s="44" t="n"/>
      <c r="USG2" s="44" t="n"/>
      <c r="USH2" s="44" t="n"/>
      <c r="USI2" s="44" t="n"/>
      <c r="USJ2" s="44" t="n"/>
      <c r="USK2" s="44" t="n"/>
      <c r="USL2" s="44" t="n"/>
      <c r="USM2" s="44" t="n"/>
      <c r="USN2" s="44" t="n"/>
      <c r="USO2" s="44" t="n"/>
      <c r="USP2" s="44" t="n"/>
      <c r="USQ2" s="44" t="n"/>
      <c r="USR2" s="44" t="n"/>
      <c r="USS2" s="44" t="n"/>
      <c r="UST2" s="44" t="n"/>
      <c r="USU2" s="44" t="n"/>
      <c r="USV2" s="44" t="n"/>
      <c r="USW2" s="44" t="n"/>
      <c r="USX2" s="44" t="n"/>
      <c r="USY2" s="44" t="n"/>
      <c r="USZ2" s="44" t="n"/>
      <c r="UTA2" s="44" t="n"/>
      <c r="UTB2" s="44" t="n"/>
      <c r="UTC2" s="44" t="n"/>
      <c r="UTD2" s="44" t="n"/>
      <c r="UTE2" s="44" t="n"/>
      <c r="UTF2" s="44" t="n"/>
      <c r="UTG2" s="44" t="n"/>
      <c r="UTH2" s="44" t="n"/>
      <c r="UTI2" s="44" t="n"/>
      <c r="UTJ2" s="44" t="n"/>
      <c r="UTK2" s="44" t="n"/>
      <c r="UTL2" s="44" t="n"/>
      <c r="UTM2" s="44" t="n"/>
      <c r="UTN2" s="44" t="n"/>
      <c r="UTO2" s="44" t="n"/>
      <c r="UTP2" s="44" t="n"/>
      <c r="UTQ2" s="44" t="n"/>
      <c r="UTR2" s="44" t="n"/>
      <c r="UTS2" s="44" t="n"/>
      <c r="UTT2" s="44" t="n"/>
      <c r="UTU2" s="44" t="n"/>
      <c r="UTV2" s="44" t="n"/>
      <c r="UTW2" s="44" t="n"/>
      <c r="UTX2" s="44" t="n"/>
      <c r="UTY2" s="44" t="n"/>
      <c r="UTZ2" s="44" t="n"/>
      <c r="UUA2" s="44" t="n"/>
      <c r="UUB2" s="44" t="n"/>
      <c r="UUC2" s="44" t="n"/>
      <c r="UUD2" s="44" t="n"/>
      <c r="UUE2" s="44" t="n"/>
      <c r="UUF2" s="44" t="n"/>
      <c r="UUG2" s="44" t="n"/>
      <c r="UUH2" s="44" t="n"/>
      <c r="UUI2" s="44" t="n"/>
      <c r="UUJ2" s="44" t="n"/>
      <c r="UUK2" s="44" t="n"/>
      <c r="UUL2" s="44" t="n"/>
      <c r="UUM2" s="44" t="n"/>
      <c r="UUN2" s="44" t="n"/>
      <c r="UUO2" s="44" t="n"/>
      <c r="UUP2" s="44" t="n"/>
      <c r="UUQ2" s="44" t="n"/>
      <c r="UUR2" s="44" t="n"/>
      <c r="UUS2" s="44" t="n"/>
      <c r="UUT2" s="44" t="n"/>
      <c r="UUU2" s="44" t="n"/>
      <c r="UUV2" s="44" t="n"/>
      <c r="UUW2" s="44" t="n"/>
      <c r="UUX2" s="44" t="n"/>
      <c r="UUY2" s="44" t="n"/>
      <c r="UUZ2" s="44" t="n"/>
      <c r="UVA2" s="44" t="n"/>
      <c r="UVB2" s="44" t="n"/>
      <c r="UVC2" s="44" t="n"/>
      <c r="UVD2" s="44" t="n"/>
      <c r="UVE2" s="44" t="n"/>
      <c r="UVF2" s="44" t="n"/>
      <c r="UVG2" s="44" t="n"/>
      <c r="UVH2" s="44" t="n"/>
      <c r="UVI2" s="44" t="n"/>
      <c r="UVJ2" s="44" t="n"/>
      <c r="UVK2" s="44" t="n"/>
      <c r="UVL2" s="44" t="n"/>
      <c r="UVM2" s="44" t="n"/>
      <c r="UVN2" s="44" t="n"/>
      <c r="UVO2" s="44" t="n"/>
      <c r="UVP2" s="44" t="n"/>
      <c r="UVQ2" s="44" t="n"/>
      <c r="UVR2" s="44" t="n"/>
      <c r="UVS2" s="44" t="n"/>
      <c r="UVT2" s="44" t="n"/>
      <c r="UVU2" s="44" t="n"/>
      <c r="UVV2" s="44" t="n"/>
      <c r="UVW2" s="44" t="n"/>
      <c r="UVX2" s="44" t="n"/>
      <c r="UVY2" s="44" t="n"/>
      <c r="UVZ2" s="44" t="n"/>
      <c r="UWA2" s="44" t="n"/>
      <c r="UWB2" s="44" t="n"/>
      <c r="UWC2" s="44" t="n"/>
      <c r="UWD2" s="44" t="n"/>
      <c r="UWE2" s="44" t="n"/>
      <c r="UWF2" s="44" t="n"/>
      <c r="UWG2" s="44" t="n"/>
      <c r="UWH2" s="44" t="n"/>
      <c r="UWI2" s="44" t="n"/>
      <c r="UWJ2" s="44" t="n"/>
      <c r="UWK2" s="44" t="n"/>
      <c r="UWL2" s="44" t="n"/>
      <c r="UWM2" s="44" t="n"/>
      <c r="UWN2" s="44" t="n"/>
      <c r="UWO2" s="44" t="n"/>
      <c r="UWP2" s="44" t="n"/>
      <c r="UWQ2" s="44" t="n"/>
      <c r="UWR2" s="44" t="n"/>
      <c r="UWS2" s="44" t="n"/>
      <c r="UWT2" s="44" t="n"/>
      <c r="UWU2" s="44" t="n"/>
      <c r="UWV2" s="44" t="n"/>
      <c r="UWW2" s="44" t="n"/>
      <c r="UWX2" s="44" t="n"/>
      <c r="UWY2" s="44" t="n"/>
      <c r="UWZ2" s="44" t="n"/>
      <c r="UXA2" s="44" t="n"/>
      <c r="UXB2" s="44" t="n"/>
      <c r="UXC2" s="44" t="n"/>
      <c r="UXD2" s="44" t="n"/>
      <c r="UXE2" s="44" t="n"/>
      <c r="UXF2" s="44" t="n"/>
      <c r="UXG2" s="44" t="n"/>
      <c r="UXH2" s="44" t="n"/>
      <c r="UXI2" s="44" t="n"/>
      <c r="UXJ2" s="44" t="n"/>
      <c r="UXK2" s="44" t="n"/>
      <c r="UXL2" s="44" t="n"/>
      <c r="UXM2" s="44" t="n"/>
      <c r="UXN2" s="44" t="n"/>
      <c r="UXO2" s="44" t="n"/>
      <c r="UXP2" s="44" t="n"/>
      <c r="UXQ2" s="44" t="n"/>
      <c r="UXR2" s="44" t="n"/>
      <c r="UXS2" s="44" t="n"/>
      <c r="UXT2" s="44" t="n"/>
      <c r="UXU2" s="44" t="n"/>
      <c r="UXV2" s="44" t="n"/>
      <c r="UXW2" s="44" t="n"/>
      <c r="UXX2" s="44" t="n"/>
      <c r="UXY2" s="44" t="n"/>
      <c r="UXZ2" s="44" t="n"/>
      <c r="UYA2" s="44" t="n"/>
      <c r="UYB2" s="44" t="n"/>
      <c r="UYC2" s="44" t="n"/>
      <c r="UYD2" s="44" t="n"/>
      <c r="UYE2" s="44" t="n"/>
      <c r="UYF2" s="44" t="n"/>
      <c r="UYG2" s="44" t="n"/>
      <c r="UYH2" s="44" t="n"/>
      <c r="UYI2" s="44" t="n"/>
      <c r="UYJ2" s="44" t="n"/>
      <c r="UYK2" s="44" t="n"/>
      <c r="UYL2" s="44" t="n"/>
      <c r="UYM2" s="44" t="n"/>
      <c r="UYN2" s="44" t="n"/>
      <c r="UYO2" s="44" t="n"/>
      <c r="UYP2" s="44" t="n"/>
      <c r="UYQ2" s="44" t="n"/>
      <c r="UYR2" s="44" t="n"/>
      <c r="UYS2" s="44" t="n"/>
      <c r="UYT2" s="44" t="n"/>
      <c r="UYU2" s="44" t="n"/>
      <c r="UYV2" s="44" t="n"/>
      <c r="UYW2" s="44" t="n"/>
      <c r="UYX2" s="44" t="n"/>
      <c r="UYY2" s="44" t="n"/>
      <c r="UYZ2" s="44" t="n"/>
      <c r="UZA2" s="44" t="n"/>
      <c r="UZB2" s="44" t="n"/>
      <c r="UZC2" s="44" t="n"/>
      <c r="UZD2" s="44" t="n"/>
      <c r="UZE2" s="44" t="n"/>
      <c r="UZF2" s="44" t="n"/>
      <c r="UZG2" s="44" t="n"/>
      <c r="UZH2" s="44" t="n"/>
      <c r="UZI2" s="44" t="n"/>
      <c r="UZJ2" s="44" t="n"/>
      <c r="UZK2" s="44" t="n"/>
      <c r="UZL2" s="44" t="n"/>
      <c r="UZM2" s="44" t="n"/>
      <c r="UZN2" s="44" t="n"/>
      <c r="UZO2" s="44" t="n"/>
      <c r="UZP2" s="44" t="n"/>
      <c r="UZQ2" s="44" t="n"/>
      <c r="UZR2" s="44" t="n"/>
      <c r="UZS2" s="44" t="n"/>
      <c r="UZT2" s="44" t="n"/>
      <c r="UZU2" s="44" t="n"/>
      <c r="UZV2" s="44" t="n"/>
      <c r="UZW2" s="44" t="n"/>
      <c r="UZX2" s="44" t="n"/>
      <c r="UZY2" s="44" t="n"/>
      <c r="UZZ2" s="44" t="n"/>
      <c r="VAA2" s="44" t="n"/>
      <c r="VAB2" s="44" t="n"/>
      <c r="VAC2" s="44" t="n"/>
      <c r="VAD2" s="44" t="n"/>
      <c r="VAE2" s="44" t="n"/>
      <c r="VAF2" s="44" t="n"/>
      <c r="VAG2" s="44" t="n"/>
      <c r="VAH2" s="44" t="n"/>
      <c r="VAI2" s="44" t="n"/>
      <c r="VAJ2" s="44" t="n"/>
      <c r="VAK2" s="44" t="n"/>
      <c r="VAL2" s="44" t="n"/>
      <c r="VAM2" s="44" t="n"/>
      <c r="VAN2" s="44" t="n"/>
      <c r="VAO2" s="44" t="n"/>
      <c r="VAP2" s="44" t="n"/>
      <c r="VAQ2" s="44" t="n"/>
      <c r="VAR2" s="44" t="n"/>
      <c r="VAS2" s="44" t="n"/>
      <c r="VAT2" s="44" t="n"/>
      <c r="VAU2" s="44" t="n"/>
      <c r="VAV2" s="44" t="n"/>
      <c r="VAW2" s="44" t="n"/>
      <c r="VAX2" s="44" t="n"/>
      <c r="VAY2" s="44" t="n"/>
      <c r="VAZ2" s="44" t="n"/>
      <c r="VBA2" s="44" t="n"/>
      <c r="VBB2" s="44" t="n"/>
      <c r="VBC2" s="44" t="n"/>
      <c r="VBD2" s="44" t="n"/>
      <c r="VBE2" s="44" t="n"/>
      <c r="VBF2" s="44" t="n"/>
      <c r="VBG2" s="44" t="n"/>
      <c r="VBH2" s="44" t="n"/>
      <c r="VBI2" s="44" t="n"/>
      <c r="VBJ2" s="44" t="n"/>
      <c r="VBK2" s="44" t="n"/>
      <c r="VBL2" s="44" t="n"/>
      <c r="VBM2" s="44" t="n"/>
      <c r="VBN2" s="44" t="n"/>
      <c r="VBO2" s="44" t="n"/>
      <c r="VBP2" s="44" t="n"/>
      <c r="VBQ2" s="44" t="n"/>
      <c r="VBR2" s="44" t="n"/>
      <c r="VBS2" s="44" t="n"/>
      <c r="VBT2" s="44" t="n"/>
      <c r="VBU2" s="44" t="n"/>
      <c r="VBV2" s="44" t="n"/>
      <c r="VBW2" s="44" t="n"/>
      <c r="VBX2" s="44" t="n"/>
      <c r="VBY2" s="44" t="n"/>
      <c r="VBZ2" s="44" t="n"/>
      <c r="VCA2" s="44" t="n"/>
      <c r="VCB2" s="44" t="n"/>
      <c r="VCC2" s="44" t="n"/>
      <c r="VCD2" s="44" t="n"/>
      <c r="VCE2" s="44" t="n"/>
      <c r="VCF2" s="44" t="n"/>
      <c r="VCG2" s="44" t="n"/>
      <c r="VCH2" s="44" t="n"/>
      <c r="VCI2" s="44" t="n"/>
      <c r="VCJ2" s="44" t="n"/>
      <c r="VCK2" s="44" t="n"/>
      <c r="VCL2" s="44" t="n"/>
      <c r="VCM2" s="44" t="n"/>
      <c r="VCN2" s="44" t="n"/>
      <c r="VCO2" s="44" t="n"/>
      <c r="VCP2" s="44" t="n"/>
      <c r="VCQ2" s="44" t="n"/>
      <c r="VCR2" s="44" t="n"/>
      <c r="VCS2" s="44" t="n"/>
      <c r="VCT2" s="44" t="n"/>
      <c r="VCU2" s="44" t="n"/>
      <c r="VCV2" s="44" t="n"/>
      <c r="VCW2" s="44" t="n"/>
      <c r="VCX2" s="44" t="n"/>
      <c r="VCY2" s="44" t="n"/>
      <c r="VCZ2" s="44" t="n"/>
      <c r="VDA2" s="44" t="n"/>
      <c r="VDB2" s="44" t="n"/>
      <c r="VDC2" s="44" t="n"/>
      <c r="VDD2" s="44" t="n"/>
      <c r="VDE2" s="44" t="n"/>
      <c r="VDF2" s="44" t="n"/>
      <c r="VDG2" s="44" t="n"/>
      <c r="VDH2" s="44" t="n"/>
      <c r="VDI2" s="44" t="n"/>
      <c r="VDJ2" s="44" t="n"/>
      <c r="VDK2" s="44" t="n"/>
      <c r="VDL2" s="44" t="n"/>
      <c r="VDM2" s="44" t="n"/>
      <c r="VDN2" s="44" t="n"/>
      <c r="VDO2" s="44" t="n"/>
      <c r="VDP2" s="44" t="n"/>
      <c r="VDQ2" s="44" t="n"/>
      <c r="VDR2" s="44" t="n"/>
      <c r="VDS2" s="44" t="n"/>
      <c r="VDT2" s="44" t="n"/>
      <c r="VDU2" s="44" t="n"/>
      <c r="VDV2" s="44" t="n"/>
      <c r="VDW2" s="44" t="n"/>
      <c r="VDX2" s="44" t="n"/>
      <c r="VDY2" s="44" t="n"/>
      <c r="VDZ2" s="44" t="n"/>
      <c r="VEA2" s="44" t="n"/>
      <c r="VEB2" s="44" t="n"/>
      <c r="VEC2" s="44" t="n"/>
      <c r="VED2" s="44" t="n"/>
      <c r="VEE2" s="44" t="n"/>
      <c r="VEF2" s="44" t="n"/>
      <c r="VEG2" s="44" t="n"/>
      <c r="VEH2" s="44" t="n"/>
      <c r="VEI2" s="44" t="n"/>
      <c r="VEJ2" s="44" t="n"/>
      <c r="VEK2" s="44" t="n"/>
      <c r="VEL2" s="44" t="n"/>
      <c r="VEM2" s="44" t="n"/>
      <c r="VEN2" s="44" t="n"/>
      <c r="VEO2" s="44" t="n"/>
      <c r="VEP2" s="44" t="n"/>
      <c r="VEQ2" s="44" t="n"/>
      <c r="VER2" s="44" t="n"/>
      <c r="VES2" s="44" t="n"/>
      <c r="VET2" s="44" t="n"/>
      <c r="VEU2" s="44" t="n"/>
      <c r="VEV2" s="44" t="n"/>
      <c r="VEW2" s="44" t="n"/>
      <c r="VEX2" s="44" t="n"/>
      <c r="VEY2" s="44" t="n"/>
      <c r="VEZ2" s="44" t="n"/>
      <c r="VFA2" s="44" t="n"/>
      <c r="VFB2" s="44" t="n"/>
      <c r="VFC2" s="44" t="n"/>
      <c r="VFD2" s="44" t="n"/>
      <c r="VFE2" s="44" t="n"/>
      <c r="VFF2" s="44" t="n"/>
      <c r="VFG2" s="44" t="n"/>
      <c r="VFH2" s="44" t="n"/>
      <c r="VFI2" s="44" t="n"/>
      <c r="VFJ2" s="44" t="n"/>
      <c r="VFK2" s="44" t="n"/>
      <c r="VFL2" s="44" t="n"/>
      <c r="VFM2" s="44" t="n"/>
      <c r="VFN2" s="44" t="n"/>
      <c r="VFO2" s="44" t="n"/>
      <c r="VFP2" s="44" t="n"/>
      <c r="VFQ2" s="44" t="n"/>
      <c r="VFR2" s="44" t="n"/>
      <c r="VFS2" s="44" t="n"/>
      <c r="VFT2" s="44" t="n"/>
      <c r="VFU2" s="44" t="n"/>
      <c r="VFV2" s="44" t="n"/>
      <c r="VFW2" s="44" t="n"/>
      <c r="VFX2" s="44" t="n"/>
      <c r="VFY2" s="44" t="n"/>
      <c r="VFZ2" s="44" t="n"/>
      <c r="VGA2" s="44" t="n"/>
      <c r="VGB2" s="44" t="n"/>
      <c r="VGC2" s="44" t="n"/>
      <c r="VGD2" s="44" t="n"/>
      <c r="VGE2" s="44" t="n"/>
      <c r="VGF2" s="44" t="n"/>
      <c r="VGG2" s="44" t="n"/>
      <c r="VGH2" s="44" t="n"/>
      <c r="VGI2" s="44" t="n"/>
      <c r="VGJ2" s="44" t="n"/>
      <c r="VGK2" s="44" t="n"/>
      <c r="VGL2" s="44" t="n"/>
      <c r="VGM2" s="44" t="n"/>
      <c r="VGN2" s="44" t="n"/>
      <c r="VGO2" s="44" t="n"/>
      <c r="VGP2" s="44" t="n"/>
      <c r="VGQ2" s="44" t="n"/>
      <c r="VGR2" s="44" t="n"/>
      <c r="VGS2" s="44" t="n"/>
      <c r="VGT2" s="44" t="n"/>
      <c r="VGU2" s="44" t="n"/>
      <c r="VGV2" s="44" t="n"/>
      <c r="VGW2" s="44" t="n"/>
      <c r="VGX2" s="44" t="n"/>
      <c r="VGY2" s="44" t="n"/>
      <c r="VGZ2" s="44" t="n"/>
      <c r="VHA2" s="44" t="n"/>
      <c r="VHB2" s="44" t="n"/>
      <c r="VHC2" s="44" t="n"/>
      <c r="VHD2" s="44" t="n"/>
      <c r="VHE2" s="44" t="n"/>
      <c r="VHF2" s="44" t="n"/>
      <c r="VHG2" s="44" t="n"/>
      <c r="VHH2" s="44" t="n"/>
      <c r="VHI2" s="44" t="n"/>
      <c r="VHJ2" s="44" t="n"/>
      <c r="VHK2" s="44" t="n"/>
      <c r="VHL2" s="44" t="n"/>
      <c r="VHM2" s="44" t="n"/>
      <c r="VHN2" s="44" t="n"/>
      <c r="VHO2" s="44" t="n"/>
      <c r="VHP2" s="44" t="n"/>
      <c r="VHQ2" s="44" t="n"/>
      <c r="VHR2" s="44" t="n"/>
      <c r="VHS2" s="44" t="n"/>
      <c r="VHT2" s="44" t="n"/>
      <c r="VHU2" s="44" t="n"/>
      <c r="VHV2" s="44" t="n"/>
      <c r="VHW2" s="44" t="n"/>
      <c r="VHX2" s="44" t="n"/>
      <c r="VHY2" s="44" t="n"/>
      <c r="VHZ2" s="44" t="n"/>
      <c r="VIA2" s="44" t="n"/>
      <c r="VIB2" s="44" t="n"/>
      <c r="VIC2" s="44" t="n"/>
      <c r="VID2" s="44" t="n"/>
      <c r="VIE2" s="44" t="n"/>
      <c r="VIF2" s="44" t="n"/>
      <c r="VIG2" s="44" t="n"/>
      <c r="VIH2" s="44" t="n"/>
      <c r="VII2" s="44" t="n"/>
      <c r="VIJ2" s="44" t="n"/>
      <c r="VIK2" s="44" t="n"/>
      <c r="VIL2" s="44" t="n"/>
      <c r="VIM2" s="44" t="n"/>
      <c r="VIN2" s="44" t="n"/>
      <c r="VIO2" s="44" t="n"/>
      <c r="VIP2" s="44" t="n"/>
      <c r="VIQ2" s="44" t="n"/>
      <c r="VIR2" s="44" t="n"/>
      <c r="VIS2" s="44" t="n"/>
      <c r="VIT2" s="44" t="n"/>
      <c r="VIU2" s="44" t="n"/>
      <c r="VIV2" s="44" t="n"/>
      <c r="VIW2" s="44" t="n"/>
      <c r="VIX2" s="44" t="n"/>
      <c r="VIY2" s="44" t="n"/>
      <c r="VIZ2" s="44" t="n"/>
      <c r="VJA2" s="44" t="n"/>
      <c r="VJB2" s="44" t="n"/>
      <c r="VJC2" s="44" t="n"/>
      <c r="VJD2" s="44" t="n"/>
      <c r="VJE2" s="44" t="n"/>
      <c r="VJF2" s="44" t="n"/>
      <c r="VJG2" s="44" t="n"/>
      <c r="VJH2" s="44" t="n"/>
      <c r="VJI2" s="44" t="n"/>
      <c r="VJJ2" s="44" t="n"/>
      <c r="VJK2" s="44" t="n"/>
      <c r="VJL2" s="44" t="n"/>
      <c r="VJM2" s="44" t="n"/>
      <c r="VJN2" s="44" t="n"/>
      <c r="VJO2" s="44" t="n"/>
      <c r="VJP2" s="44" t="n"/>
      <c r="VJQ2" s="44" t="n"/>
      <c r="VJR2" s="44" t="n"/>
      <c r="VJS2" s="44" t="n"/>
      <c r="VJT2" s="44" t="n"/>
      <c r="VJU2" s="44" t="n"/>
      <c r="VJV2" s="44" t="n"/>
      <c r="VJW2" s="44" t="n"/>
      <c r="VJX2" s="44" t="n"/>
      <c r="VJY2" s="44" t="n"/>
      <c r="VJZ2" s="44" t="n"/>
      <c r="VKA2" s="44" t="n"/>
      <c r="VKB2" s="44" t="n"/>
      <c r="VKC2" s="44" t="n"/>
      <c r="VKD2" s="44" t="n"/>
      <c r="VKE2" s="44" t="n"/>
      <c r="VKF2" s="44" t="n"/>
      <c r="VKG2" s="44" t="n"/>
      <c r="VKH2" s="44" t="n"/>
      <c r="VKI2" s="44" t="n"/>
      <c r="VKJ2" s="44" t="n"/>
      <c r="VKK2" s="44" t="n"/>
      <c r="VKL2" s="44" t="n"/>
      <c r="VKM2" s="44" t="n"/>
      <c r="VKN2" s="44" t="n"/>
      <c r="VKO2" s="44" t="n"/>
      <c r="VKP2" s="44" t="n"/>
      <c r="VKQ2" s="44" t="n"/>
      <c r="VKR2" s="44" t="n"/>
      <c r="VKS2" s="44" t="n"/>
      <c r="VKT2" s="44" t="n"/>
      <c r="VKU2" s="44" t="n"/>
      <c r="VKV2" s="44" t="n"/>
      <c r="VKW2" s="44" t="n"/>
      <c r="VKX2" s="44" t="n"/>
      <c r="VKY2" s="44" t="n"/>
      <c r="VKZ2" s="44" t="n"/>
      <c r="VLA2" s="44" t="n"/>
      <c r="VLB2" s="44" t="n"/>
      <c r="VLC2" s="44" t="n"/>
      <c r="VLD2" s="44" t="n"/>
      <c r="VLE2" s="44" t="n"/>
      <c r="VLF2" s="44" t="n"/>
      <c r="VLG2" s="44" t="n"/>
      <c r="VLH2" s="44" t="n"/>
      <c r="VLI2" s="44" t="n"/>
      <c r="VLJ2" s="44" t="n"/>
      <c r="VLK2" s="44" t="n"/>
      <c r="VLL2" s="44" t="n"/>
      <c r="VLM2" s="44" t="n"/>
      <c r="VLN2" s="44" t="n"/>
      <c r="VLO2" s="44" t="n"/>
      <c r="VLP2" s="44" t="n"/>
      <c r="VLQ2" s="44" t="n"/>
      <c r="VLR2" s="44" t="n"/>
      <c r="VLS2" s="44" t="n"/>
      <c r="VLT2" s="44" t="n"/>
      <c r="VLU2" s="44" t="n"/>
      <c r="VLV2" s="44" t="n"/>
      <c r="VLW2" s="44" t="n"/>
      <c r="VLX2" s="44" t="n"/>
      <c r="VLY2" s="44" t="n"/>
      <c r="VLZ2" s="44" t="n"/>
      <c r="VMA2" s="44" t="n"/>
      <c r="VMB2" s="44" t="n"/>
      <c r="VMC2" s="44" t="n"/>
      <c r="VMD2" s="44" t="n"/>
      <c r="VME2" s="44" t="n"/>
      <c r="VMF2" s="44" t="n"/>
      <c r="VMG2" s="44" t="n"/>
      <c r="VMH2" s="44" t="n"/>
      <c r="VMI2" s="44" t="n"/>
      <c r="VMJ2" s="44" t="n"/>
      <c r="VMK2" s="44" t="n"/>
      <c r="VML2" s="44" t="n"/>
      <c r="VMM2" s="44" t="n"/>
      <c r="VMN2" s="44" t="n"/>
      <c r="VMO2" s="44" t="n"/>
      <c r="VMP2" s="44" t="n"/>
      <c r="VMQ2" s="44" t="n"/>
      <c r="VMR2" s="44" t="n"/>
      <c r="VMS2" s="44" t="n"/>
      <c r="VMT2" s="44" t="n"/>
      <c r="VMU2" s="44" t="n"/>
      <c r="VMV2" s="44" t="n"/>
      <c r="VMW2" s="44" t="n"/>
      <c r="VMX2" s="44" t="n"/>
      <c r="VMY2" s="44" t="n"/>
      <c r="VMZ2" s="44" t="n"/>
      <c r="VNA2" s="44" t="n"/>
      <c r="VNB2" s="44" t="n"/>
      <c r="VNC2" s="44" t="n"/>
      <c r="VND2" s="44" t="n"/>
      <c r="VNE2" s="44" t="n"/>
      <c r="VNF2" s="44" t="n"/>
      <c r="VNG2" s="44" t="n"/>
      <c r="VNH2" s="44" t="n"/>
      <c r="VNI2" s="44" t="n"/>
      <c r="VNJ2" s="44" t="n"/>
      <c r="VNK2" s="44" t="n"/>
      <c r="VNL2" s="44" t="n"/>
      <c r="VNM2" s="44" t="n"/>
      <c r="VNN2" s="44" t="n"/>
      <c r="VNO2" s="44" t="n"/>
      <c r="VNP2" s="44" t="n"/>
      <c r="VNQ2" s="44" t="n"/>
      <c r="VNR2" s="44" t="n"/>
      <c r="VNS2" s="44" t="n"/>
      <c r="VNT2" s="44" t="n"/>
      <c r="VNU2" s="44" t="n"/>
      <c r="VNV2" s="44" t="n"/>
      <c r="VNW2" s="44" t="n"/>
      <c r="VNX2" s="44" t="n"/>
      <c r="VNY2" s="44" t="n"/>
      <c r="VNZ2" s="44" t="n"/>
      <c r="VOA2" s="44" t="n"/>
      <c r="VOB2" s="44" t="n"/>
      <c r="VOC2" s="44" t="n"/>
      <c r="VOD2" s="44" t="n"/>
      <c r="VOE2" s="44" t="n"/>
      <c r="VOF2" s="44" t="n"/>
      <c r="VOG2" s="44" t="n"/>
      <c r="VOH2" s="44" t="n"/>
      <c r="VOI2" s="44" t="n"/>
      <c r="VOJ2" s="44" t="n"/>
      <c r="VOK2" s="44" t="n"/>
      <c r="VOL2" s="44" t="n"/>
      <c r="VOM2" s="44" t="n"/>
      <c r="VON2" s="44" t="n"/>
      <c r="VOO2" s="44" t="n"/>
      <c r="VOP2" s="44" t="n"/>
      <c r="VOQ2" s="44" t="n"/>
      <c r="VOR2" s="44" t="n"/>
      <c r="VOS2" s="44" t="n"/>
      <c r="VOT2" s="44" t="n"/>
      <c r="VOU2" s="44" t="n"/>
      <c r="VOV2" s="44" t="n"/>
      <c r="VOW2" s="44" t="n"/>
      <c r="VOX2" s="44" t="n"/>
      <c r="VOY2" s="44" t="n"/>
      <c r="VOZ2" s="44" t="n"/>
      <c r="VPA2" s="44" t="n"/>
      <c r="VPB2" s="44" t="n"/>
      <c r="VPC2" s="44" t="n"/>
      <c r="VPD2" s="44" t="n"/>
      <c r="VPE2" s="44" t="n"/>
      <c r="VPF2" s="44" t="n"/>
      <c r="VPG2" s="44" t="n"/>
      <c r="VPH2" s="44" t="n"/>
      <c r="VPI2" s="44" t="n"/>
      <c r="VPJ2" s="44" t="n"/>
      <c r="VPK2" s="44" t="n"/>
      <c r="VPL2" s="44" t="n"/>
      <c r="VPM2" s="44" t="n"/>
      <c r="VPN2" s="44" t="n"/>
      <c r="VPO2" s="44" t="n"/>
      <c r="VPP2" s="44" t="n"/>
      <c r="VPQ2" s="44" t="n"/>
      <c r="VPR2" s="44" t="n"/>
      <c r="VPS2" s="44" t="n"/>
      <c r="VPT2" s="44" t="n"/>
      <c r="VPU2" s="44" t="n"/>
      <c r="VPV2" s="44" t="n"/>
      <c r="VPW2" s="44" t="n"/>
      <c r="VPX2" s="44" t="n"/>
      <c r="VPY2" s="44" t="n"/>
      <c r="VPZ2" s="44" t="n"/>
      <c r="VQA2" s="44" t="n"/>
      <c r="VQB2" s="44" t="n"/>
      <c r="VQC2" s="44" t="n"/>
      <c r="VQD2" s="44" t="n"/>
      <c r="VQE2" s="44" t="n"/>
      <c r="VQF2" s="44" t="n"/>
      <c r="VQG2" s="44" t="n"/>
      <c r="VQH2" s="44" t="n"/>
      <c r="VQI2" s="44" t="n"/>
      <c r="VQJ2" s="44" t="n"/>
      <c r="VQK2" s="44" t="n"/>
      <c r="VQL2" s="44" t="n"/>
      <c r="VQM2" s="44" t="n"/>
      <c r="VQN2" s="44" t="n"/>
      <c r="VQO2" s="44" t="n"/>
      <c r="VQP2" s="44" t="n"/>
      <c r="VQQ2" s="44" t="n"/>
      <c r="VQR2" s="44" t="n"/>
      <c r="VQS2" s="44" t="n"/>
      <c r="VQT2" s="44" t="n"/>
      <c r="VQU2" s="44" t="n"/>
      <c r="VQV2" s="44" t="n"/>
      <c r="VQW2" s="44" t="n"/>
      <c r="VQX2" s="44" t="n"/>
      <c r="VQY2" s="44" t="n"/>
      <c r="VQZ2" s="44" t="n"/>
      <c r="VRA2" s="44" t="n"/>
      <c r="VRB2" s="44" t="n"/>
      <c r="VRC2" s="44" t="n"/>
      <c r="VRD2" s="44" t="n"/>
      <c r="VRE2" s="44" t="n"/>
      <c r="VRF2" s="44" t="n"/>
      <c r="VRG2" s="44" t="n"/>
      <c r="VRH2" s="44" t="n"/>
      <c r="VRI2" s="44" t="n"/>
      <c r="VRJ2" s="44" t="n"/>
      <c r="VRK2" s="44" t="n"/>
      <c r="VRL2" s="44" t="n"/>
      <c r="VRM2" s="44" t="n"/>
      <c r="VRN2" s="44" t="n"/>
      <c r="VRO2" s="44" t="n"/>
      <c r="VRP2" s="44" t="n"/>
      <c r="VRQ2" s="44" t="n"/>
      <c r="VRR2" s="44" t="n"/>
      <c r="VRS2" s="44" t="n"/>
      <c r="VRT2" s="44" t="n"/>
      <c r="VRU2" s="44" t="n"/>
      <c r="VRV2" s="44" t="n"/>
      <c r="VRW2" s="44" t="n"/>
      <c r="VRX2" s="44" t="n"/>
      <c r="VRY2" s="44" t="n"/>
      <c r="VRZ2" s="44" t="n"/>
      <c r="VSA2" s="44" t="n"/>
      <c r="VSB2" s="44" t="n"/>
      <c r="VSC2" s="44" t="n"/>
      <c r="VSD2" s="44" t="n"/>
      <c r="VSE2" s="44" t="n"/>
      <c r="VSF2" s="44" t="n"/>
      <c r="VSG2" s="44" t="n"/>
      <c r="VSH2" s="44" t="n"/>
      <c r="VSI2" s="44" t="n"/>
      <c r="VSJ2" s="44" t="n"/>
      <c r="VSK2" s="44" t="n"/>
      <c r="VSL2" s="44" t="n"/>
      <c r="VSM2" s="44" t="n"/>
      <c r="VSN2" s="44" t="n"/>
      <c r="VSO2" s="44" t="n"/>
      <c r="VSP2" s="44" t="n"/>
      <c r="VSQ2" s="44" t="n"/>
      <c r="VSR2" s="44" t="n"/>
      <c r="VSS2" s="44" t="n"/>
      <c r="VST2" s="44" t="n"/>
      <c r="VSU2" s="44" t="n"/>
      <c r="VSV2" s="44" t="n"/>
      <c r="VSW2" s="44" t="n"/>
      <c r="VSX2" s="44" t="n"/>
      <c r="VSY2" s="44" t="n"/>
      <c r="VSZ2" s="44" t="n"/>
      <c r="VTA2" s="44" t="n"/>
      <c r="VTB2" s="44" t="n"/>
      <c r="VTC2" s="44" t="n"/>
      <c r="VTD2" s="44" t="n"/>
      <c r="VTE2" s="44" t="n"/>
      <c r="VTF2" s="44" t="n"/>
      <c r="VTG2" s="44" t="n"/>
      <c r="VTH2" s="44" t="n"/>
      <c r="VTI2" s="44" t="n"/>
      <c r="VTJ2" s="44" t="n"/>
      <c r="VTK2" s="44" t="n"/>
      <c r="VTL2" s="44" t="n"/>
      <c r="VTM2" s="44" t="n"/>
      <c r="VTN2" s="44" t="n"/>
      <c r="VTO2" s="44" t="n"/>
      <c r="VTP2" s="44" t="n"/>
      <c r="VTQ2" s="44" t="n"/>
      <c r="VTR2" s="44" t="n"/>
      <c r="VTS2" s="44" t="n"/>
      <c r="VTT2" s="44" t="n"/>
      <c r="VTU2" s="44" t="n"/>
      <c r="VTV2" s="44" t="n"/>
      <c r="VTW2" s="44" t="n"/>
      <c r="VTX2" s="44" t="n"/>
      <c r="VTY2" s="44" t="n"/>
      <c r="VTZ2" s="44" t="n"/>
      <c r="VUA2" s="44" t="n"/>
      <c r="VUB2" s="44" t="n"/>
      <c r="VUC2" s="44" t="n"/>
      <c r="VUD2" s="44" t="n"/>
      <c r="VUE2" s="44" t="n"/>
      <c r="VUF2" s="44" t="n"/>
      <c r="VUG2" s="44" t="n"/>
      <c r="VUH2" s="44" t="n"/>
      <c r="VUI2" s="44" t="n"/>
      <c r="VUJ2" s="44" t="n"/>
      <c r="VUK2" s="44" t="n"/>
      <c r="VUL2" s="44" t="n"/>
      <c r="VUM2" s="44" t="n"/>
      <c r="VUN2" s="44" t="n"/>
      <c r="VUO2" s="44" t="n"/>
      <c r="VUP2" s="44" t="n"/>
      <c r="VUQ2" s="44" t="n"/>
      <c r="VUR2" s="44" t="n"/>
      <c r="VUS2" s="44" t="n"/>
      <c r="VUT2" s="44" t="n"/>
      <c r="VUU2" s="44" t="n"/>
      <c r="VUV2" s="44" t="n"/>
      <c r="VUW2" s="44" t="n"/>
      <c r="VUX2" s="44" t="n"/>
      <c r="VUY2" s="44" t="n"/>
      <c r="VUZ2" s="44" t="n"/>
      <c r="VVA2" s="44" t="n"/>
      <c r="VVB2" s="44" t="n"/>
      <c r="VVC2" s="44" t="n"/>
      <c r="VVD2" s="44" t="n"/>
      <c r="VVE2" s="44" t="n"/>
      <c r="VVF2" s="44" t="n"/>
      <c r="VVG2" s="44" t="n"/>
      <c r="VVH2" s="44" t="n"/>
      <c r="VVI2" s="44" t="n"/>
      <c r="VVJ2" s="44" t="n"/>
      <c r="VVK2" s="44" t="n"/>
      <c r="VVL2" s="44" t="n"/>
      <c r="VVM2" s="44" t="n"/>
      <c r="VVN2" s="44" t="n"/>
      <c r="VVO2" s="44" t="n"/>
      <c r="VVP2" s="44" t="n"/>
      <c r="VVQ2" s="44" t="n"/>
      <c r="VVR2" s="44" t="n"/>
      <c r="VVS2" s="44" t="n"/>
      <c r="VVT2" s="44" t="n"/>
      <c r="VVU2" s="44" t="n"/>
      <c r="VVV2" s="44" t="n"/>
      <c r="VVW2" s="44" t="n"/>
      <c r="VVX2" s="44" t="n"/>
      <c r="VVY2" s="44" t="n"/>
      <c r="VVZ2" s="44" t="n"/>
      <c r="VWA2" s="44" t="n"/>
      <c r="VWB2" s="44" t="n"/>
      <c r="VWC2" s="44" t="n"/>
      <c r="VWD2" s="44" t="n"/>
      <c r="VWE2" s="44" t="n"/>
      <c r="VWF2" s="44" t="n"/>
      <c r="VWG2" s="44" t="n"/>
      <c r="VWH2" s="44" t="n"/>
      <c r="VWI2" s="44" t="n"/>
      <c r="VWJ2" s="44" t="n"/>
      <c r="VWK2" s="44" t="n"/>
      <c r="VWL2" s="44" t="n"/>
      <c r="VWM2" s="44" t="n"/>
      <c r="VWN2" s="44" t="n"/>
      <c r="VWO2" s="44" t="n"/>
      <c r="VWP2" s="44" t="n"/>
      <c r="VWQ2" s="44" t="n"/>
      <c r="VWR2" s="44" t="n"/>
      <c r="VWS2" s="44" t="n"/>
      <c r="VWT2" s="44" t="n"/>
      <c r="VWU2" s="44" t="n"/>
      <c r="VWV2" s="44" t="n"/>
      <c r="VWW2" s="44" t="n"/>
      <c r="VWX2" s="44" t="n"/>
      <c r="VWY2" s="44" t="n"/>
      <c r="VWZ2" s="44" t="n"/>
      <c r="VXA2" s="44" t="n"/>
      <c r="VXB2" s="44" t="n"/>
      <c r="VXC2" s="44" t="n"/>
      <c r="VXD2" s="44" t="n"/>
      <c r="VXE2" s="44" t="n"/>
      <c r="VXF2" s="44" t="n"/>
      <c r="VXG2" s="44" t="n"/>
      <c r="VXH2" s="44" t="n"/>
      <c r="VXI2" s="44" t="n"/>
      <c r="VXJ2" s="44" t="n"/>
      <c r="VXK2" s="44" t="n"/>
      <c r="VXL2" s="44" t="n"/>
      <c r="VXM2" s="44" t="n"/>
      <c r="VXN2" s="44" t="n"/>
      <c r="VXO2" s="44" t="n"/>
      <c r="VXP2" s="44" t="n"/>
      <c r="VXQ2" s="44" t="n"/>
      <c r="VXR2" s="44" t="n"/>
      <c r="VXS2" s="44" t="n"/>
      <c r="VXT2" s="44" t="n"/>
      <c r="VXU2" s="44" t="n"/>
      <c r="VXV2" s="44" t="n"/>
      <c r="VXW2" s="44" t="n"/>
      <c r="VXX2" s="44" t="n"/>
      <c r="VXY2" s="44" t="n"/>
      <c r="VXZ2" s="44" t="n"/>
      <c r="VYA2" s="44" t="n"/>
      <c r="VYB2" s="44" t="n"/>
      <c r="VYC2" s="44" t="n"/>
      <c r="VYD2" s="44" t="n"/>
      <c r="VYE2" s="44" t="n"/>
      <c r="VYF2" s="44" t="n"/>
      <c r="VYG2" s="44" t="n"/>
      <c r="VYH2" s="44" t="n"/>
      <c r="VYI2" s="44" t="n"/>
      <c r="VYJ2" s="44" t="n"/>
      <c r="VYK2" s="44" t="n"/>
      <c r="VYL2" s="44" t="n"/>
      <c r="VYM2" s="44" t="n"/>
      <c r="VYN2" s="44" t="n"/>
      <c r="VYO2" s="44" t="n"/>
      <c r="VYP2" s="44" t="n"/>
      <c r="VYQ2" s="44" t="n"/>
      <c r="VYR2" s="44" t="n"/>
      <c r="VYS2" s="44" t="n"/>
      <c r="VYT2" s="44" t="n"/>
      <c r="VYU2" s="44" t="n"/>
      <c r="VYV2" s="44" t="n"/>
      <c r="VYW2" s="44" t="n"/>
      <c r="VYX2" s="44" t="n"/>
      <c r="VYY2" s="44" t="n"/>
      <c r="VYZ2" s="44" t="n"/>
      <c r="VZA2" s="44" t="n"/>
      <c r="VZB2" s="44" t="n"/>
      <c r="VZC2" s="44" t="n"/>
      <c r="VZD2" s="44" t="n"/>
      <c r="VZE2" s="44" t="n"/>
      <c r="VZF2" s="44" t="n"/>
      <c r="VZG2" s="44" t="n"/>
      <c r="VZH2" s="44" t="n"/>
      <c r="VZI2" s="44" t="n"/>
      <c r="VZJ2" s="44" t="n"/>
      <c r="VZK2" s="44" t="n"/>
      <c r="VZL2" s="44" t="n"/>
      <c r="VZM2" s="44" t="n"/>
      <c r="VZN2" s="44" t="n"/>
      <c r="VZO2" s="44" t="n"/>
      <c r="VZP2" s="44" t="n"/>
      <c r="VZQ2" s="44" t="n"/>
      <c r="VZR2" s="44" t="n"/>
      <c r="VZS2" s="44" t="n"/>
      <c r="VZT2" s="44" t="n"/>
      <c r="VZU2" s="44" t="n"/>
      <c r="VZV2" s="44" t="n"/>
      <c r="VZW2" s="44" t="n"/>
      <c r="VZX2" s="44" t="n"/>
      <c r="VZY2" s="44" t="n"/>
      <c r="VZZ2" s="44" t="n"/>
      <c r="WAA2" s="44" t="n"/>
      <c r="WAB2" s="44" t="n"/>
      <c r="WAC2" s="44" t="n"/>
      <c r="WAD2" s="44" t="n"/>
      <c r="WAE2" s="44" t="n"/>
      <c r="WAF2" s="44" t="n"/>
      <c r="WAG2" s="44" t="n"/>
      <c r="WAH2" s="44" t="n"/>
      <c r="WAI2" s="44" t="n"/>
      <c r="WAJ2" s="44" t="n"/>
      <c r="WAK2" s="44" t="n"/>
      <c r="WAL2" s="44" t="n"/>
      <c r="WAM2" s="44" t="n"/>
      <c r="WAN2" s="44" t="n"/>
      <c r="WAO2" s="44" t="n"/>
      <c r="WAP2" s="44" t="n"/>
      <c r="WAQ2" s="44" t="n"/>
      <c r="WAR2" s="44" t="n"/>
      <c r="WAS2" s="44" t="n"/>
      <c r="WAT2" s="44" t="n"/>
      <c r="WAU2" s="44" t="n"/>
      <c r="WAV2" s="44" t="n"/>
      <c r="WAW2" s="44" t="n"/>
      <c r="WAX2" s="44" t="n"/>
      <c r="WAY2" s="44" t="n"/>
      <c r="WAZ2" s="44" t="n"/>
      <c r="WBA2" s="44" t="n"/>
      <c r="WBB2" s="44" t="n"/>
      <c r="WBC2" s="44" t="n"/>
      <c r="WBD2" s="44" t="n"/>
      <c r="WBE2" s="44" t="n"/>
      <c r="WBF2" s="44" t="n"/>
      <c r="WBG2" s="44" t="n"/>
      <c r="WBH2" s="44" t="n"/>
      <c r="WBI2" s="44" t="n"/>
      <c r="WBJ2" s="44" t="n"/>
      <c r="WBK2" s="44" t="n"/>
      <c r="WBL2" s="44" t="n"/>
      <c r="WBM2" s="44" t="n"/>
      <c r="WBN2" s="44" t="n"/>
      <c r="WBO2" s="44" t="n"/>
      <c r="WBP2" s="44" t="n"/>
      <c r="WBQ2" s="44" t="n"/>
      <c r="WBR2" s="44" t="n"/>
      <c r="WBS2" s="44" t="n"/>
      <c r="WBT2" s="44" t="n"/>
      <c r="WBU2" s="44" t="n"/>
      <c r="WBV2" s="44" t="n"/>
      <c r="WBW2" s="44" t="n"/>
      <c r="WBX2" s="44" t="n"/>
      <c r="WBY2" s="44" t="n"/>
      <c r="WBZ2" s="44" t="n"/>
      <c r="WCA2" s="44" t="n"/>
      <c r="WCB2" s="44" t="n"/>
      <c r="WCC2" s="44" t="n"/>
      <c r="WCD2" s="44" t="n"/>
      <c r="WCE2" s="44" t="n"/>
      <c r="WCF2" s="44" t="n"/>
      <c r="WCG2" s="44" t="n"/>
      <c r="WCH2" s="44" t="n"/>
      <c r="WCI2" s="44" t="n"/>
      <c r="WCJ2" s="44" t="n"/>
      <c r="WCK2" s="44" t="n"/>
      <c r="WCL2" s="44" t="n"/>
      <c r="WCM2" s="44" t="n"/>
      <c r="WCN2" s="44" t="n"/>
      <c r="WCO2" s="44" t="n"/>
      <c r="WCP2" s="44" t="n"/>
      <c r="WCQ2" s="44" t="n"/>
      <c r="WCR2" s="44" t="n"/>
      <c r="WCS2" s="44" t="n"/>
      <c r="WCT2" s="44" t="n"/>
      <c r="WCU2" s="44" t="n"/>
      <c r="WCV2" s="44" t="n"/>
      <c r="WCW2" s="44" t="n"/>
      <c r="WCX2" s="44" t="n"/>
      <c r="WCY2" s="44" t="n"/>
      <c r="WCZ2" s="44" t="n"/>
      <c r="WDA2" s="44" t="n"/>
      <c r="WDB2" s="44" t="n"/>
      <c r="WDC2" s="44" t="n"/>
      <c r="WDD2" s="44" t="n"/>
      <c r="WDE2" s="44" t="n"/>
      <c r="WDF2" s="44" t="n"/>
      <c r="WDG2" s="44" t="n"/>
      <c r="WDH2" s="44" t="n"/>
      <c r="WDI2" s="44" t="n"/>
      <c r="WDJ2" s="44" t="n"/>
      <c r="WDK2" s="44" t="n"/>
      <c r="WDL2" s="44" t="n"/>
      <c r="WDM2" s="44" t="n"/>
      <c r="WDN2" s="44" t="n"/>
      <c r="WDO2" s="44" t="n"/>
      <c r="WDP2" s="44" t="n"/>
      <c r="WDQ2" s="44" t="n"/>
      <c r="WDR2" s="44" t="n"/>
      <c r="WDS2" s="44" t="n"/>
      <c r="WDT2" s="44" t="n"/>
      <c r="WDU2" s="44" t="n"/>
      <c r="WDV2" s="44" t="n"/>
      <c r="WDW2" s="44" t="n"/>
      <c r="WDX2" s="44" t="n"/>
      <c r="WDY2" s="44" t="n"/>
      <c r="WDZ2" s="44" t="n"/>
      <c r="WEA2" s="44" t="n"/>
      <c r="WEB2" s="44" t="n"/>
      <c r="WEC2" s="44" t="n"/>
      <c r="WED2" s="44" t="n"/>
      <c r="WEE2" s="44" t="n"/>
      <c r="WEF2" s="44" t="n"/>
      <c r="WEG2" s="44" t="n"/>
      <c r="WEH2" s="44" t="n"/>
      <c r="WEI2" s="44" t="n"/>
      <c r="WEJ2" s="44" t="n"/>
      <c r="WEK2" s="44" t="n"/>
      <c r="WEL2" s="44" t="n"/>
      <c r="WEM2" s="44" t="n"/>
      <c r="WEN2" s="44" t="n"/>
      <c r="WEO2" s="44" t="n"/>
      <c r="WEP2" s="44" t="n"/>
      <c r="WEQ2" s="44" t="n"/>
      <c r="WER2" s="44" t="n"/>
      <c r="WES2" s="44" t="n"/>
      <c r="WET2" s="44" t="n"/>
      <c r="WEU2" s="44" t="n"/>
      <c r="WEV2" s="44" t="n"/>
      <c r="WEW2" s="44" t="n"/>
      <c r="WEX2" s="44" t="n"/>
      <c r="WEY2" s="44" t="n"/>
      <c r="WEZ2" s="44" t="n"/>
      <c r="WFA2" s="44" t="n"/>
      <c r="WFB2" s="44" t="n"/>
      <c r="WFC2" s="44" t="n"/>
      <c r="WFD2" s="44" t="n"/>
      <c r="WFE2" s="44" t="n"/>
      <c r="WFF2" s="44" t="n"/>
      <c r="WFG2" s="44" t="n"/>
      <c r="WFH2" s="44" t="n"/>
      <c r="WFI2" s="44" t="n"/>
      <c r="WFJ2" s="44" t="n"/>
      <c r="WFK2" s="44" t="n"/>
      <c r="WFL2" s="44" t="n"/>
      <c r="WFM2" s="44" t="n"/>
      <c r="WFN2" s="44" t="n"/>
      <c r="WFO2" s="44" t="n"/>
      <c r="WFP2" s="44" t="n"/>
      <c r="WFQ2" s="44" t="n"/>
      <c r="WFR2" s="44" t="n"/>
      <c r="WFS2" s="44" t="n"/>
      <c r="WFT2" s="44" t="n"/>
      <c r="WFU2" s="44" t="n"/>
      <c r="WFV2" s="44" t="n"/>
      <c r="WFW2" s="44" t="n"/>
      <c r="WFX2" s="44" t="n"/>
      <c r="WFY2" s="44" t="n"/>
      <c r="WFZ2" s="44" t="n"/>
      <c r="WGA2" s="44" t="n"/>
      <c r="WGB2" s="44" t="n"/>
      <c r="WGC2" s="44" t="n"/>
      <c r="WGD2" s="44" t="n"/>
      <c r="WGE2" s="44" t="n"/>
      <c r="WGF2" s="44" t="n"/>
      <c r="WGG2" s="44" t="n"/>
      <c r="WGH2" s="44" t="n"/>
      <c r="WGI2" s="44" t="n"/>
      <c r="WGJ2" s="44" t="n"/>
      <c r="WGK2" s="44" t="n"/>
      <c r="WGL2" s="44" t="n"/>
      <c r="WGM2" s="44" t="n"/>
      <c r="WGN2" s="44" t="n"/>
      <c r="WGO2" s="44" t="n"/>
      <c r="WGP2" s="44" t="n"/>
      <c r="WGQ2" s="44" t="n"/>
      <c r="WGR2" s="44" t="n"/>
      <c r="WGS2" s="44" t="n"/>
      <c r="WGT2" s="44" t="n"/>
      <c r="WGU2" s="44" t="n"/>
      <c r="WGV2" s="44" t="n"/>
      <c r="WGW2" s="44" t="n"/>
      <c r="WGX2" s="44" t="n"/>
      <c r="WGY2" s="44" t="n"/>
      <c r="WGZ2" s="44" t="n"/>
      <c r="WHA2" s="44" t="n"/>
      <c r="WHB2" s="44" t="n"/>
      <c r="WHC2" s="44" t="n"/>
      <c r="WHD2" s="44" t="n"/>
      <c r="WHE2" s="44" t="n"/>
      <c r="WHF2" s="44" t="n"/>
      <c r="WHG2" s="44" t="n"/>
      <c r="WHH2" s="44" t="n"/>
      <c r="WHI2" s="44" t="n"/>
      <c r="WHJ2" s="44" t="n"/>
      <c r="WHK2" s="44" t="n"/>
      <c r="WHL2" s="44" t="n"/>
      <c r="WHM2" s="44" t="n"/>
      <c r="WHN2" s="44" t="n"/>
      <c r="WHO2" s="44" t="n"/>
      <c r="WHP2" s="44" t="n"/>
      <c r="WHQ2" s="44" t="n"/>
      <c r="WHR2" s="44" t="n"/>
      <c r="WHS2" s="44" t="n"/>
      <c r="WHT2" s="44" t="n"/>
      <c r="WHU2" s="44" t="n"/>
      <c r="WHV2" s="44" t="n"/>
      <c r="WHW2" s="44" t="n"/>
      <c r="WHX2" s="44" t="n"/>
      <c r="WHY2" s="44" t="n"/>
      <c r="WHZ2" s="44" t="n"/>
      <c r="WIA2" s="44" t="n"/>
      <c r="WIB2" s="44" t="n"/>
      <c r="WIC2" s="44" t="n"/>
      <c r="WID2" s="44" t="n"/>
      <c r="WIE2" s="44" t="n"/>
      <c r="WIF2" s="44" t="n"/>
      <c r="WIG2" s="44" t="n"/>
      <c r="WIH2" s="44" t="n"/>
      <c r="WII2" s="44" t="n"/>
      <c r="WIJ2" s="44" t="n"/>
      <c r="WIK2" s="44" t="n"/>
      <c r="WIL2" s="44" t="n"/>
      <c r="WIM2" s="44" t="n"/>
      <c r="WIN2" s="44" t="n"/>
      <c r="WIO2" s="44" t="n"/>
      <c r="WIP2" s="44" t="n"/>
      <c r="WIQ2" s="44" t="n"/>
      <c r="WIR2" s="44" t="n"/>
      <c r="WIS2" s="44" t="n"/>
      <c r="WIT2" s="44" t="n"/>
      <c r="WIU2" s="44" t="n"/>
      <c r="WIV2" s="44" t="n"/>
      <c r="WIW2" s="44" t="n"/>
      <c r="WIX2" s="44" t="n"/>
      <c r="WIY2" s="44" t="n"/>
      <c r="WIZ2" s="44" t="n"/>
      <c r="WJA2" s="44" t="n"/>
      <c r="WJB2" s="44" t="n"/>
      <c r="WJC2" s="44" t="n"/>
      <c r="WJD2" s="44" t="n"/>
      <c r="WJE2" s="44" t="n"/>
      <c r="WJF2" s="44" t="n"/>
      <c r="WJG2" s="44" t="n"/>
      <c r="WJH2" s="44" t="n"/>
      <c r="WJI2" s="44" t="n"/>
      <c r="WJJ2" s="44" t="n"/>
      <c r="WJK2" s="44" t="n"/>
      <c r="WJL2" s="44" t="n"/>
      <c r="WJM2" s="44" t="n"/>
      <c r="WJN2" s="44" t="n"/>
      <c r="WJO2" s="44" t="n"/>
      <c r="WJP2" s="44" t="n"/>
      <c r="WJQ2" s="44" t="n"/>
      <c r="WJR2" s="44" t="n"/>
      <c r="WJS2" s="44" t="n"/>
      <c r="WJT2" s="44" t="n"/>
      <c r="WJU2" s="44" t="n"/>
      <c r="WJV2" s="44" t="n"/>
      <c r="WJW2" s="44" t="n"/>
      <c r="WJX2" s="44" t="n"/>
      <c r="WJY2" s="44" t="n"/>
      <c r="WJZ2" s="44" t="n"/>
      <c r="WKA2" s="44" t="n"/>
      <c r="WKB2" s="44" t="n"/>
      <c r="WKC2" s="44" t="n"/>
      <c r="WKD2" s="44" t="n"/>
      <c r="WKE2" s="44" t="n"/>
      <c r="WKF2" s="44" t="n"/>
      <c r="WKG2" s="44" t="n"/>
      <c r="WKH2" s="44" t="n"/>
      <c r="WKI2" s="44" t="n"/>
      <c r="WKJ2" s="44" t="n"/>
      <c r="WKK2" s="44" t="n"/>
      <c r="WKL2" s="44" t="n"/>
      <c r="WKM2" s="44" t="n"/>
      <c r="WKN2" s="44" t="n"/>
      <c r="WKO2" s="44" t="n"/>
      <c r="WKP2" s="44" t="n"/>
      <c r="WKQ2" s="44" t="n"/>
      <c r="WKR2" s="44" t="n"/>
      <c r="WKS2" s="44" t="n"/>
      <c r="WKT2" s="44" t="n"/>
      <c r="WKU2" s="44" t="n"/>
      <c r="WKV2" s="44" t="n"/>
      <c r="WKW2" s="44" t="n"/>
      <c r="WKX2" s="44" t="n"/>
      <c r="WKY2" s="44" t="n"/>
      <c r="WKZ2" s="44" t="n"/>
      <c r="WLA2" s="44" t="n"/>
      <c r="WLB2" s="44" t="n"/>
      <c r="WLC2" s="44" t="n"/>
      <c r="WLD2" s="44" t="n"/>
      <c r="WLE2" s="44" t="n"/>
      <c r="WLF2" s="44" t="n"/>
      <c r="WLG2" s="44" t="n"/>
      <c r="WLH2" s="44" t="n"/>
      <c r="WLI2" s="44" t="n"/>
      <c r="WLJ2" s="44" t="n"/>
      <c r="WLK2" s="44" t="n"/>
      <c r="WLL2" s="44" t="n"/>
      <c r="WLM2" s="44" t="n"/>
      <c r="WLN2" s="44" t="n"/>
      <c r="WLO2" s="44" t="n"/>
      <c r="WLP2" s="44" t="n"/>
      <c r="WLQ2" s="44" t="n"/>
      <c r="WLR2" s="44" t="n"/>
      <c r="WLS2" s="44" t="n"/>
      <c r="WLT2" s="44" t="n"/>
      <c r="WLU2" s="44" t="n"/>
      <c r="WLV2" s="44" t="n"/>
      <c r="WLW2" s="44" t="n"/>
      <c r="WLX2" s="44" t="n"/>
      <c r="WLY2" s="44" t="n"/>
      <c r="WLZ2" s="44" t="n"/>
      <c r="WMA2" s="44" t="n"/>
      <c r="WMB2" s="44" t="n"/>
      <c r="WMC2" s="44" t="n"/>
      <c r="WMD2" s="44" t="n"/>
      <c r="WME2" s="44" t="n"/>
      <c r="WMF2" s="44" t="n"/>
      <c r="WMG2" s="44" t="n"/>
      <c r="WMH2" s="44" t="n"/>
      <c r="WMI2" s="44" t="n"/>
      <c r="WMJ2" s="44" t="n"/>
      <c r="WMK2" s="44" t="n"/>
      <c r="WML2" s="44" t="n"/>
      <c r="WMM2" s="44" t="n"/>
      <c r="WMN2" s="44" t="n"/>
      <c r="WMO2" s="44" t="n"/>
      <c r="WMP2" s="44" t="n"/>
      <c r="WMQ2" s="44" t="n"/>
      <c r="WMR2" s="44" t="n"/>
      <c r="WMS2" s="44" t="n"/>
      <c r="WMT2" s="44" t="n"/>
      <c r="WMU2" s="44" t="n"/>
      <c r="WMV2" s="44" t="n"/>
      <c r="WMW2" s="44" t="n"/>
      <c r="WMX2" s="44" t="n"/>
      <c r="WMY2" s="44" t="n"/>
      <c r="WMZ2" s="44" t="n"/>
      <c r="WNA2" s="44" t="n"/>
      <c r="WNB2" s="44" t="n"/>
      <c r="WNC2" s="44" t="n"/>
      <c r="WND2" s="44" t="n"/>
      <c r="WNE2" s="44" t="n"/>
      <c r="WNF2" s="44" t="n"/>
      <c r="WNG2" s="44" t="n"/>
      <c r="WNH2" s="44" t="n"/>
      <c r="WNI2" s="44" t="n"/>
      <c r="WNJ2" s="44" t="n"/>
      <c r="WNK2" s="44" t="n"/>
      <c r="WNL2" s="44" t="n"/>
      <c r="WNM2" s="44" t="n"/>
      <c r="WNN2" s="44" t="n"/>
      <c r="WNO2" s="44" t="n"/>
      <c r="WNP2" s="44" t="n"/>
      <c r="WNQ2" s="44" t="n"/>
      <c r="WNR2" s="44" t="n"/>
      <c r="WNS2" s="44" t="n"/>
      <c r="WNT2" s="44" t="n"/>
      <c r="WNU2" s="44" t="n"/>
      <c r="WNV2" s="44" t="n"/>
      <c r="WNW2" s="44" t="n"/>
      <c r="WNX2" s="44" t="n"/>
      <c r="WNY2" s="44" t="n"/>
      <c r="WNZ2" s="44" t="n"/>
      <c r="WOA2" s="44" t="n"/>
      <c r="WOB2" s="44" t="n"/>
      <c r="WOC2" s="44" t="n"/>
      <c r="WOD2" s="44" t="n"/>
      <c r="WOE2" s="44" t="n"/>
      <c r="WOF2" s="44" t="n"/>
      <c r="WOG2" s="44" t="n"/>
      <c r="WOH2" s="44" t="n"/>
      <c r="WOI2" s="44" t="n"/>
      <c r="WOJ2" s="44" t="n"/>
      <c r="WOK2" s="44" t="n"/>
      <c r="WOL2" s="44" t="n"/>
      <c r="WOM2" s="44" t="n"/>
      <c r="WON2" s="44" t="n"/>
      <c r="WOO2" s="44" t="n"/>
      <c r="WOP2" s="44" t="n"/>
      <c r="WOQ2" s="44" t="n"/>
      <c r="WOR2" s="44" t="n"/>
      <c r="WOS2" s="44" t="n"/>
      <c r="WOT2" s="44" t="n"/>
      <c r="WOU2" s="44" t="n"/>
      <c r="WOV2" s="44" t="n"/>
      <c r="WOW2" s="44" t="n"/>
      <c r="WOX2" s="44" t="n"/>
      <c r="WOY2" s="44" t="n"/>
      <c r="WOZ2" s="44" t="n"/>
      <c r="WPA2" s="44" t="n"/>
      <c r="WPB2" s="44" t="n"/>
      <c r="WPC2" s="44" t="n"/>
      <c r="WPD2" s="44" t="n"/>
      <c r="WPE2" s="44" t="n"/>
      <c r="WPF2" s="44" t="n"/>
      <c r="WPG2" s="44" t="n"/>
      <c r="WPH2" s="44" t="n"/>
      <c r="WPI2" s="44" t="n"/>
      <c r="WPJ2" s="44" t="n"/>
      <c r="WPK2" s="44" t="n"/>
      <c r="WPL2" s="44" t="n"/>
      <c r="WPM2" s="44" t="n"/>
      <c r="WPN2" s="44" t="n"/>
      <c r="WPO2" s="44" t="n"/>
      <c r="WPP2" s="44" t="n"/>
      <c r="WPQ2" s="44" t="n"/>
      <c r="WPR2" s="44" t="n"/>
      <c r="WPS2" s="44" t="n"/>
      <c r="WPT2" s="44" t="n"/>
      <c r="WPU2" s="44" t="n"/>
      <c r="WPV2" s="44" t="n"/>
      <c r="WPW2" s="44" t="n"/>
      <c r="WPX2" s="44" t="n"/>
      <c r="WPY2" s="44" t="n"/>
      <c r="WPZ2" s="44" t="n"/>
      <c r="WQA2" s="44" t="n"/>
      <c r="WQB2" s="44" t="n"/>
      <c r="WQC2" s="44" t="n"/>
      <c r="WQD2" s="44" t="n"/>
      <c r="WQE2" s="44" t="n"/>
      <c r="WQF2" s="44" t="n"/>
      <c r="WQG2" s="44" t="n"/>
      <c r="WQH2" s="44" t="n"/>
      <c r="WQI2" s="44" t="n"/>
      <c r="WQJ2" s="44" t="n"/>
      <c r="WQK2" s="44" t="n"/>
      <c r="WQL2" s="44" t="n"/>
      <c r="WQM2" s="44" t="n"/>
      <c r="WQN2" s="44" t="n"/>
      <c r="WQO2" s="44" t="n"/>
      <c r="WQP2" s="44" t="n"/>
      <c r="WQQ2" s="44" t="n"/>
      <c r="WQR2" s="44" t="n"/>
      <c r="WQS2" s="44" t="n"/>
      <c r="WQT2" s="44" t="n"/>
      <c r="WQU2" s="44" t="n"/>
      <c r="WQV2" s="44" t="n"/>
      <c r="WQW2" s="44" t="n"/>
      <c r="WQX2" s="44" t="n"/>
      <c r="WQY2" s="44" t="n"/>
      <c r="WQZ2" s="44" t="n"/>
      <c r="WRA2" s="44" t="n"/>
      <c r="WRB2" s="44" t="n"/>
      <c r="WRC2" s="44" t="n"/>
      <c r="WRD2" s="44" t="n"/>
      <c r="WRE2" s="44" t="n"/>
      <c r="WRF2" s="44" t="n"/>
      <c r="WRG2" s="44" t="n"/>
      <c r="WRH2" s="44" t="n"/>
      <c r="WRI2" s="44" t="n"/>
      <c r="WRJ2" s="44" t="n"/>
      <c r="WRK2" s="44" t="n"/>
      <c r="WRL2" s="44" t="n"/>
      <c r="WRM2" s="44" t="n"/>
      <c r="WRN2" s="44" t="n"/>
      <c r="WRO2" s="44" t="n"/>
      <c r="WRP2" s="44" t="n"/>
      <c r="WRQ2" s="44" t="n"/>
      <c r="WRR2" s="44" t="n"/>
      <c r="WRS2" s="44" t="n"/>
      <c r="WRT2" s="44" t="n"/>
      <c r="WRU2" s="44" t="n"/>
      <c r="WRV2" s="44" t="n"/>
      <c r="WRW2" s="44" t="n"/>
      <c r="WRX2" s="44" t="n"/>
      <c r="WRY2" s="44" t="n"/>
      <c r="WRZ2" s="44" t="n"/>
      <c r="WSA2" s="44" t="n"/>
      <c r="WSB2" s="44" t="n"/>
      <c r="WSC2" s="44" t="n"/>
      <c r="WSD2" s="44" t="n"/>
      <c r="WSE2" s="44" t="n"/>
      <c r="WSF2" s="44" t="n"/>
      <c r="WSG2" s="44" t="n"/>
      <c r="WSH2" s="44" t="n"/>
      <c r="WSI2" s="44" t="n"/>
      <c r="WSJ2" s="44" t="n"/>
      <c r="WSK2" s="44" t="n"/>
      <c r="WSL2" s="44" t="n"/>
      <c r="WSM2" s="44" t="n"/>
      <c r="WSN2" s="44" t="n"/>
      <c r="WSO2" s="44" t="n"/>
      <c r="WSP2" s="44" t="n"/>
      <c r="WSQ2" s="44" t="n"/>
      <c r="WSR2" s="44" t="n"/>
      <c r="WSS2" s="44" t="n"/>
      <c r="WST2" s="44" t="n"/>
      <c r="WSU2" s="44" t="n"/>
      <c r="WSV2" s="44" t="n"/>
      <c r="WSW2" s="44" t="n"/>
      <c r="WSX2" s="44" t="n"/>
      <c r="WSY2" s="44" t="n"/>
      <c r="WSZ2" s="44" t="n"/>
      <c r="WTA2" s="44" t="n"/>
      <c r="WTB2" s="44" t="n"/>
      <c r="WTC2" s="44" t="n"/>
      <c r="WTD2" s="44" t="n"/>
      <c r="WTE2" s="44" t="n"/>
      <c r="WTF2" s="44" t="n"/>
      <c r="WTG2" s="44" t="n"/>
      <c r="WTH2" s="44" t="n"/>
      <c r="WTI2" s="44" t="n"/>
      <c r="WTJ2" s="44" t="n"/>
      <c r="WTK2" s="44" t="n"/>
      <c r="WTL2" s="44" t="n"/>
      <c r="WTM2" s="44" t="n"/>
      <c r="WTN2" s="44" t="n"/>
      <c r="WTO2" s="44" t="n"/>
      <c r="WTP2" s="44" t="n"/>
      <c r="WTQ2" s="44" t="n"/>
      <c r="WTR2" s="44" t="n"/>
      <c r="WTS2" s="44" t="n"/>
      <c r="WTT2" s="44" t="n"/>
      <c r="WTU2" s="44" t="n"/>
      <c r="WTV2" s="44" t="n"/>
      <c r="WTW2" s="44" t="n"/>
      <c r="WTX2" s="44" t="n"/>
      <c r="WTY2" s="44" t="n"/>
      <c r="WTZ2" s="44" t="n"/>
      <c r="WUA2" s="44" t="n"/>
      <c r="WUB2" s="44" t="n"/>
      <c r="WUC2" s="44" t="n"/>
      <c r="WUD2" s="44" t="n"/>
      <c r="WUE2" s="44" t="n"/>
      <c r="WUF2" s="44" t="n"/>
      <c r="WUG2" s="44" t="n"/>
      <c r="WUH2" s="44" t="n"/>
      <c r="WUI2" s="44" t="n"/>
      <c r="WUJ2" s="44" t="n"/>
      <c r="WUK2" s="44" t="n"/>
      <c r="WUL2" s="44" t="n"/>
      <c r="WUM2" s="44" t="n"/>
      <c r="WUN2" s="44" t="n"/>
      <c r="WUO2" s="44" t="n"/>
      <c r="WUP2" s="44" t="n"/>
      <c r="WUQ2" s="44" t="n"/>
      <c r="WUR2" s="44" t="n"/>
      <c r="WUS2" s="44" t="n"/>
      <c r="WUT2" s="44" t="n"/>
      <c r="WUU2" s="44" t="n"/>
      <c r="WUV2" s="44" t="n"/>
      <c r="WUW2" s="44" t="n"/>
      <c r="WUX2" s="44" t="n"/>
      <c r="WUY2" s="44" t="n"/>
      <c r="WUZ2" s="44" t="n"/>
      <c r="WVA2" s="44" t="n"/>
      <c r="WVB2" s="44" t="n"/>
      <c r="WVC2" s="44" t="n"/>
      <c r="WVD2" s="44" t="n"/>
      <c r="WVE2" s="44" t="n"/>
      <c r="WVF2" s="44" t="n"/>
      <c r="WVG2" s="44" t="n"/>
      <c r="WVH2" s="44" t="n"/>
      <c r="WVI2" s="44" t="n"/>
      <c r="WVJ2" s="44" t="n"/>
      <c r="WVK2" s="44" t="n"/>
      <c r="WVL2" s="44" t="n"/>
      <c r="WVM2" s="44" t="n"/>
      <c r="WVN2" s="44" t="n"/>
      <c r="WVO2" s="44" t="n"/>
      <c r="WVP2" s="44" t="n"/>
      <c r="WVQ2" s="44" t="n"/>
      <c r="WVR2" s="44" t="n"/>
      <c r="WVS2" s="44" t="n"/>
      <c r="WVT2" s="44" t="n"/>
      <c r="WVU2" s="44" t="n"/>
      <c r="WVV2" s="44" t="n"/>
      <c r="WVW2" s="44" t="n"/>
      <c r="WVX2" s="44" t="n"/>
      <c r="WVY2" s="44" t="n"/>
      <c r="WVZ2" s="44" t="n"/>
      <c r="WWA2" s="44" t="n"/>
      <c r="WWB2" s="44" t="n"/>
      <c r="WWC2" s="44" t="n"/>
      <c r="WWD2" s="44" t="n"/>
      <c r="WWE2" s="44" t="n"/>
      <c r="WWF2" s="44" t="n"/>
      <c r="WWG2" s="44" t="n"/>
      <c r="WWH2" s="44" t="n"/>
      <c r="WWI2" s="44" t="n"/>
      <c r="WWJ2" s="44" t="n"/>
      <c r="WWK2" s="44" t="n"/>
      <c r="WWL2" s="44" t="n"/>
      <c r="WWM2" s="44" t="n"/>
      <c r="WWN2" s="44" t="n"/>
      <c r="WWO2" s="44" t="n"/>
      <c r="WWP2" s="44" t="n"/>
      <c r="WWQ2" s="44" t="n"/>
      <c r="WWR2" s="44" t="n"/>
      <c r="WWS2" s="44" t="n"/>
      <c r="WWT2" s="44" t="n"/>
      <c r="WWU2" s="44" t="n"/>
      <c r="WWV2" s="44" t="n"/>
      <c r="WWW2" s="44" t="n"/>
      <c r="WWX2" s="44" t="n"/>
      <c r="WWY2" s="44" t="n"/>
      <c r="WWZ2" s="44" t="n"/>
      <c r="WXA2" s="44" t="n"/>
      <c r="WXB2" s="44" t="n"/>
      <c r="WXC2" s="44" t="n"/>
      <c r="WXD2" s="44" t="n"/>
      <c r="WXE2" s="44" t="n"/>
      <c r="WXF2" s="44" t="n"/>
      <c r="WXG2" s="44" t="n"/>
      <c r="WXH2" s="44" t="n"/>
      <c r="WXI2" s="44" t="n"/>
      <c r="WXJ2" s="44" t="n"/>
      <c r="WXK2" s="44" t="n"/>
      <c r="WXL2" s="44" t="n"/>
      <c r="WXM2" s="44" t="n"/>
      <c r="WXN2" s="44" t="n"/>
      <c r="WXO2" s="44" t="n"/>
      <c r="WXP2" s="44" t="n"/>
      <c r="WXQ2" s="44" t="n"/>
      <c r="WXR2" s="44" t="n"/>
      <c r="WXS2" s="44" t="n"/>
      <c r="WXT2" s="44" t="n"/>
      <c r="WXU2" s="44" t="n"/>
      <c r="WXV2" s="44" t="n"/>
      <c r="WXW2" s="44" t="n"/>
      <c r="WXX2" s="44" t="n"/>
      <c r="WXY2" s="44" t="n"/>
      <c r="WXZ2" s="44" t="n"/>
      <c r="WYA2" s="44" t="n"/>
      <c r="WYB2" s="44" t="n"/>
      <c r="WYC2" s="44" t="n"/>
      <c r="WYD2" s="44" t="n"/>
      <c r="WYE2" s="44" t="n"/>
      <c r="WYF2" s="44" t="n"/>
      <c r="WYG2" s="44" t="n"/>
      <c r="WYH2" s="44" t="n"/>
      <c r="WYI2" s="44" t="n"/>
      <c r="WYJ2" s="44" t="n"/>
      <c r="WYK2" s="44" t="n"/>
      <c r="WYL2" s="44" t="n"/>
      <c r="WYM2" s="44" t="n"/>
      <c r="WYN2" s="44" t="n"/>
      <c r="WYO2" s="44" t="n"/>
      <c r="WYP2" s="44" t="n"/>
      <c r="WYQ2" s="44" t="n"/>
      <c r="WYR2" s="44" t="n"/>
      <c r="WYS2" s="44" t="n"/>
      <c r="WYT2" s="44" t="n"/>
      <c r="WYU2" s="44" t="n"/>
      <c r="WYV2" s="44" t="n"/>
      <c r="WYW2" s="44" t="n"/>
      <c r="WYX2" s="44" t="n"/>
      <c r="WYY2" s="44" t="n"/>
      <c r="WYZ2" s="44" t="n"/>
      <c r="WZA2" s="44" t="n"/>
      <c r="WZB2" s="44" t="n"/>
      <c r="WZC2" s="44" t="n"/>
      <c r="WZD2" s="44" t="n"/>
      <c r="WZE2" s="44" t="n"/>
      <c r="WZF2" s="44" t="n"/>
      <c r="WZG2" s="44" t="n"/>
      <c r="WZH2" s="44" t="n"/>
      <c r="WZI2" s="44" t="n"/>
      <c r="WZJ2" s="44" t="n"/>
      <c r="WZK2" s="44" t="n"/>
      <c r="WZL2" s="44" t="n"/>
      <c r="WZM2" s="44" t="n"/>
      <c r="WZN2" s="44" t="n"/>
      <c r="WZO2" s="44" t="n"/>
      <c r="WZP2" s="44" t="n"/>
      <c r="WZQ2" s="44" t="n"/>
      <c r="WZR2" s="44" t="n"/>
      <c r="WZS2" s="44" t="n"/>
      <c r="WZT2" s="44" t="n"/>
      <c r="WZU2" s="44" t="n"/>
      <c r="WZV2" s="44" t="n"/>
      <c r="WZW2" s="44" t="n"/>
      <c r="WZX2" s="44" t="n"/>
      <c r="WZY2" s="44" t="n"/>
      <c r="WZZ2" s="44" t="n"/>
      <c r="XAA2" s="44" t="n"/>
      <c r="XAB2" s="44" t="n"/>
      <c r="XAC2" s="44" t="n"/>
      <c r="XAD2" s="44" t="n"/>
      <c r="XAE2" s="44" t="n"/>
      <c r="XAF2" s="44" t="n"/>
      <c r="XAG2" s="44" t="n"/>
      <c r="XAH2" s="44" t="n"/>
      <c r="XAI2" s="44" t="n"/>
      <c r="XAJ2" s="44" t="n"/>
      <c r="XAK2" s="44" t="n"/>
      <c r="XAL2" s="44" t="n"/>
      <c r="XAM2" s="44" t="n"/>
      <c r="XAN2" s="44" t="n"/>
      <c r="XAO2" s="44" t="n"/>
      <c r="XAP2" s="44" t="n"/>
      <c r="XAQ2" s="44" t="n"/>
      <c r="XAR2" s="44" t="n"/>
      <c r="XAS2" s="44" t="n"/>
      <c r="XAT2" s="44" t="n"/>
      <c r="XAU2" s="44" t="n"/>
      <c r="XAV2" s="44" t="n"/>
      <c r="XAW2" s="44" t="n"/>
      <c r="XAX2" s="44" t="n"/>
      <c r="XAY2" s="44" t="n"/>
      <c r="XAZ2" s="44" t="n"/>
      <c r="XBA2" s="44" t="n"/>
      <c r="XBB2" s="44" t="n"/>
      <c r="XBC2" s="44" t="n"/>
      <c r="XBD2" s="44" t="n"/>
      <c r="XBE2" s="44" t="n"/>
      <c r="XBF2" s="44" t="n"/>
      <c r="XBG2" s="44" t="n"/>
      <c r="XBH2" s="44" t="n"/>
      <c r="XBI2" s="44" t="n"/>
      <c r="XBJ2" s="44" t="n"/>
      <c r="XBK2" s="44" t="n"/>
      <c r="XBL2" s="44" t="n"/>
      <c r="XBM2" s="44" t="n"/>
      <c r="XBN2" s="44" t="n"/>
      <c r="XBO2" s="44" t="n"/>
      <c r="XBP2" s="44" t="n"/>
      <c r="XBQ2" s="44" t="n"/>
      <c r="XBR2" s="44" t="n"/>
      <c r="XBS2" s="44" t="n"/>
      <c r="XBT2" s="44" t="n"/>
      <c r="XBU2" s="44" t="n"/>
      <c r="XBV2" s="44" t="n"/>
      <c r="XBW2" s="44" t="n"/>
      <c r="XBX2" s="44" t="n"/>
      <c r="XBY2" s="44" t="n"/>
      <c r="XBZ2" s="44" t="n"/>
      <c r="XCA2" s="44" t="n"/>
      <c r="XCB2" s="44" t="n"/>
      <c r="XCC2" s="44" t="n"/>
      <c r="XCD2" s="44" t="n"/>
      <c r="XCE2" s="44" t="n"/>
      <c r="XCF2" s="44" t="n"/>
      <c r="XCG2" s="44" t="n"/>
      <c r="XCH2" s="44" t="n"/>
      <c r="XCI2" s="44" t="n"/>
      <c r="XCJ2" s="44" t="n"/>
      <c r="XCK2" s="44" t="n"/>
      <c r="XCL2" s="44" t="n"/>
      <c r="XCM2" s="44" t="n"/>
      <c r="XCN2" s="44" t="n"/>
      <c r="XCO2" s="44" t="n"/>
      <c r="XCP2" s="44" t="n"/>
      <c r="XCQ2" s="44" t="n"/>
      <c r="XCR2" s="44" t="n"/>
      <c r="XCS2" s="44" t="n"/>
      <c r="XCT2" s="44" t="n"/>
      <c r="XCU2" s="44" t="n"/>
      <c r="XCV2" s="44" t="n"/>
      <c r="XCW2" s="44" t="n"/>
      <c r="XCX2" s="44" t="n"/>
      <c r="XCY2" s="44" t="n"/>
      <c r="XCZ2" s="44" t="n"/>
      <c r="XDA2" s="44" t="n"/>
      <c r="XDB2" s="44" t="n"/>
      <c r="XDC2" s="44" t="n"/>
      <c r="XDD2" s="44" t="n"/>
      <c r="XDE2" s="44" t="n"/>
      <c r="XDF2" s="44" t="n"/>
      <c r="XDG2" s="44" t="n"/>
      <c r="XDH2" s="44" t="n"/>
      <c r="XDI2" s="44" t="n"/>
      <c r="XDJ2" s="44" t="n"/>
      <c r="XDK2" s="44" t="n"/>
      <c r="XDL2" s="44" t="n"/>
      <c r="XDM2" s="44" t="n"/>
      <c r="XDN2" s="44" t="n"/>
      <c r="XDO2" s="44" t="n"/>
      <c r="XDP2" s="44" t="n"/>
      <c r="XDQ2" s="44" t="n"/>
      <c r="XDR2" s="44" t="n"/>
      <c r="XDS2" s="44" t="n"/>
      <c r="XDT2" s="44" t="n"/>
      <c r="XDU2" s="44" t="n"/>
      <c r="XDV2" s="44" t="n"/>
      <c r="XDW2" s="44" t="n"/>
      <c r="XDX2" s="44" t="n"/>
      <c r="XDY2" s="44" t="n"/>
      <c r="XDZ2" s="44" t="n"/>
      <c r="XEA2" s="44" t="n"/>
      <c r="XEB2" s="44" t="n"/>
      <c r="XEC2" s="44" t="n"/>
      <c r="XED2" s="44" t="n"/>
      <c r="XEE2" s="44" t="n"/>
      <c r="XEF2" s="44" t="n"/>
      <c r="XEG2" s="44" t="n"/>
      <c r="XEH2" s="44" t="n"/>
      <c r="XEI2" s="44" t="n"/>
      <c r="XEJ2" s="44" t="n"/>
      <c r="XEK2" s="44" t="n"/>
      <c r="XEL2" s="44" t="n"/>
      <c r="XEM2" s="44" t="n"/>
      <c r="XEN2" s="44" t="n"/>
      <c r="XEO2" s="44" t="n"/>
      <c r="XEP2" s="44" t="n"/>
      <c r="XEQ2" s="44" t="n"/>
      <c r="XER2" s="44" t="n"/>
      <c r="XES2" s="44" t="n"/>
      <c r="XET2" s="44" t="n"/>
      <c r="XEU2" s="44" t="n"/>
      <c r="XEV2" s="44" t="n"/>
      <c r="XEW2" s="44" t="n"/>
      <c r="XEX2" s="44" t="n"/>
      <c r="XEY2" s="44" t="n"/>
      <c r="XEZ2" s="44" t="n"/>
    </row>
    <row r="3" ht="105" customHeight="1" s="1">
      <c r="B3" s="47" t="n">
        <v>1</v>
      </c>
      <c r="C3" s="48" t="inlineStr">
        <is>
          <t>核心层时序应用管理系统平台开发</t>
        </is>
      </c>
      <c r="D3" s="49" t="inlineStr">
        <is>
          <t>提供500个数据节点的微服务架构平台底座，含异步消息+依赖注入容器+分布式调度(优先级/回退/排队)、200+ REST API统一网关路由、分布式节点统一管理；多协议接入层：A11专有协议、Modbus RTU/TCP、OPC UA/DA、IEC104、MQTT、HTTP等协议统一接入适配；TDengine时序+PostgreSQL关系型+SQLite边缘缓存三级混合存储及数据生命周期管理；MQTT/HTTP双协议消息中间件，QoS 0/1/2分级+Topic ACL权限控制；定制化流式计算引擎含15种内置算法+定制注册；分布式告警引擎及分级通知(四级：Critical/Error/Warning/Info)；可视化组态与仪表盘(拖拽式编排、模板库、版本管理)；一体化运维驾驶舱(设备监控/告警/资产/GIS地图/拖拽式仪表板)；全链路安全审计平台含国密SM2/3/4加密及信创适配</t>
        </is>
      </c>
      <c r="E3" s="18" t="n">
        <v>35</v>
      </c>
      <c r="F3" s="18" t="n">
        <v>1</v>
      </c>
      <c r="G3" s="18" t="n">
        <v>160</v>
      </c>
      <c r="H3" s="18" t="n">
        <v>20</v>
      </c>
      <c r="I3" s="18" t="n">
        <v>55</v>
      </c>
      <c r="J3" s="18" t="n">
        <v>1317</v>
      </c>
      <c r="K3" s="18" t="n">
        <v>1295.82</v>
      </c>
      <c r="L3" s="52" t="n">
        <v>285</v>
      </c>
    </row>
    <row r="4" ht="75.75" customHeight="1" s="1">
      <c r="B4" s="47" t="n">
        <v>2</v>
      </c>
      <c r="C4" s="48" t="inlineStr">
        <is>
          <t>边缘智能体系统平台开发</t>
        </is>
      </c>
      <c r="D4" s="51" t="inlineStr">
        <is>
          <t>承载500万数据节点的并发处理能力，多作业区时序数据核心管理平台。含服务治理与配置中心、多协议解析引擎含A11专有协议与10+工业协议、混合存储引擎与数据生命周期管理、消息中间件与边云同步通道含百万级测点高并发中枢、定制化流式计算引擎含15种内置算法与定制注册、流式告警规则引擎与通知管理、可视化规则编排、一体化运维管控与可视化控制台、全链路安全与审计追溯平台。</t>
        </is>
      </c>
      <c r="E4" s="18" t="n">
        <v>14</v>
      </c>
      <c r="F4" s="18" t="n">
        <v>1</v>
      </c>
      <c r="G4" s="18" t="n">
        <v>60</v>
      </c>
      <c r="H4" s="18" t="n">
        <v>10</v>
      </c>
      <c r="I4" s="18" t="n">
        <v>20</v>
      </c>
      <c r="J4" s="18" t="n">
        <v>517</v>
      </c>
      <c r="K4" s="18" t="n">
        <v>463.77</v>
      </c>
      <c r="L4" s="52" t="n">
        <v>102</v>
      </c>
    </row>
    <row r="5" ht="60.75" customHeight="1" s="1">
      <c r="B5" s="47" t="n">
        <v>3</v>
      </c>
      <c r="C5" s="48" t="inlineStr">
        <is>
          <t>边缘层数据采集及历史数据模块开发</t>
        </is>
      </c>
      <c r="D5" s="51" t="inlineStr">
        <is>
          <t>边缘侧系统开发，配合中心侧在作业区现场环境的边缘承载，采集策略多样化引擎的边缘汇聚层。含边缘-中心消息通道与边云同步、边缘分级存储部署与策略实施、边缘运维监控面板部署、设备统一动态感知含静态IP与移动网关、边缘安全合规配置与加密部署、边缘流式计算节点部署含入库前流式计算架构、历史回放与规则动态优化、告警分级与闭环管理。</t>
        </is>
      </c>
      <c r="E5" s="18" t="n">
        <v>9</v>
      </c>
      <c r="F5" s="18" t="n">
        <v>1</v>
      </c>
      <c r="G5" s="18" t="n">
        <v>35</v>
      </c>
      <c r="H5" s="18" t="n">
        <v>6</v>
      </c>
      <c r="I5" s="18" t="n">
        <v>12</v>
      </c>
      <c r="J5" s="18" t="n">
        <v>315</v>
      </c>
      <c r="K5" s="18" t="n">
        <v>272.81</v>
      </c>
      <c r="L5" s="52" t="n">
        <v>60</v>
      </c>
    </row>
    <row r="6" ht="60.75" customHeight="1" s="1">
      <c r="B6" s="47" t="n">
        <v>4</v>
      </c>
      <c r="C6" s="48" t="inlineStr">
        <is>
          <t>采集策略多样化定制</t>
        </is>
      </c>
      <c r="D6" s="51" t="inlineStr">
        <is>
          <t>边缘端数据采集与计算的标准化功能组件采集执行层引擎。含边缘采集模块含多协议统一采集管道与三阶段渐进接入、作业区适配层含配置驱动、设备动态感知含Modbus TCP/RTU统一感知与流量学习、路由监听分析模块含静态客户端采集与动态桥接转发、历史计算模块含多粒度聚合与回放报告、稳定性保障与容错验证。</t>
        </is>
      </c>
      <c r="E6" s="18" t="n">
        <v>13</v>
      </c>
      <c r="F6" s="18" t="n">
        <v>1</v>
      </c>
      <c r="G6" s="18" t="n">
        <v>55</v>
      </c>
      <c r="H6" s="18" t="n">
        <v>7</v>
      </c>
      <c r="I6" s="18" t="n">
        <v>18</v>
      </c>
      <c r="J6" s="18" t="n">
        <v>464</v>
      </c>
      <c r="K6" s="18" t="n">
        <v>354.65</v>
      </c>
      <c r="L6" s="52" t="n">
        <v>78</v>
      </c>
    </row>
    <row r="7" ht="45" customHeight="1" s="1">
      <c r="B7" s="47" t="n">
        <v>5</v>
      </c>
      <c r="C7" s="48" t="inlineStr">
        <is>
          <t>定制化流水计算与物模型定制</t>
        </is>
      </c>
      <c r="D7" s="51" t="inlineStr">
        <is>
          <t>双路采集分流+三阶段渐进+动态调频+网关适配+断网补传。含网关厂家适配10家、现场多协议接入汇聚配置、设备动态感知与识别、智能动态调频含异常加密秒级与低峰降频弱网退避、断网缓存与补传、RTU状态感知与健康日报、非标协议接入含A11未覆盖设备源统一适配。</t>
        </is>
      </c>
      <c r="E7" s="18" t="n">
        <v>15</v>
      </c>
      <c r="F7" s="18" t="n">
        <v>1</v>
      </c>
      <c r="G7" s="18" t="n">
        <v>62</v>
      </c>
      <c r="H7" s="18" t="n">
        <v>8</v>
      </c>
      <c r="I7" s="18" t="n">
        <v>22</v>
      </c>
      <c r="J7" s="18" t="n">
        <v>533</v>
      </c>
      <c r="K7" s="18" t="n">
        <v>431.94</v>
      </c>
      <c r="L7" s="52" t="n">
        <v>95</v>
      </c>
    </row>
    <row r="8" ht="75.75" customHeight="1" s="1">
      <c r="B8" s="47" t="n">
        <v>6</v>
      </c>
      <c r="C8" s="48" t="inlineStr">
        <is>
          <t>算法定制验证与现场联调</t>
        </is>
      </c>
      <c r="D8" s="51" t="inlineStr">
        <is>
          <t>定制化流式计算引擎：15种内置算法+作业区定制算法+入库前流式计算+物模型驱动+逐井差异化调优。含作业区适配层配置驱动、A11桥接与IO业务系统适配含路由监听分析与协议解析、OPC DA直采三级回退、路由监听含静态客户端采集与动态桥接转发、物模型匹配与自动配点含G1-G8油水井物模型64点地址对齐、协议开发对接工程、多作业区体检台账含批量巡检与横向对比。</t>
        </is>
      </c>
      <c r="E8" s="18" t="n">
        <v>6</v>
      </c>
      <c r="F8" s="18" t="n">
        <v>0</v>
      </c>
      <c r="G8" s="18" t="n">
        <v>22</v>
      </c>
      <c r="H8" s="18" t="n">
        <v>4</v>
      </c>
      <c r="I8" s="18" t="n">
        <v>6</v>
      </c>
      <c r="J8" s="18" t="n">
        <v>192</v>
      </c>
      <c r="K8" s="18" t="n">
        <v>122.76</v>
      </c>
      <c r="L8" s="52" t="n">
        <v>27</v>
      </c>
    </row>
    <row r="9" ht="45.75" customHeight="1" s="1">
      <c r="B9" s="47" t="n">
        <v>7</v>
      </c>
      <c r="C9" s="48" t="inlineStr">
        <is>
          <t>全链路压测与信创全栈验证</t>
        </is>
      </c>
      <c r="D9" s="51" t="inlineStr">
        <is>
          <t>流式计算引擎的作业区级部署、配置与验证，定制化流式计算的现场落地。含作业区定制流式计算按场景定制开发每作业区≥1种定制算法、边缘节点运行时环境部署、现场告警判定与通知策略配置、边缘现场集成测试与文档交付。</t>
        </is>
      </c>
      <c r="E9" s="18" t="n">
        <v>9</v>
      </c>
      <c r="F9" s="18" t="n">
        <v>0</v>
      </c>
      <c r="G9" s="18" t="n">
        <v>35</v>
      </c>
      <c r="H9" s="18" t="n">
        <v>5</v>
      </c>
      <c r="I9" s="18" t="n">
        <v>10</v>
      </c>
      <c r="J9" s="18" t="n">
        <v>295</v>
      </c>
      <c r="K9" s="18" t="n">
        <v>218.43</v>
      </c>
      <c r="L9" s="52" t="n">
        <v>48.04</v>
      </c>
    </row>
    <row r="10" ht="45.75" customHeight="1" s="1">
      <c r="B10" s="47" t="n">
        <v>8</v>
      </c>
      <c r="C10" s="48" t="inlineStr">
        <is>
          <t>现场实施、文档及培训</t>
        </is>
      </c>
      <c r="D10" s="51" t="inlineStr">
        <is>
          <t>跨板块的项目级质量保证。含单元/集成/系统测试、全链路压测验证含全油田16厂·100+作业区全部接入与260万+点位持续推送与15天长稳、规模化灌数验证含百万级测点MQTT聚合、信创全栈适配含麒麟/UOS+飞腾/鲲鹏+达梦/金仓。</t>
        </is>
      </c>
      <c r="E10" s="18" t="n">
        <v>6</v>
      </c>
      <c r="F10" s="18" t="n">
        <v>0</v>
      </c>
      <c r="G10" s="18" t="n">
        <v>20</v>
      </c>
      <c r="H10" s="18" t="n">
        <v>3</v>
      </c>
      <c r="I10" s="18" t="n">
        <v>5</v>
      </c>
      <c r="J10" s="18" t="n">
        <v>175</v>
      </c>
      <c r="K10" s="18" t="n">
        <v>136.4</v>
      </c>
      <c r="L10" s="52" t="n">
        <v>30</v>
      </c>
    </row>
    <row r="11" ht="33" customHeight="1" s="1">
      <c r="B11" s="47" t="inlineStr">
        <is>
          <t>合计</t>
        </is>
      </c>
      <c r="C11" s="48" t="n"/>
      <c r="D11" s="51" t="inlineStr">
        <is>
          <t>项目整体交付。含整体部署实施与A11桥接验证及OPC联调验收、文档交付含需求规格/概要设计/详细设计/测试报告/用户手册/运维手册、培训含跟学共建与源码讲解及独立运维考核。</t>
        </is>
      </c>
      <c r="E11" s="18" t="n">
        <v>107</v>
      </c>
      <c r="F11" s="18" t="n">
        <v>5</v>
      </c>
      <c r="G11" s="18" t="n">
        <v>449</v>
      </c>
      <c r="H11" s="18" t="n">
        <v>63</v>
      </c>
      <c r="I11" s="18" t="n">
        <v>148</v>
      </c>
      <c r="J11" s="18" t="n">
        <v>3808</v>
      </c>
      <c r="K11" s="18" t="n">
        <v>3296.58</v>
      </c>
      <c r="L11" s="52" t="n">
        <v>725.04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topLeftCell="A8" zoomScale="80" zoomScaleNormal="80" workbookViewId="0">
      <selection activeCell="B25" sqref="B25"/>
    </sheetView>
  </sheetViews>
  <sheetFormatPr baseColWidth="8" defaultColWidth="8.891891891891889" defaultRowHeight="14.1"/>
  <cols>
    <col width="23.1531531531532" customWidth="1" style="1" min="2" max="2"/>
    <col width="17.8918918918919" customWidth="1" style="1" min="3" max="9"/>
    <col width="9.684684684684679" customWidth="1" style="1" min="10" max="10"/>
    <col width="17.8918918918919" customWidth="1" style="1" min="11" max="12"/>
    <col width="41.036036036036" customWidth="1" style="1" min="13" max="13"/>
    <col width="17.8918918918919" customWidth="1" style="1" min="14" max="14"/>
  </cols>
  <sheetData>
    <row r="1"/>
    <row r="2" ht="22.5" customHeight="1" s="1">
      <c r="B2" s="19" t="inlineStr">
        <is>
          <t>技术服务费用估算</t>
        </is>
      </c>
      <c r="C2" s="8" t="n"/>
      <c r="D2" s="8" t="n"/>
      <c r="E2" s="8" t="n"/>
      <c r="F2" s="8" t="n"/>
      <c r="G2" s="6" t="n"/>
      <c r="I2" s="20" t="inlineStr">
        <is>
          <t>测算因子取值表</t>
        </is>
      </c>
    </row>
    <row r="3" ht="22.5" customHeight="1" s="1">
      <c r="B3" s="21" t="inlineStr">
        <is>
          <t>项目名称：时序数据采集与应用管理系统</t>
        </is>
      </c>
      <c r="C3" s="8" t="n"/>
      <c r="D3" s="8" t="n"/>
      <c r="E3" s="8" t="n"/>
      <c r="F3" s="8" t="n"/>
      <c r="G3" s="6" t="n"/>
      <c r="I3" s="22" t="inlineStr">
        <is>
          <t>序号</t>
        </is>
      </c>
      <c r="J3" s="23" t="inlineStr">
        <is>
          <t>类型</t>
        </is>
      </c>
      <c r="K3" s="8" t="n"/>
      <c r="L3" s="8" t="n"/>
      <c r="M3" s="6" t="n"/>
      <c r="N3" s="22" t="inlineStr">
        <is>
          <t>因子取值</t>
        </is>
      </c>
    </row>
    <row r="4" ht="20" customHeight="1" s="1">
      <c r="B4" s="24" t="inlineStr">
        <is>
          <t>服务点计数</t>
        </is>
      </c>
      <c r="C4" s="8" t="n"/>
      <c r="D4" s="8" t="n"/>
      <c r="E4" s="8" t="n"/>
      <c r="F4" s="8" t="n"/>
      <c r="G4" s="6" t="n"/>
      <c r="I4" s="25" t="n">
        <v>1</v>
      </c>
      <c r="J4" s="26" t="inlineStr">
        <is>
          <t>规模调整</t>
        </is>
      </c>
      <c r="K4" s="25" t="inlineStr">
        <is>
          <t>规模变更因子</t>
        </is>
      </c>
      <c r="L4" s="25" t="inlineStr">
        <is>
          <t>规模变更因子</t>
        </is>
      </c>
      <c r="M4" s="26" t="inlineStr">
        <is>
          <t>项目中期</t>
        </is>
      </c>
      <c r="N4" s="25" t="n">
        <v>1.21</v>
      </c>
    </row>
    <row r="5" ht="38" customHeight="1" s="1">
      <c r="B5" s="24" t="inlineStr">
        <is>
          <t>服务点计数项（个）</t>
        </is>
      </c>
      <c r="C5" s="24" t="inlineStr">
        <is>
          <t>内部逻辑文件</t>
        </is>
      </c>
      <c r="D5" s="24" t="inlineStr">
        <is>
          <t>外部接口文件</t>
        </is>
      </c>
      <c r="E5" s="24" t="inlineStr">
        <is>
          <t>外部输入</t>
        </is>
      </c>
      <c r="F5" s="24" t="inlineStr">
        <is>
          <t>外部输出</t>
        </is>
      </c>
      <c r="G5" s="24" t="inlineStr">
        <is>
          <t>外部查询</t>
        </is>
      </c>
      <c r="I5" s="25" t="n">
        <v>2</v>
      </c>
      <c r="J5" s="27" t="n"/>
      <c r="K5" s="26" t="inlineStr">
        <is>
          <t>非服务性特征调整因子</t>
        </is>
      </c>
      <c r="L5" s="26" t="inlineStr">
        <is>
          <t>分布式处理</t>
        </is>
      </c>
      <c r="M5" s="26" t="inlineStr">
        <is>
          <t>在多个服务器及处理器上同时相互执行计算机系统中的处理服务</t>
        </is>
      </c>
      <c r="N5" s="25" t="n">
        <v>1</v>
      </c>
    </row>
    <row r="6" ht="57" customHeight="1" s="1">
      <c r="B6" s="27" t="n"/>
      <c r="C6" s="24" t="inlineStr">
        <is>
          <t>（ILF）</t>
        </is>
      </c>
      <c r="D6" s="24" t="inlineStr">
        <is>
          <t>（EIF）</t>
        </is>
      </c>
      <c r="E6" s="24" t="inlineStr">
        <is>
          <t>（EI）</t>
        </is>
      </c>
      <c r="F6" s="24" t="inlineStr">
        <is>
          <t>（EO）</t>
        </is>
      </c>
      <c r="G6" s="24" t="inlineStr">
        <is>
          <t>（EQ）</t>
        </is>
      </c>
      <c r="I6" s="25" t="n">
        <v>3</v>
      </c>
      <c r="J6" s="27" t="n"/>
      <c r="K6" s="27" t="n"/>
      <c r="L6" s="25" t="inlineStr">
        <is>
          <t>性能</t>
        </is>
      </c>
      <c r="M6" s="26" t="inlineStr">
        <is>
          <t>应答时间或处理率对高峰时间或所有业务时间都很重要，对连动系统结束处理时间有限制</t>
        </is>
      </c>
      <c r="N6" s="25" t="n">
        <v>0</v>
      </c>
    </row>
    <row r="7" ht="38" customHeight="1" s="1">
      <c r="B7" s="28" t="n"/>
      <c r="C7" s="29" t="n">
        <v>107</v>
      </c>
      <c r="D7" s="29" t="n">
        <v>5</v>
      </c>
      <c r="E7" s="29" t="n">
        <v>449</v>
      </c>
      <c r="F7" s="29" t="n">
        <v>63</v>
      </c>
      <c r="G7" s="29" t="n">
        <v>148</v>
      </c>
      <c r="I7" s="25" t="n">
        <v>4</v>
      </c>
      <c r="J7" s="27" t="n"/>
      <c r="K7" s="27" t="n"/>
      <c r="L7" s="25" t="inlineStr">
        <is>
          <t>可靠性</t>
        </is>
      </c>
      <c r="M7" s="26" t="inlineStr">
        <is>
          <t>发生故障时可轻易修复，带来一定不便或经济损失</t>
        </is>
      </c>
      <c r="N7" s="25" t="n">
        <v>0</v>
      </c>
    </row>
    <row r="8" ht="38" customHeight="1" s="1">
      <c r="B8" s="53" t="inlineStr">
        <is>
          <t>未调整服务点数（服务点）</t>
        </is>
      </c>
      <c r="C8" s="54" t="inlineStr">
        <is>
          <t>估算结果</t>
        </is>
      </c>
      <c r="D8" s="6" t="n"/>
      <c r="E8" s="54" t="inlineStr">
        <is>
          <t>计算公式</t>
        </is>
      </c>
      <c r="F8" s="8" t="n"/>
      <c r="G8" s="6" t="n"/>
      <c r="I8" s="25" t="n">
        <v>5</v>
      </c>
      <c r="J8" s="27" t="n"/>
      <c r="K8" s="27" t="n"/>
      <c r="L8" s="26" t="inlineStr">
        <is>
          <t>多重站点</t>
        </is>
      </c>
      <c r="M8" s="26" t="inlineStr">
        <is>
          <t>在用途类似的硬件或软件环境下运行</t>
        </is>
      </c>
      <c r="N8" s="25" t="n">
        <v>0</v>
      </c>
    </row>
    <row r="9" ht="40" customHeight="1" s="1">
      <c r="B9" s="28" t="n"/>
      <c r="C9" s="55" t="n">
        <v>3808</v>
      </c>
      <c r="D9" s="6" t="n"/>
      <c r="E9" s="56" t="inlineStr">
        <is>
          <t>估算服务点法：10×ILF+7×EIF+4×EI+5×EO+4×EQ</t>
        </is>
      </c>
      <c r="F9" s="8" t="n"/>
      <c r="G9" s="6" t="n"/>
      <c r="I9" s="25" t="n">
        <v>6</v>
      </c>
      <c r="J9" s="28" t="n"/>
      <c r="K9" s="28" t="n"/>
      <c r="L9" s="25" t="inlineStr">
        <is>
          <t>小计</t>
        </is>
      </c>
      <c r="M9" s="26" t="inlineStr">
        <is>
          <t>（分布式处理因子 + 性能因子 + 可靠性因子 + 多重站点因子）×0.025 + 1</t>
        </is>
      </c>
      <c r="N9" s="25" t="n">
        <v>1.025</v>
      </c>
    </row>
    <row r="10" ht="57" customHeight="1" s="1">
      <c r="B10" s="53" t="inlineStr">
        <is>
          <t>修改类型和复用程度调整</t>
        </is>
      </c>
      <c r="C10" s="8" t="n"/>
      <c r="D10" s="8" t="n"/>
      <c r="E10" s="8" t="n"/>
      <c r="F10" s="8" t="n"/>
      <c r="G10" s="6" t="n"/>
      <c r="I10" s="25" t="n">
        <v>7</v>
      </c>
      <c r="J10" s="26" t="inlineStr">
        <is>
          <t>开发服务点单价（元/服务点）</t>
        </is>
      </c>
      <c r="K10" s="8" t="n"/>
      <c r="L10" s="6" t="n"/>
      <c r="M10" s="26" t="inlineStr">
        <is>
          <t>开发服务点单价上限值为 2348 元/服务点（含税价），按照上限值的 75.53%计取</t>
        </is>
      </c>
      <c r="N10" s="57" t="n">
        <v>1773.33</v>
      </c>
    </row>
    <row r="11" ht="38" customHeight="1" s="1">
      <c r="B11" s="53" t="inlineStr">
        <is>
          <t>未调整软件规模（服务点）</t>
        </is>
      </c>
      <c r="C11" s="54" t="inlineStr">
        <is>
          <t>估算结果</t>
        </is>
      </c>
      <c r="D11" s="6" t="n"/>
      <c r="E11" s="54" t="inlineStr">
        <is>
          <t>计算公式</t>
        </is>
      </c>
      <c r="F11" s="8" t="n"/>
      <c r="G11" s="6" t="n"/>
      <c r="I11" s="25" t="n">
        <v>8</v>
      </c>
      <c r="J11" s="26" t="inlineStr">
        <is>
          <t>业务类型调整因子</t>
        </is>
      </c>
      <c r="K11" s="8" t="n"/>
      <c r="L11" s="6" t="n"/>
      <c r="M11" s="26" t="inlineStr">
        <is>
          <t>生产运行I类（跨业务领域系统，如智能运营中心等）</t>
        </is>
      </c>
      <c r="N11" s="57" t="n">
        <v>1</v>
      </c>
    </row>
    <row r="12" ht="37" customHeight="1" s="1">
      <c r="B12" s="28" t="n"/>
      <c r="C12" s="58" t="n">
        <v>3296.58</v>
      </c>
      <c r="D12" s="6" t="n"/>
      <c r="E12" s="56" t="inlineStr">
        <is>
          <t>未调整服务点数×修改类型调整因子×复用程度调整因子</t>
        </is>
      </c>
      <c r="F12" s="8" t="n"/>
      <c r="G12" s="6" t="n"/>
    </row>
    <row r="13" ht="20" customHeight="1" s="1">
      <c r="B13" s="53" t="inlineStr">
        <is>
          <t>规模调整</t>
        </is>
      </c>
      <c r="C13" s="8" t="n"/>
      <c r="D13" s="8" t="n"/>
      <c r="E13" s="8" t="n"/>
      <c r="F13" s="8" t="n"/>
      <c r="G13" s="6" t="n"/>
    </row>
    <row r="14" ht="20" customHeight="1" s="1">
      <c r="B14" s="59" t="inlineStr">
        <is>
          <t>规模变更因子</t>
        </is>
      </c>
      <c r="C14" s="60" t="n">
        <v>1.21</v>
      </c>
      <c r="D14" s="6" t="n"/>
      <c r="E14" s="61" t="inlineStr">
        <is>
          <t>根据规模估算阶段取值</t>
        </is>
      </c>
      <c r="F14" s="8" t="n"/>
      <c r="G14" s="6" t="n"/>
    </row>
    <row r="15" ht="40" customHeight="1" s="1">
      <c r="B15" s="59" t="inlineStr">
        <is>
          <t>非服务性特征调整因子</t>
        </is>
      </c>
      <c r="C15" s="62" t="n">
        <v>1.025</v>
      </c>
      <c r="D15" s="6" t="n"/>
      <c r="E15" s="56" t="inlineStr">
        <is>
          <t>根据质量特性取值</t>
        </is>
      </c>
      <c r="F15" s="8" t="n"/>
      <c r="G15" s="6" t="n"/>
    </row>
    <row r="16" ht="20" customHeight="1" s="1">
      <c r="B16" s="53" t="inlineStr">
        <is>
          <t>软件规模（服务点）</t>
        </is>
      </c>
      <c r="C16" s="54" t="inlineStr">
        <is>
          <t>估算结果</t>
        </is>
      </c>
      <c r="D16" s="6" t="n"/>
      <c r="E16" s="54" t="inlineStr">
        <is>
          <t>计算公式</t>
        </is>
      </c>
      <c r="F16" s="8" t="n"/>
      <c r="G16" s="6" t="n"/>
    </row>
    <row r="17" ht="38" customHeight="1" s="1">
      <c r="B17" s="28" t="n"/>
      <c r="C17" s="57" t="n">
        <v>4088.58</v>
      </c>
      <c r="D17" s="6" t="n"/>
      <c r="E17" s="56" t="inlineStr">
        <is>
          <t>未调整软件规模×规模变更因子×非服务性特征调整因子</t>
        </is>
      </c>
      <c r="F17" s="8" t="n"/>
      <c r="G17" s="6" t="n"/>
    </row>
    <row r="18" ht="20" customHeight="1" s="1">
      <c r="B18" s="53" t="inlineStr">
        <is>
          <t>费用估算</t>
        </is>
      </c>
      <c r="C18" s="8" t="n"/>
      <c r="D18" s="8" t="n"/>
      <c r="E18" s="8" t="n"/>
      <c r="F18" s="8" t="n"/>
      <c r="G18" s="6" t="n"/>
    </row>
    <row r="19" ht="60" customHeight="1" s="1">
      <c r="B19" s="63" t="inlineStr">
        <is>
          <t>服务点单价
（元/服务点）</t>
        </is>
      </c>
      <c r="C19" s="60" t="n">
        <v>1773.33</v>
      </c>
      <c r="D19" s="6" t="n"/>
      <c r="E19" s="61" t="inlineStr">
        <is>
          <t>开发服务点单价</t>
        </is>
      </c>
      <c r="F19" s="8" t="n"/>
      <c r="G19" s="6" t="n"/>
      <c r="I19" s="41" t="n"/>
    </row>
    <row r="20" ht="40" customHeight="1" s="1">
      <c r="B20" s="63" t="inlineStr">
        <is>
          <t>业务类型调整因子</t>
        </is>
      </c>
      <c r="C20" s="60" t="n">
        <v>1</v>
      </c>
      <c r="D20" s="6" t="n"/>
      <c r="E20" s="56" t="inlineStr">
        <is>
          <t>根据业务类型取值</t>
        </is>
      </c>
      <c r="F20" s="8" t="n"/>
      <c r="G20" s="6" t="n"/>
    </row>
    <row r="21" ht="20" customHeight="1" s="1">
      <c r="B21" s="54" t="inlineStr">
        <is>
          <t>技术服务费用
（万元）</t>
        </is>
      </c>
      <c r="C21" s="54" t="inlineStr">
        <is>
          <t>估算结果</t>
        </is>
      </c>
      <c r="D21" s="6" t="n"/>
      <c r="E21" s="54" t="inlineStr">
        <is>
          <t>计算公式</t>
        </is>
      </c>
      <c r="F21" s="8" t="n"/>
      <c r="G21" s="6" t="n"/>
    </row>
    <row r="22" ht="38" customHeight="1" s="1">
      <c r="B22" s="28" t="n"/>
      <c r="C22" s="57" t="n">
        <v>725.04</v>
      </c>
      <c r="D22" s="6" t="n"/>
      <c r="E22" s="56" t="inlineStr">
        <is>
          <t>软件规模×开发服务点单价×业务类型调整因子/10000</t>
        </is>
      </c>
      <c r="F22" s="8" t="n"/>
      <c r="G22" s="6" t="n"/>
      <c r="H22" s="0" t="n">
        <v>725.04</v>
      </c>
      <c r="I22" s="0">
        <f>H22/C19/C15/C14</f>
        <v/>
      </c>
      <c r="J22" s="64" t="n">
        <v>3296.58</v>
      </c>
    </row>
  </sheetData>
  <mergeCells count="41">
    <mergeCell ref="B2:G2"/>
    <mergeCell ref="E19:G19"/>
    <mergeCell ref="C15:D15"/>
    <mergeCell ref="J3:M3"/>
    <mergeCell ref="C14:D14"/>
    <mergeCell ref="E9:G9"/>
    <mergeCell ref="B8:B9"/>
    <mergeCell ref="B11:B12"/>
    <mergeCell ref="B13:G13"/>
    <mergeCell ref="E15:G15"/>
    <mergeCell ref="B5:B7"/>
    <mergeCell ref="J11:L11"/>
    <mergeCell ref="C20:D20"/>
    <mergeCell ref="B10:G10"/>
    <mergeCell ref="E11:G11"/>
    <mergeCell ref="C16:D16"/>
    <mergeCell ref="C22:D22"/>
    <mergeCell ref="C9:D9"/>
    <mergeCell ref="E16:G16"/>
    <mergeCell ref="C12:D12"/>
    <mergeCell ref="K5:K9"/>
    <mergeCell ref="C21:D21"/>
    <mergeCell ref="E22:G22"/>
    <mergeCell ref="J4:J9"/>
    <mergeCell ref="C11:D11"/>
    <mergeCell ref="B4:G4"/>
    <mergeCell ref="E12:G12"/>
    <mergeCell ref="E21:G21"/>
    <mergeCell ref="C17:D17"/>
    <mergeCell ref="C8:D8"/>
    <mergeCell ref="B3:G3"/>
    <mergeCell ref="J10:L10"/>
    <mergeCell ref="E14:G14"/>
    <mergeCell ref="I2:N2"/>
    <mergeCell ref="E8:G8"/>
    <mergeCell ref="C19:D19"/>
    <mergeCell ref="E17:G17"/>
    <mergeCell ref="B18:G18"/>
    <mergeCell ref="B16:B17"/>
    <mergeCell ref="B21:B22"/>
    <mergeCell ref="E20:G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47"/>
  <sheetViews>
    <sheetView zoomScale="85" zoomScaleNormal="85" workbookViewId="0">
      <pane ySplit="5" topLeftCell="A6" activePane="bottomLeft" state="frozen"/>
      <selection activeCell="A1" sqref="A1"/>
      <selection pane="bottomLeft" activeCell="C18" sqref="C18"/>
    </sheetView>
  </sheetViews>
  <sheetFormatPr baseColWidth="8" defaultColWidth="8.891891891891889" defaultRowHeight="18.4"/>
  <cols>
    <col width="37.3423423423423" customWidth="1" style="1" min="3" max="3"/>
    <col width="27.4414414414414" customWidth="1" style="1" min="4" max="4"/>
    <col width="19.3693693693694" customWidth="1" style="1" min="5" max="5"/>
    <col width="27.3873873873874" customWidth="1" style="1" min="6" max="6"/>
    <col width="61.7297297297297" customWidth="1" style="2" min="7" max="7"/>
    <col width="12.4594594594595" customWidth="1" style="3" min="8" max="8"/>
    <col width="8.891891891891889" customWidth="1" style="3" min="9" max="9"/>
    <col width="8.891891891891889" customWidth="1" style="1" min="11" max="11"/>
    <col width="13.5945945945946" customWidth="1" style="1" min="12" max="12"/>
    <col width="8.891891891891889" customWidth="1" style="1" min="13" max="13"/>
    <col width="12.8918918918919" customWidth="1" style="1" min="14" max="14"/>
    <col width="11.5045045045045" customWidth="1" style="1" min="15" max="15"/>
    <col width="9.36936936936937" customWidth="1" style="1" min="16" max="16"/>
  </cols>
  <sheetData>
    <row r="1" ht="27.5" customHeight="1" s="1">
      <c r="B1" s="4" t="inlineStr">
        <is>
          <t>时序数据采集与应用管理系统项目费用测算</t>
        </is>
      </c>
    </row>
    <row r="2" ht="20" customHeight="1" s="1">
      <c r="B2" s="5" t="inlineStr">
        <is>
          <t>规模估算方法</t>
        </is>
      </c>
      <c r="C2" s="6" t="n"/>
      <c r="D2" s="7" t="inlineStr">
        <is>
          <t>估算功能点</t>
        </is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6" t="n"/>
    </row>
    <row r="3" ht="20" customHeight="1" s="1">
      <c r="B3" s="5" t="inlineStr">
        <is>
          <t>未调整功能点数合计</t>
        </is>
      </c>
      <c r="C3" s="6" t="n"/>
      <c r="D3" s="65" t="n">
        <v>3808</v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6" t="n"/>
      <c r="P3" s="0">
        <f>P4-D4</f>
        <v/>
      </c>
      <c r="S3" s="0">
        <f>D4-S4</f>
        <v/>
      </c>
    </row>
    <row r="4" ht="20" customHeight="1" s="1">
      <c r="B4" s="5" t="inlineStr">
        <is>
          <t>未调整软件规模合计</t>
        </is>
      </c>
      <c r="C4" s="6" t="n"/>
      <c r="D4" s="7" t="n">
        <v>3296.58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6" t="n"/>
      <c r="P4" s="64" t="n">
        <v>3296.57</v>
      </c>
      <c r="Q4" s="0" t="n">
        <v>3296.56</v>
      </c>
      <c r="R4" s="0" t="n">
        <v>3296.58</v>
      </c>
      <c r="S4" s="0" t="n">
        <v>3296.59</v>
      </c>
    </row>
    <row r="5" ht="40" customHeight="1" s="1">
      <c r="B5" s="11" t="inlineStr">
        <is>
          <t>编号</t>
        </is>
      </c>
      <c r="C5" s="11" t="inlineStr">
        <is>
          <t>一级模块</t>
        </is>
      </c>
      <c r="D5" s="11" t="inlineStr">
        <is>
          <t>二级模块</t>
        </is>
      </c>
      <c r="E5" s="11" t="inlineStr">
        <is>
          <t>三级模块</t>
        </is>
      </c>
      <c r="F5" s="11" t="inlineStr">
        <is>
          <t>功能项</t>
        </is>
      </c>
      <c r="G5" s="11" t="inlineStr">
        <is>
          <t>功能项描述</t>
        </is>
      </c>
      <c r="H5" s="11" t="inlineStr">
        <is>
          <t>类别</t>
        </is>
      </c>
      <c r="I5" s="11" t="inlineStr">
        <is>
          <t>UFP</t>
        </is>
      </c>
      <c r="J5" s="11" t="inlineStr">
        <is>
          <t>重用程度</t>
        </is>
      </c>
      <c r="K5" s="12" t="n"/>
      <c r="L5" s="11" t="inlineStr">
        <is>
          <t>修改类型</t>
        </is>
      </c>
      <c r="M5" s="12" t="n"/>
      <c r="N5" s="11" t="inlineStr">
        <is>
          <t>US</t>
        </is>
      </c>
      <c r="O5" s="11" t="inlineStr">
        <is>
          <t>备注</t>
        </is>
      </c>
    </row>
    <row r="6" ht="19" customHeight="1" s="1">
      <c r="B6" s="13" t="n">
        <v>1</v>
      </c>
      <c r="C6" s="13" t="inlineStr">
        <is>
          <t>核心层时序应用管理系统平台开发</t>
        </is>
      </c>
      <c r="D6" s="13" t="inlineStr">
        <is>
          <t>全局参数管理</t>
        </is>
      </c>
      <c r="E6" s="13" t="inlineStr">
        <is>
          <t>采集频率参数管理</t>
        </is>
      </c>
      <c r="F6" s="13" t="inlineStr">
        <is>
          <t>作业区频率差异化</t>
        </is>
      </c>
      <c r="G6" s="14" t="inlineStr">
        <is>
          <t xml:space="preserve"> 提供按作业区粒度差异化配置采集频率的技术服务</t>
        </is>
      </c>
      <c r="H6" s="15" t="inlineStr">
        <is>
          <t>ILF</t>
        </is>
      </c>
      <c r="I6" s="15">
        <f>IF(H6="ILF",10,IF(H6="EIF",7,IF(H6="EI",4,IF(H6="EO",5,IF(H6="EQ",4,"")))))</f>
        <v/>
      </c>
      <c r="J6" s="15" t="inlineStr">
        <is>
          <t>低</t>
        </is>
      </c>
      <c r="K6" s="15">
        <f>IF(J6="高",0.33,IF(J6="中",0.67,IF(J6="低",1,"")))</f>
        <v/>
      </c>
      <c r="L6" s="15" t="inlineStr">
        <is>
          <t>新增</t>
        </is>
      </c>
      <c r="M6" s="15">
        <f>IF(L6="新增",1,IF(L6="修改",0.8,IF(L6="删除",0.2,"")))</f>
        <v/>
      </c>
      <c r="N6" s="15">
        <f>I6*K6*M6</f>
        <v/>
      </c>
    </row>
    <row r="7" ht="19" customHeight="1" s="1">
      <c r="B7" s="16" t="n">
        <v>2</v>
      </c>
      <c r="C7" s="16" t="inlineStr">
        <is>
          <t>核心层时序应用管理系统平台开发</t>
        </is>
      </c>
      <c r="D7" s="16" t="inlineStr">
        <is>
          <t>全局参数管理</t>
        </is>
      </c>
      <c r="E7" s="16" t="inlineStr">
        <is>
          <t>采集频率参数管理</t>
        </is>
      </c>
      <c r="F7" s="16" t="inlineStr">
        <is>
          <t>异常加密调整</t>
        </is>
      </c>
      <c r="G7" s="17" t="inlineStr">
        <is>
          <t xml:space="preserve"> 提供异常工况下采集频率从10分钟自动加密至秒级的技术服务</t>
        </is>
      </c>
      <c r="H7" s="18" t="inlineStr">
        <is>
          <t>ILF</t>
        </is>
      </c>
      <c r="I7" s="18">
        <f>IF(H7="ILF",10,IF(H7="EIF",7,IF(H7="EI",4,IF(H7="EO",5,IF(H7="EQ",4,"")))))</f>
        <v/>
      </c>
      <c r="J7" s="18" t="inlineStr">
        <is>
          <t>低</t>
        </is>
      </c>
      <c r="K7" s="18">
        <f>IF(J7="高",0.33,IF(J7="中",0.67,IF(J7="低",1,"")))</f>
        <v/>
      </c>
      <c r="L7" s="18" t="inlineStr">
        <is>
          <t>新增</t>
        </is>
      </c>
      <c r="M7" s="18">
        <f>IF(L7="新增",1,IF(L7="修改",0.8,IF(L7="删除",0.2,"")))</f>
        <v/>
      </c>
      <c r="N7" s="18">
        <f>I7*K7*M7</f>
        <v/>
      </c>
    </row>
    <row r="8" ht="19" customHeight="1" s="1">
      <c r="B8" s="16" t="n">
        <v>3</v>
      </c>
      <c r="C8" s="16" t="inlineStr">
        <is>
          <t>核心层时序应用管理系统平台开发</t>
        </is>
      </c>
      <c r="D8" s="16" t="inlineStr">
        <is>
          <t>全局参数管理</t>
        </is>
      </c>
      <c r="E8" s="16" t="inlineStr">
        <is>
          <t>采集频率参数管理</t>
        </is>
      </c>
      <c r="F8" s="16" t="inlineStr">
        <is>
          <t>低峰降频调整</t>
        </is>
      </c>
      <c r="G8" s="17" t="inlineStr">
        <is>
          <t xml:space="preserve"> 提供夜间低产时段采集频率自动降频的技术服务</t>
        </is>
      </c>
      <c r="H8" s="18" t="inlineStr">
        <is>
          <t>ILF</t>
        </is>
      </c>
      <c r="I8" s="18">
        <f>IF(H8="ILF",10,IF(H8="EIF",7,IF(H8="EI",4,IF(H8="EO",5,IF(H8="EQ",4,"")))))</f>
        <v/>
      </c>
      <c r="J8" s="18" t="inlineStr">
        <is>
          <t>低</t>
        </is>
      </c>
      <c r="K8" s="18">
        <f>IF(J8="高",0.33,IF(J8="中",0.67,IF(J8="低",1,"")))</f>
        <v/>
      </c>
      <c r="L8" s="18" t="inlineStr">
        <is>
          <t>新增</t>
        </is>
      </c>
      <c r="M8" s="18">
        <f>IF(L8="新增",1,IF(L8="修改",0.8,IF(L8="删除",0.2,"")))</f>
        <v/>
      </c>
      <c r="N8" s="18">
        <f>I8*K8*M8</f>
        <v/>
      </c>
    </row>
    <row r="9" ht="19" customHeight="1" s="1">
      <c r="B9" s="16" t="n">
        <v>4</v>
      </c>
      <c r="C9" s="16" t="inlineStr">
        <is>
          <t>核心层时序应用管理系统平台开发</t>
        </is>
      </c>
      <c r="D9" s="16" t="inlineStr">
        <is>
          <t>全局参数管理</t>
        </is>
      </c>
      <c r="E9" s="16" t="inlineStr">
        <is>
          <t>采集频率参数管理</t>
        </is>
      </c>
      <c r="F9" s="16" t="inlineStr">
        <is>
          <t>弱网退避调整</t>
        </is>
      </c>
      <c r="G9" s="17" t="inlineStr">
        <is>
          <t xml:space="preserve"> 提供弱网环境下采集频率按丢包率倍频退避的技术服务</t>
        </is>
      </c>
      <c r="H9" s="18" t="inlineStr">
        <is>
          <t>ILF</t>
        </is>
      </c>
      <c r="I9" s="18">
        <f>IF(H9="ILF",10,IF(H9="EIF",7,IF(H9="EI",4,IF(H9="EO",5,IF(H9="EQ",4,"")))))</f>
        <v/>
      </c>
      <c r="J9" s="18" t="inlineStr">
        <is>
          <t>低</t>
        </is>
      </c>
      <c r="K9" s="18">
        <f>IF(J9="高",0.33,IF(J9="中",0.67,IF(J9="低",1,"")))</f>
        <v/>
      </c>
      <c r="L9" s="18" t="inlineStr">
        <is>
          <t>新增</t>
        </is>
      </c>
      <c r="M9" s="18">
        <f>IF(L9="新增",1,IF(L9="修改",0.8,IF(L9="删除",0.2,"")))</f>
        <v/>
      </c>
      <c r="N9" s="18">
        <f>I9*K9*M9</f>
        <v/>
      </c>
    </row>
    <row r="10" ht="19" customHeight="1" s="1">
      <c r="B10" s="16" t="n">
        <v>5</v>
      </c>
      <c r="C10" s="16" t="inlineStr">
        <is>
          <t>核心层时序应用管理系统平台开发</t>
        </is>
      </c>
      <c r="D10" s="16" t="inlineStr">
        <is>
          <t>全局参数管理</t>
        </is>
      </c>
      <c r="E10" s="16" t="inlineStr">
        <is>
          <t>采集频率参数管理</t>
        </is>
      </c>
      <c r="F10" s="16" t="inlineStr">
        <is>
          <t>频率热加载</t>
        </is>
      </c>
      <c r="G10" s="17" t="inlineStr">
        <is>
          <t xml:space="preserve"> 提供采集频率参数变更后即时热加载生效的技术服务</t>
        </is>
      </c>
      <c r="H10" s="18" t="inlineStr">
        <is>
          <t>ILF</t>
        </is>
      </c>
      <c r="I10" s="18">
        <f>IF(H10="ILF",10,IF(H10="EIF",7,IF(H10="EI",4,IF(H10="EO",5,IF(H10="EQ",4,"")))))</f>
        <v/>
      </c>
      <c r="J10" s="18" t="inlineStr">
        <is>
          <t>低</t>
        </is>
      </c>
      <c r="K10" s="18">
        <f>IF(J10="高",0.33,IF(J10="中",0.67,IF(J10="低",1,"")))</f>
        <v/>
      </c>
      <c r="L10" s="18" t="inlineStr">
        <is>
          <t>新增</t>
        </is>
      </c>
      <c r="M10" s="18">
        <f>IF(L10="新增",1,IF(L10="修改",0.8,IF(L10="删除",0.2,"")))</f>
        <v/>
      </c>
      <c r="N10" s="18">
        <f>I10*K10*M10</f>
        <v/>
      </c>
    </row>
    <row r="11" ht="19" customHeight="1" s="1">
      <c r="B11" s="16" t="n">
        <v>6</v>
      </c>
      <c r="C11" s="16" t="inlineStr">
        <is>
          <t>核心层时序应用管理系统平台开发</t>
        </is>
      </c>
      <c r="D11" s="16" t="inlineStr">
        <is>
          <t>全局参数管理</t>
        </is>
      </c>
      <c r="E11" s="16" t="inlineStr">
        <is>
          <t>采集频率参数管理</t>
        </is>
      </c>
      <c r="F11" s="16" t="inlineStr">
        <is>
          <t>频率版本回滚</t>
        </is>
      </c>
      <c r="G11" s="17" t="inlineStr">
        <is>
          <t xml:space="preserve"> 提供采集频率参数版本回滚操作的技术服务</t>
        </is>
      </c>
      <c r="H11" s="18" t="inlineStr">
        <is>
          <t>ILF</t>
        </is>
      </c>
      <c r="I11" s="18">
        <f>IF(H11="ILF",10,IF(H11="EIF",7,IF(H11="EI",4,IF(H11="EO",5,IF(H11="EQ",4,"")))))</f>
        <v/>
      </c>
      <c r="J11" s="18" t="inlineStr">
        <is>
          <t>低</t>
        </is>
      </c>
      <c r="K11" s="18">
        <f>IF(J11="高",0.33,IF(J11="中",0.67,IF(J11="低",1,"")))</f>
        <v/>
      </c>
      <c r="L11" s="18" t="inlineStr">
        <is>
          <t>新增</t>
        </is>
      </c>
      <c r="M11" s="18">
        <f>IF(L11="新增",1,IF(L11="修改",0.8,IF(L11="删除",0.2,"")))</f>
        <v/>
      </c>
      <c r="N11" s="18">
        <f>I11*K11*M11</f>
        <v/>
      </c>
    </row>
    <row r="12" ht="19" customHeight="1" s="1">
      <c r="B12" s="16" t="n">
        <v>7</v>
      </c>
      <c r="C12" s="16" t="inlineStr">
        <is>
          <t>核心层时序应用管理系统平台开发</t>
        </is>
      </c>
      <c r="D12" s="16" t="inlineStr">
        <is>
          <t>全局参数管理</t>
        </is>
      </c>
      <c r="E12" s="16" t="inlineStr">
        <is>
          <t>采集频率参数管理</t>
        </is>
      </c>
      <c r="F12" s="16" t="inlineStr">
        <is>
          <t>频率变更审计</t>
        </is>
      </c>
      <c r="G12" s="17" t="inlineStr">
        <is>
          <t xml:space="preserve"> 提供采集频率参数变更的审计追踪技术服务</t>
        </is>
      </c>
      <c r="H12" s="18" t="inlineStr">
        <is>
          <t>ILF</t>
        </is>
      </c>
      <c r="I12" s="18">
        <f>IF(H12="ILF",10,IF(H12="EIF",7,IF(H12="EI",4,IF(H12="EO",5,IF(H12="EQ",4,"")))))</f>
        <v/>
      </c>
      <c r="J12" s="18" t="inlineStr">
        <is>
          <t>中</t>
        </is>
      </c>
      <c r="K12" s="18">
        <f>IF(J12="高",0.33,IF(J12="中",0.67,IF(J12="低",1,"")))</f>
        <v/>
      </c>
      <c r="L12" s="18" t="inlineStr">
        <is>
          <t>新增</t>
        </is>
      </c>
      <c r="M12" s="18">
        <f>IF(L12="新增",1,IF(L12="修改",0.8,IF(L12="删除",0.2,"")))</f>
        <v/>
      </c>
      <c r="N12" s="18">
        <f>I12*K12*M12</f>
        <v/>
      </c>
    </row>
    <row r="13" ht="19" customHeight="1" s="1">
      <c r="B13" s="16" t="n">
        <v>8</v>
      </c>
      <c r="C13" s="16" t="inlineStr">
        <is>
          <t>核心层时序应用管理系统平台开发</t>
        </is>
      </c>
      <c r="D13" s="16" t="inlineStr">
        <is>
          <t>全局参数管理</t>
        </is>
      </c>
      <c r="E13" s="16" t="inlineStr">
        <is>
          <t>采集频率参数管理</t>
        </is>
      </c>
      <c r="F13" s="16" t="inlineStr">
        <is>
          <t>频率配置导出</t>
        </is>
      </c>
      <c r="G13" s="17" t="inlineStr">
        <is>
          <t xml:space="preserve"> 提供采集频率配置批量导出Excel的技术服务</t>
        </is>
      </c>
      <c r="H13" s="18" t="inlineStr">
        <is>
          <t>ILF</t>
        </is>
      </c>
      <c r="I13" s="18">
        <f>IF(H13="ILF",10,IF(H13="EIF",7,IF(H13="EI",4,IF(H13="EO",5,IF(H13="EQ",4,"")))))</f>
        <v/>
      </c>
      <c r="J13" s="18" t="inlineStr">
        <is>
          <t>中</t>
        </is>
      </c>
      <c r="K13" s="18">
        <f>IF(J13="高",0.33,IF(J13="中",0.67,IF(J13="低",1,"")))</f>
        <v/>
      </c>
      <c r="L13" s="18" t="inlineStr">
        <is>
          <t>新增</t>
        </is>
      </c>
      <c r="M13" s="18">
        <f>IF(L13="新增",1,IF(L13="修改",0.8,IF(L13="删除",0.2,"")))</f>
        <v/>
      </c>
      <c r="N13" s="18">
        <f>I13*K13*M13</f>
        <v/>
      </c>
    </row>
    <row r="14" ht="19" customHeight="1" s="1">
      <c r="B14" s="16" t="n">
        <v>9</v>
      </c>
      <c r="C14" s="16" t="inlineStr">
        <is>
          <t>核心层时序应用管理系统平台开发</t>
        </is>
      </c>
      <c r="D14" s="16" t="inlineStr">
        <is>
          <t>全局参数管理</t>
        </is>
      </c>
      <c r="E14" s="16" t="inlineStr">
        <is>
          <t>采集频率参数管理</t>
        </is>
      </c>
      <c r="F14" s="16" t="inlineStr">
        <is>
          <t>频率配置导入</t>
        </is>
      </c>
      <c r="G14" s="17" t="inlineStr">
        <is>
          <t xml:space="preserve"> 提供采集频率配置批量导入的技术服务</t>
        </is>
      </c>
      <c r="H14" s="18" t="inlineStr">
        <is>
          <t>ILF</t>
        </is>
      </c>
      <c r="I14" s="18">
        <f>IF(H14="ILF",10,IF(H14="EIF",7,IF(H14="EI",4,IF(H14="EO",5,IF(H14="EQ",4,"")))))</f>
        <v/>
      </c>
      <c r="J14" s="18" t="inlineStr">
        <is>
          <t>中</t>
        </is>
      </c>
      <c r="K14" s="18">
        <f>IF(J14="高",0.33,IF(J14="中",0.67,IF(J14="低",1,"")))</f>
        <v/>
      </c>
      <c r="L14" s="18" t="inlineStr">
        <is>
          <t>新增</t>
        </is>
      </c>
      <c r="M14" s="18">
        <f>IF(L14="新增",1,IF(L14="修改",0.8,IF(L14="删除",0.2,"")))</f>
        <v/>
      </c>
      <c r="N14" s="18">
        <f>I14*K14*M14</f>
        <v/>
      </c>
    </row>
    <row r="15" ht="19" customHeight="1" s="1">
      <c r="B15" s="16" t="n">
        <v>10</v>
      </c>
      <c r="C15" s="16" t="inlineStr">
        <is>
          <t>核心层时序应用管理系统平台开发</t>
        </is>
      </c>
      <c r="D15" s="16" t="inlineStr">
        <is>
          <t>全局参数管理</t>
        </is>
      </c>
      <c r="E15" s="16" t="inlineStr">
        <is>
          <t>采集频率参数管理</t>
        </is>
      </c>
      <c r="F15" s="16" t="inlineStr">
        <is>
          <t>频率配置对比</t>
        </is>
      </c>
      <c r="G15" s="17" t="inlineStr">
        <is>
          <t xml:space="preserve"> 提供采集频率配置版本间差异对比的技术服务</t>
        </is>
      </c>
      <c r="H15" s="18" t="inlineStr">
        <is>
          <t>ILF</t>
        </is>
      </c>
      <c r="I15" s="18">
        <f>IF(H15="ILF",10,IF(H15="EIF",7,IF(H15="EI",4,IF(H15="EO",5,IF(H15="EQ",4,"")))))</f>
        <v/>
      </c>
      <c r="J15" s="18" t="inlineStr">
        <is>
          <t>中</t>
        </is>
      </c>
      <c r="K15" s="18">
        <f>IF(J15="高",0.33,IF(J15="中",0.67,IF(J15="低",1,"")))</f>
        <v/>
      </c>
      <c r="L15" s="18" t="inlineStr">
        <is>
          <t>新增</t>
        </is>
      </c>
      <c r="M15" s="18">
        <f>IF(L15="新增",1,IF(L15="修改",0.8,IF(L15="删除",0.2,"")))</f>
        <v/>
      </c>
      <c r="N15" s="18">
        <f>I15*K15*M15</f>
        <v/>
      </c>
    </row>
    <row r="16" ht="19" customHeight="1" s="1">
      <c r="B16" s="16" t="n">
        <v>11</v>
      </c>
      <c r="C16" s="16" t="inlineStr">
        <is>
          <t>核心层时序应用管理系统平台开发</t>
        </is>
      </c>
      <c r="D16" s="16" t="inlineStr">
        <is>
          <t>全局参数管理</t>
        </is>
      </c>
      <c r="E16" s="16" t="inlineStr">
        <is>
          <t>采集频率参数管理</t>
        </is>
      </c>
      <c r="F16" s="16" t="inlineStr">
        <is>
          <t>采集窗口配置</t>
        </is>
      </c>
      <c r="G16" s="17" t="inlineStr">
        <is>
          <t xml:space="preserve"> 提供采集时间窗口和错峰调度时隙参数配置服务</t>
        </is>
      </c>
      <c r="H16" s="18" t="inlineStr">
        <is>
          <t>ILF</t>
        </is>
      </c>
      <c r="I16" s="18">
        <f>IF(H16="ILF",10,IF(H16="EIF",7,IF(H16="EI",4,IF(H16="EO",5,IF(H16="EQ",4,"")))))</f>
        <v/>
      </c>
      <c r="J16" s="18" t="inlineStr">
        <is>
          <t>中</t>
        </is>
      </c>
      <c r="K16" s="18">
        <f>IF(J16="高",0.33,IF(J16="中",0.67,IF(J16="低",1,"")))</f>
        <v/>
      </c>
      <c r="L16" s="18" t="inlineStr">
        <is>
          <t>新增</t>
        </is>
      </c>
      <c r="M16" s="18">
        <f>IF(L16="新增",1,IF(L16="修改",0.8,IF(L16="删除",0.2,"")))</f>
        <v/>
      </c>
      <c r="N16" s="18">
        <f>I16*K16*M16</f>
        <v/>
      </c>
    </row>
    <row r="17" ht="19" customHeight="1" s="1">
      <c r="B17" s="16" t="n">
        <v>12</v>
      </c>
      <c r="C17" s="16" t="inlineStr">
        <is>
          <t>核心层时序应用管理系统平台开发</t>
        </is>
      </c>
      <c r="D17" s="16" t="inlineStr">
        <is>
          <t>全局参数管理</t>
        </is>
      </c>
      <c r="E17" s="16" t="inlineStr">
        <is>
          <t>采集频率参数管理</t>
        </is>
      </c>
      <c r="F17" s="16" t="inlineStr">
        <is>
          <t>休眠时段配置</t>
        </is>
      </c>
      <c r="G17" s="17" t="inlineStr">
        <is>
          <t xml:space="preserve"> 提供设备休眠时段和唤醒时间的参数配置服务</t>
        </is>
      </c>
      <c r="H17" s="18" t="inlineStr">
        <is>
          <t>ILF</t>
        </is>
      </c>
      <c r="I17" s="18">
        <f>IF(H17="ILF",10,IF(H17="EIF",7,IF(H17="EI",4,IF(H17="EO",5,IF(H17="EQ",4,"")))))</f>
        <v/>
      </c>
      <c r="J17" s="18" t="inlineStr">
        <is>
          <t>中</t>
        </is>
      </c>
      <c r="K17" s="18">
        <f>IF(J17="高",0.33,IF(J17="中",0.67,IF(J17="低",1,"")))</f>
        <v/>
      </c>
      <c r="L17" s="18" t="inlineStr">
        <is>
          <t>新增</t>
        </is>
      </c>
      <c r="M17" s="18">
        <f>IF(L17="新增",1,IF(L17="修改",0.8,IF(L17="删除",0.2,"")))</f>
        <v/>
      </c>
      <c r="N17" s="18">
        <f>I17*K17*M17</f>
        <v/>
      </c>
    </row>
    <row r="18" ht="19" customHeight="1" s="1">
      <c r="B18" s="16" t="n">
        <v>13</v>
      </c>
      <c r="C18" s="16" t="inlineStr">
        <is>
          <t>核心层时序应用管理系统平台开发</t>
        </is>
      </c>
      <c r="D18" s="16" t="inlineStr">
        <is>
          <t>全局参数管理</t>
        </is>
      </c>
      <c r="E18" s="16" t="inlineStr">
        <is>
          <t>告警阈值参数管理</t>
        </is>
      </c>
      <c r="F18" s="16" t="inlineStr">
        <is>
          <t>转速阈值</t>
        </is>
      </c>
      <c r="G18" s="17" t="inlineStr">
        <is>
          <t xml:space="preserve"> 配置转速参数告警阈值技术服务</t>
        </is>
      </c>
      <c r="H18" s="18" t="inlineStr">
        <is>
          <t>ILF</t>
        </is>
      </c>
      <c r="I18" s="18">
        <f>IF(H18="ILF",10,IF(H18="EIF",7,IF(H18="EI",4,IF(H18="EO",5,IF(H18="EQ",4,"")))))</f>
        <v/>
      </c>
      <c r="J18" s="18" t="inlineStr">
        <is>
          <t>高</t>
        </is>
      </c>
      <c r="K18" s="18">
        <f>IF(J18="高",0.33,IF(J18="中",0.67,IF(J18="低",1,"")))</f>
        <v/>
      </c>
      <c r="L18" s="18" t="inlineStr">
        <is>
          <t>新增</t>
        </is>
      </c>
      <c r="M18" s="18">
        <f>IF(L18="新增",1,IF(L18="修改",0.8,IF(L18="删除",0.2,"")))</f>
        <v/>
      </c>
      <c r="N18" s="18">
        <f>I18*K18*M18</f>
        <v/>
      </c>
    </row>
    <row r="19" ht="19" customHeight="1" s="1">
      <c r="B19" s="16" t="n">
        <v>14</v>
      </c>
      <c r="C19" s="16" t="inlineStr">
        <is>
          <t>核心层时序应用管理系统平台开发</t>
        </is>
      </c>
      <c r="D19" s="16" t="inlineStr">
        <is>
          <t>全局参数管理</t>
        </is>
      </c>
      <c r="E19" s="16" t="inlineStr">
        <is>
          <t>告警阈值参数管理</t>
        </is>
      </c>
      <c r="F19" s="16" t="inlineStr">
        <is>
          <t>耗电量阈值</t>
        </is>
      </c>
      <c r="G19" s="17" t="inlineStr">
        <is>
          <t xml:space="preserve"> 配置日耗电量参数告警阈值技术服务</t>
        </is>
      </c>
      <c r="H19" s="18" t="inlineStr">
        <is>
          <t>ILF</t>
        </is>
      </c>
      <c r="I19" s="18">
        <f>IF(H19="ILF",10,IF(H19="EIF",7,IF(H19="EI",4,IF(H19="EO",5,IF(H19="EQ",4,"")))))</f>
        <v/>
      </c>
      <c r="J19" s="18" t="inlineStr">
        <is>
          <t>高</t>
        </is>
      </c>
      <c r="K19" s="18">
        <f>IF(J19="高",0.33,IF(J19="中",0.67,IF(J19="低",1,"")))</f>
        <v/>
      </c>
      <c r="L19" s="18" t="inlineStr">
        <is>
          <t>新增</t>
        </is>
      </c>
      <c r="M19" s="18">
        <f>IF(L19="新增",1,IF(L19="修改",0.8,IF(L19="删除",0.2,"")))</f>
        <v/>
      </c>
      <c r="N19" s="18">
        <f>I19*K19*M19</f>
        <v/>
      </c>
    </row>
    <row r="20" ht="19" customHeight="1" s="1">
      <c r="B20" s="16" t="n">
        <v>15</v>
      </c>
      <c r="C20" s="16" t="inlineStr">
        <is>
          <t>核心层时序应用管理系统平台开发</t>
        </is>
      </c>
      <c r="D20" s="16" t="inlineStr">
        <is>
          <t>全局参数管理</t>
        </is>
      </c>
      <c r="E20" s="16" t="inlineStr">
        <is>
          <t>告警阈值参数管理</t>
        </is>
      </c>
      <c r="F20" s="16" t="inlineStr">
        <is>
          <t>阈值批量配置</t>
        </is>
      </c>
      <c r="G20" s="17" t="inlineStr">
        <is>
          <t xml:space="preserve"> 提供告警阈值按设备类型批量配置的技术服务</t>
        </is>
      </c>
      <c r="H20" s="18" t="inlineStr">
        <is>
          <t>ILF</t>
        </is>
      </c>
      <c r="I20" s="18">
        <f>IF(H20="ILF",10,IF(H20="EIF",7,IF(H20="EI",4,IF(H20="EO",5,IF(H20="EQ",4,"")))))</f>
        <v/>
      </c>
      <c r="J20" s="18" t="inlineStr">
        <is>
          <t>高</t>
        </is>
      </c>
      <c r="K20" s="18">
        <f>IF(J20="高",0.33,IF(J20="中",0.67,IF(J20="低",1,"")))</f>
        <v/>
      </c>
      <c r="L20" s="18" t="inlineStr">
        <is>
          <t>新增</t>
        </is>
      </c>
      <c r="M20" s="18">
        <f>IF(L20="新增",1,IF(L20="修改",0.8,IF(L20="删除",0.2,"")))</f>
        <v/>
      </c>
      <c r="N20" s="18">
        <f>I20*K20*M20</f>
        <v/>
      </c>
    </row>
    <row r="21" ht="19" customHeight="1" s="1">
      <c r="B21" s="16" t="n">
        <v>16</v>
      </c>
      <c r="C21" s="16" t="inlineStr">
        <is>
          <t>核心层时序应用管理系统平台开发</t>
        </is>
      </c>
      <c r="D21" s="16" t="inlineStr">
        <is>
          <t>全局参数管理</t>
        </is>
      </c>
      <c r="E21" s="16" t="inlineStr">
        <is>
          <t>告警阈值参数管理</t>
        </is>
      </c>
      <c r="F21" s="16" t="inlineStr">
        <is>
          <t>阈值热加载</t>
        </is>
      </c>
      <c r="G21" s="17" t="inlineStr">
        <is>
          <t xml:space="preserve"> 提供告警阈值变更后热加载生效的技术服务</t>
        </is>
      </c>
      <c r="H21" s="18" t="inlineStr">
        <is>
          <t>EI</t>
        </is>
      </c>
      <c r="I21" s="18">
        <f>IF(H21="ILF",10,IF(H21="EIF",7,IF(H21="EI",4,IF(H21="EO",5,IF(H21="EQ",4,"")))))</f>
        <v/>
      </c>
      <c r="J21" s="18" t="inlineStr">
        <is>
          <t>低</t>
        </is>
      </c>
      <c r="K21" s="18">
        <f>IF(J21="高",0.33,IF(J21="中",0.67,IF(J21="低",1,"")))</f>
        <v/>
      </c>
      <c r="L21" s="18" t="inlineStr">
        <is>
          <t>新增</t>
        </is>
      </c>
      <c r="M21" s="18">
        <f>IF(L21="新增",1,IF(L21="修改",0.8,IF(L21="删除",0.2,"")))</f>
        <v/>
      </c>
      <c r="N21" s="18">
        <f>I21*K21*M21</f>
        <v/>
      </c>
    </row>
    <row r="22" ht="19" customHeight="1" s="1">
      <c r="B22" s="16" t="n">
        <v>17</v>
      </c>
      <c r="C22" s="16" t="inlineStr">
        <is>
          <t>核心层时序应用管理系统平台开发</t>
        </is>
      </c>
      <c r="D22" s="16" t="inlineStr">
        <is>
          <t>全局参数管理</t>
        </is>
      </c>
      <c r="E22" s="16" t="inlineStr">
        <is>
          <t>告警阈值参数管理</t>
        </is>
      </c>
      <c r="F22" s="16" t="inlineStr">
        <is>
          <t>阈值版本回滚</t>
        </is>
      </c>
      <c r="G22" s="17" t="inlineStr">
        <is>
          <t xml:space="preserve"> 提供告警阈值版本回滚的技术服务</t>
        </is>
      </c>
      <c r="H22" s="18" t="inlineStr">
        <is>
          <t>EI</t>
        </is>
      </c>
      <c r="I22" s="18">
        <f>IF(H22="ILF",10,IF(H22="EIF",7,IF(H22="EI",4,IF(H22="EO",5,IF(H22="EQ",4,"")))))</f>
        <v/>
      </c>
      <c r="J22" s="18" t="inlineStr">
        <is>
          <t>低</t>
        </is>
      </c>
      <c r="K22" s="18">
        <f>IF(J22="高",0.33,IF(J22="中",0.67,IF(J22="低",1,"")))</f>
        <v/>
      </c>
      <c r="L22" s="18" t="inlineStr">
        <is>
          <t>新增</t>
        </is>
      </c>
      <c r="M22" s="18">
        <f>IF(L22="新增",1,IF(L22="修改",0.8,IF(L22="删除",0.2,"")))</f>
        <v/>
      </c>
      <c r="N22" s="18">
        <f>I22*K22*M22</f>
        <v/>
      </c>
    </row>
    <row r="23" ht="19" customHeight="1" s="1">
      <c r="B23" s="16" t="n">
        <v>18</v>
      </c>
      <c r="C23" s="16" t="inlineStr">
        <is>
          <t>核心层时序应用管理系统平台开发</t>
        </is>
      </c>
      <c r="D23" s="16" t="inlineStr">
        <is>
          <t>全局参数管理</t>
        </is>
      </c>
      <c r="E23" s="16" t="inlineStr">
        <is>
          <t>告警阈值参数管理</t>
        </is>
      </c>
      <c r="F23" s="16" t="inlineStr">
        <is>
          <t>阈值导出导入</t>
        </is>
      </c>
      <c r="G23" s="17" t="inlineStr">
        <is>
          <t xml:space="preserve"> 提供告警阈值配置批量导出导入的技术服务</t>
        </is>
      </c>
      <c r="H23" s="18" t="inlineStr">
        <is>
          <t>EI</t>
        </is>
      </c>
      <c r="I23" s="18">
        <f>IF(H23="ILF",10,IF(H23="EIF",7,IF(H23="EI",4,IF(H23="EO",5,IF(H23="EQ",4,"")))))</f>
        <v/>
      </c>
      <c r="J23" s="18" t="inlineStr">
        <is>
          <t>低</t>
        </is>
      </c>
      <c r="K23" s="18">
        <f>IF(J23="高",0.33,IF(J23="中",0.67,IF(J23="低",1,"")))</f>
        <v/>
      </c>
      <c r="L23" s="18" t="inlineStr">
        <is>
          <t>新增</t>
        </is>
      </c>
      <c r="M23" s="18">
        <f>IF(L23="新增",1,IF(L23="修改",0.8,IF(L23="删除",0.2,"")))</f>
        <v/>
      </c>
      <c r="N23" s="18">
        <f>I23*K23*M23</f>
        <v/>
      </c>
    </row>
    <row r="24" ht="19" customHeight="1" s="1">
      <c r="B24" s="16" t="n">
        <v>19</v>
      </c>
      <c r="C24" s="16" t="inlineStr">
        <is>
          <t>核心层时序应用管理系统平台开发</t>
        </is>
      </c>
      <c r="D24" s="16" t="inlineStr">
        <is>
          <t>全局参数管理</t>
        </is>
      </c>
      <c r="E24" s="16" t="inlineStr">
        <is>
          <t>保留周期与MQTT管理</t>
        </is>
      </c>
      <c r="F24" s="16" t="inlineStr">
        <is>
          <t>热数据周期</t>
        </is>
      </c>
      <c r="G24" s="17" t="inlineStr">
        <is>
          <t xml:space="preserve"> 提供SSD热数据0-30天保留周期配置技术服务</t>
        </is>
      </c>
      <c r="H24" s="18" t="inlineStr">
        <is>
          <t>EI</t>
        </is>
      </c>
      <c r="I24" s="18">
        <f>IF(H24="ILF",10,IF(H24="EIF",7,IF(H24="EI",4,IF(H24="EO",5,IF(H24="EQ",4,"")))))</f>
        <v/>
      </c>
      <c r="J24" s="18" t="inlineStr">
        <is>
          <t>低</t>
        </is>
      </c>
      <c r="K24" s="18">
        <f>IF(J24="高",0.33,IF(J24="中",0.67,IF(J24="低",1,"")))</f>
        <v/>
      </c>
      <c r="L24" s="18" t="inlineStr">
        <is>
          <t>新增</t>
        </is>
      </c>
      <c r="M24" s="18">
        <f>IF(L24="新增",1,IF(L24="修改",0.8,IF(L24="删除",0.2,"")))</f>
        <v/>
      </c>
      <c r="N24" s="18">
        <f>I24*K24*M24</f>
        <v/>
      </c>
    </row>
    <row r="25" ht="19" customHeight="1" s="1">
      <c r="B25" s="16" t="n">
        <v>20</v>
      </c>
      <c r="C25" s="16" t="inlineStr">
        <is>
          <t>核心层时序应用管理系统平台开发</t>
        </is>
      </c>
      <c r="D25" s="16" t="inlineStr">
        <is>
          <t>全局参数管理</t>
        </is>
      </c>
      <c r="E25" s="16" t="inlineStr">
        <is>
          <t>保留周期与MQTT管理</t>
        </is>
      </c>
      <c r="F25" s="16" t="inlineStr">
        <is>
          <t>温数据周期</t>
        </is>
      </c>
      <c r="G25" s="17" t="inlineStr">
        <is>
          <t xml:space="preserve"> 提供HDD温数据31天-1年保留周期配置技术服务</t>
        </is>
      </c>
      <c r="H25" s="18" t="inlineStr">
        <is>
          <t>EI</t>
        </is>
      </c>
      <c r="I25" s="18">
        <f>IF(H25="ILF",10,IF(H25="EIF",7,IF(H25="EI",4,IF(H25="EO",5,IF(H25="EQ",4,"")))))</f>
        <v/>
      </c>
      <c r="J25" s="18" t="inlineStr">
        <is>
          <t>低</t>
        </is>
      </c>
      <c r="K25" s="18">
        <f>IF(J25="高",0.33,IF(J25="中",0.67,IF(J25="低",1,"")))</f>
        <v/>
      </c>
      <c r="L25" s="18" t="inlineStr">
        <is>
          <t>新增</t>
        </is>
      </c>
      <c r="M25" s="18">
        <f>IF(L25="新增",1,IF(L25="修改",0.8,IF(L25="删除",0.2,"")))</f>
        <v/>
      </c>
      <c r="N25" s="18">
        <f>I25*K25*M25</f>
        <v/>
      </c>
    </row>
    <row r="26" ht="19" customHeight="1" s="1">
      <c r="B26" s="16" t="n">
        <v>21</v>
      </c>
      <c r="C26" s="16" t="inlineStr">
        <is>
          <t>核心层时序应用管理系统平台开发</t>
        </is>
      </c>
      <c r="D26" s="16" t="inlineStr">
        <is>
          <t>全局参数管理</t>
        </is>
      </c>
      <c r="E26" s="16" t="inlineStr">
        <is>
          <t>保留周期与MQTT管理</t>
        </is>
      </c>
      <c r="F26" s="16" t="inlineStr">
        <is>
          <t>工图保留周期</t>
        </is>
      </c>
      <c r="G26" s="17" t="inlineStr">
        <is>
          <t xml:space="preserve"> 提供功图数据独立保留周期配置技术服务</t>
        </is>
      </c>
      <c r="H26" s="18" t="inlineStr">
        <is>
          <t>EI</t>
        </is>
      </c>
      <c r="I26" s="18">
        <f>IF(H26="ILF",10,IF(H26="EIF",7,IF(H26="EI",4,IF(H26="EO",5,IF(H26="EQ",4,"")))))</f>
        <v/>
      </c>
      <c r="J26" s="18" t="inlineStr">
        <is>
          <t>低</t>
        </is>
      </c>
      <c r="K26" s="18">
        <f>IF(J26="高",0.33,IF(J26="中",0.67,IF(J26="低",1,"")))</f>
        <v/>
      </c>
      <c r="L26" s="18" t="inlineStr">
        <is>
          <t>新增</t>
        </is>
      </c>
      <c r="M26" s="18">
        <f>IF(L26="新增",1,IF(L26="修改",0.8,IF(L26="删除",0.2,"")))</f>
        <v/>
      </c>
      <c r="N26" s="18">
        <f>I26*K26*M26</f>
        <v/>
      </c>
    </row>
    <row r="27" ht="19" customHeight="1" s="1">
      <c r="B27" s="16" t="n">
        <v>22</v>
      </c>
      <c r="C27" s="16" t="inlineStr">
        <is>
          <t>核心层时序应用管理系统平台开发</t>
        </is>
      </c>
      <c r="D27" s="16" t="inlineStr">
        <is>
          <t>全局参数管理</t>
        </is>
      </c>
      <c r="E27" s="16" t="inlineStr">
        <is>
          <t>保留周期与MQTT管理</t>
        </is>
      </c>
      <c r="F27" s="16" t="inlineStr">
        <is>
          <t>告警保留周期</t>
        </is>
      </c>
      <c r="G27" s="17" t="inlineStr">
        <is>
          <t xml:space="preserve"> 提供告警历史数据保留周期配置技术服务</t>
        </is>
      </c>
      <c r="H27" s="18" t="inlineStr">
        <is>
          <t>EI</t>
        </is>
      </c>
      <c r="I27" s="18">
        <f>IF(H27="ILF",10,IF(H27="EIF",7,IF(H27="EI",4,IF(H27="EO",5,IF(H27="EQ",4,"")))))</f>
        <v/>
      </c>
      <c r="J27" s="18" t="inlineStr">
        <is>
          <t>低</t>
        </is>
      </c>
      <c r="K27" s="18">
        <f>IF(J27="高",0.33,IF(J27="中",0.67,IF(J27="低",1,"")))</f>
        <v/>
      </c>
      <c r="L27" s="18" t="inlineStr">
        <is>
          <t>新增</t>
        </is>
      </c>
      <c r="M27" s="18">
        <f>IF(L27="新增",1,IF(L27="修改",0.8,IF(L27="删除",0.2,"")))</f>
        <v/>
      </c>
      <c r="N27" s="18">
        <f>I27*K27*M27</f>
        <v/>
      </c>
    </row>
    <row r="28" ht="19" customHeight="1" s="1">
      <c r="B28" s="16" t="n">
        <v>23</v>
      </c>
      <c r="C28" s="16" t="inlineStr">
        <is>
          <t>核心层时序应用管理系统平台开发</t>
        </is>
      </c>
      <c r="D28" s="16" t="inlineStr">
        <is>
          <t>全局参数管理</t>
        </is>
      </c>
      <c r="E28" s="16" t="inlineStr">
        <is>
          <t>保留周期与MQTT管理</t>
        </is>
      </c>
      <c r="F28" s="16" t="inlineStr">
        <is>
          <t>日志保留周期</t>
        </is>
      </c>
      <c r="G28" s="17" t="inlineStr">
        <is>
          <t xml:space="preserve"> 提供操作日志保留周期配置技术服务</t>
        </is>
      </c>
      <c r="H28" s="18" t="inlineStr">
        <is>
          <t>EI</t>
        </is>
      </c>
      <c r="I28" s="18">
        <f>IF(H28="ILF",10,IF(H28="EIF",7,IF(H28="EI",4,IF(H28="EO",5,IF(H28="EQ",4,"")))))</f>
        <v/>
      </c>
      <c r="J28" s="18" t="inlineStr">
        <is>
          <t>低</t>
        </is>
      </c>
      <c r="K28" s="18">
        <f>IF(J28="高",0.33,IF(J28="中",0.67,IF(J28="低",1,"")))</f>
        <v/>
      </c>
      <c r="L28" s="18" t="inlineStr">
        <is>
          <t>新增</t>
        </is>
      </c>
      <c r="M28" s="18">
        <f>IF(L28="新增",1,IF(L28="修改",0.8,IF(L28="删除",0.2,"")))</f>
        <v/>
      </c>
      <c r="N28" s="18">
        <f>I28*K28*M28</f>
        <v/>
      </c>
    </row>
    <row r="29" ht="19" customHeight="1" s="1">
      <c r="B29" s="16" t="n">
        <v>24</v>
      </c>
      <c r="C29" s="16" t="inlineStr">
        <is>
          <t>核心层时序应用管理系统平台开发</t>
        </is>
      </c>
      <c r="D29" s="16" t="inlineStr">
        <is>
          <t>全局参数管理</t>
        </is>
      </c>
      <c r="E29" s="16" t="inlineStr">
        <is>
          <t>保留周期与MQTT管理</t>
        </is>
      </c>
      <c r="F29" s="16" t="inlineStr">
        <is>
          <t>周期变更追踪</t>
        </is>
      </c>
      <c r="G29" s="17" t="inlineStr">
        <is>
          <t xml:space="preserve"> 提供保留周期变更记录和追溯技术服务</t>
        </is>
      </c>
      <c r="H29" s="18" t="inlineStr">
        <is>
          <t>EI</t>
        </is>
      </c>
      <c r="I29" s="18">
        <f>IF(H29="ILF",10,IF(H29="EIF",7,IF(H29="EI",4,IF(H29="EO",5,IF(H29="EQ",4,"")))))</f>
        <v/>
      </c>
      <c r="J29" s="18" t="inlineStr">
        <is>
          <t>低</t>
        </is>
      </c>
      <c r="K29" s="18">
        <f>IF(J29="高",0.33,IF(J29="中",0.67,IF(J29="低",1,"")))</f>
        <v/>
      </c>
      <c r="L29" s="18" t="inlineStr">
        <is>
          <t>新增</t>
        </is>
      </c>
      <c r="M29" s="18">
        <f>IF(L29="新增",1,IF(L29="修改",0.8,IF(L29="删除",0.2,"")))</f>
        <v/>
      </c>
      <c r="N29" s="18">
        <f>I29*K29*M29</f>
        <v/>
      </c>
    </row>
    <row r="30" ht="19" customHeight="1" s="1">
      <c r="B30" s="16" t="n">
        <v>25</v>
      </c>
      <c r="C30" s="16" t="inlineStr">
        <is>
          <t>核心层时序应用管理系统平台开发</t>
        </is>
      </c>
      <c r="D30" s="16" t="inlineStr">
        <is>
          <t>全局参数管理</t>
        </is>
      </c>
      <c r="E30" s="16" t="inlineStr">
        <is>
          <t>保留周期与MQTT管理</t>
        </is>
      </c>
      <c r="F30" s="16" t="inlineStr">
        <is>
          <t>告警主题配置</t>
        </is>
      </c>
      <c r="G30" s="17" t="inlineStr">
        <is>
          <t xml:space="preserve"> 提供MQTT告警推送主题命名规则配置技术服务</t>
        </is>
      </c>
      <c r="H30" s="18" t="inlineStr">
        <is>
          <t>EI</t>
        </is>
      </c>
      <c r="I30" s="18">
        <f>IF(H30="ILF",10,IF(H30="EIF",7,IF(H30="EI",4,IF(H30="EO",5,IF(H30="EQ",4,"")))))</f>
        <v/>
      </c>
      <c r="J30" s="18" t="inlineStr">
        <is>
          <t>低</t>
        </is>
      </c>
      <c r="K30" s="18">
        <f>IF(J30="高",0.33,IF(J30="中",0.67,IF(J30="低",1,"")))</f>
        <v/>
      </c>
      <c r="L30" s="18" t="inlineStr">
        <is>
          <t>新增</t>
        </is>
      </c>
      <c r="M30" s="18">
        <f>IF(L30="新增",1,IF(L30="修改",0.8,IF(L30="删除",0.2,"")))</f>
        <v/>
      </c>
      <c r="N30" s="18">
        <f>I30*K30*M30</f>
        <v/>
      </c>
    </row>
    <row r="31" ht="19" customHeight="1" s="1">
      <c r="B31" s="16" t="n">
        <v>26</v>
      </c>
      <c r="C31" s="16" t="inlineStr">
        <is>
          <t>核心层时序应用管理系统平台开发</t>
        </is>
      </c>
      <c r="D31" s="16" t="inlineStr">
        <is>
          <t>全局参数管理</t>
        </is>
      </c>
      <c r="E31" s="16" t="inlineStr">
        <is>
          <t>保留周期与MQTT管理</t>
        </is>
      </c>
      <c r="F31" s="16" t="inlineStr">
        <is>
          <t>数据主题配置</t>
        </is>
      </c>
      <c r="G31" s="17" t="inlineStr">
        <is>
          <t xml:space="preserve"> 提供MQTT实时数据订阅主题配置技术服务</t>
        </is>
      </c>
      <c r="H31" s="18" t="inlineStr">
        <is>
          <t>EI</t>
        </is>
      </c>
      <c r="I31" s="18">
        <f>IF(H31="ILF",10,IF(H31="EIF",7,IF(H31="EI",4,IF(H31="EO",5,IF(H31="EQ",4,"")))))</f>
        <v/>
      </c>
      <c r="J31" s="18" t="inlineStr">
        <is>
          <t>低</t>
        </is>
      </c>
      <c r="K31" s="18">
        <f>IF(J31="高",0.33,IF(J31="中",0.67,IF(J31="低",1,"")))</f>
        <v/>
      </c>
      <c r="L31" s="18" t="inlineStr">
        <is>
          <t>新增</t>
        </is>
      </c>
      <c r="M31" s="18">
        <f>IF(L31="新增",1,IF(L31="修改",0.8,IF(L31="删除",0.2,"")))</f>
        <v/>
      </c>
      <c r="N31" s="18">
        <f>I31*K31*M31</f>
        <v/>
      </c>
    </row>
    <row r="32" ht="19" customHeight="1" s="1">
      <c r="B32" s="16" t="n">
        <v>27</v>
      </c>
      <c r="C32" s="16" t="inlineStr">
        <is>
          <t>核心层时序应用管理系统平台开发</t>
        </is>
      </c>
      <c r="D32" s="16" t="inlineStr">
        <is>
          <t>全局参数管理</t>
        </is>
      </c>
      <c r="E32" s="16" t="inlineStr">
        <is>
          <t>保留周期与MQTT管理</t>
        </is>
      </c>
      <c r="F32" s="16" t="inlineStr">
        <is>
          <t>工单主题配置</t>
        </is>
      </c>
      <c r="G32" s="17" t="inlineStr">
        <is>
          <t xml:space="preserve"> 提供MQTT工单状态同步主题配置技术服务</t>
        </is>
      </c>
      <c r="H32" s="18" t="inlineStr">
        <is>
          <t>EI</t>
        </is>
      </c>
      <c r="I32" s="18">
        <f>IF(H32="ILF",10,IF(H32="EIF",7,IF(H32="EI",4,IF(H32="EO",5,IF(H32="EQ",4,"")))))</f>
        <v/>
      </c>
      <c r="J32" s="18" t="inlineStr">
        <is>
          <t>低</t>
        </is>
      </c>
      <c r="K32" s="18">
        <f>IF(J32="高",0.33,IF(J32="中",0.67,IF(J32="低",1,"")))</f>
        <v/>
      </c>
      <c r="L32" s="18" t="inlineStr">
        <is>
          <t>新增</t>
        </is>
      </c>
      <c r="M32" s="18">
        <f>IF(L32="新增",1,IF(L32="修改",0.8,IF(L32="删除",0.2,"")))</f>
        <v/>
      </c>
      <c r="N32" s="18">
        <f>I32*K32*M32</f>
        <v/>
      </c>
    </row>
    <row r="33" ht="19" customHeight="1" s="1">
      <c r="B33" s="16" t="n">
        <v>28</v>
      </c>
      <c r="C33" s="16" t="inlineStr">
        <is>
          <t>核心层时序应用管理系统平台开发</t>
        </is>
      </c>
      <c r="D33" s="16" t="inlineStr">
        <is>
          <t>全局参数管理</t>
        </is>
      </c>
      <c r="E33" s="16" t="inlineStr">
        <is>
          <t>保留周期与MQTT管理</t>
        </is>
      </c>
      <c r="F33" s="16" t="inlineStr">
        <is>
          <t>状态主题配置</t>
        </is>
      </c>
      <c r="G33" s="17" t="inlineStr">
        <is>
          <t xml:space="preserve"> 提供MQTT设备状态变化主题配置技术服务</t>
        </is>
      </c>
      <c r="H33" s="18" t="inlineStr">
        <is>
          <t>EI</t>
        </is>
      </c>
      <c r="I33" s="18">
        <f>IF(H33="ILF",10,IF(H33="EIF",7,IF(H33="EI",4,IF(H33="EO",5,IF(H33="EQ",4,"")))))</f>
        <v/>
      </c>
      <c r="J33" s="18" t="inlineStr">
        <is>
          <t>低</t>
        </is>
      </c>
      <c r="K33" s="18">
        <f>IF(J33="高",0.33,IF(J33="中",0.67,IF(J33="低",1,"")))</f>
        <v/>
      </c>
      <c r="L33" s="18" t="inlineStr">
        <is>
          <t>新增</t>
        </is>
      </c>
      <c r="M33" s="18">
        <f>IF(L33="新增",1,IF(L33="修改",0.8,IF(L33="删除",0.2,"")))</f>
        <v/>
      </c>
      <c r="N33" s="18">
        <f>I33*K33*M33</f>
        <v/>
      </c>
    </row>
    <row r="34" ht="19" customHeight="1" s="1">
      <c r="B34" s="16" t="n">
        <v>29</v>
      </c>
      <c r="C34" s="16" t="inlineStr">
        <is>
          <t>核心层时序应用管理系统平台开发</t>
        </is>
      </c>
      <c r="D34" s="16" t="inlineStr">
        <is>
          <t>全局参数管理</t>
        </is>
      </c>
      <c r="E34" s="16" t="inlineStr">
        <is>
          <t>保留周期与MQTT管理</t>
        </is>
      </c>
      <c r="F34" s="16" t="inlineStr">
        <is>
          <t>心跳主题配置</t>
        </is>
      </c>
      <c r="G34" s="17" t="inlineStr">
        <is>
          <t xml:space="preserve"> 提供MQTT系统心跳检测主题配置技术服务</t>
        </is>
      </c>
      <c r="H34" s="18" t="inlineStr">
        <is>
          <t>EI</t>
        </is>
      </c>
      <c r="I34" s="18">
        <f>IF(H34="ILF",10,IF(H34="EIF",7,IF(H34="EI",4,IF(H34="EO",5,IF(H34="EQ",4,"")))))</f>
        <v/>
      </c>
      <c r="J34" s="18" t="inlineStr">
        <is>
          <t>低</t>
        </is>
      </c>
      <c r="K34" s="18">
        <f>IF(J34="高",0.33,IF(J34="中",0.67,IF(J34="低",1,"")))</f>
        <v/>
      </c>
      <c r="L34" s="18" t="inlineStr">
        <is>
          <t>新增</t>
        </is>
      </c>
      <c r="M34" s="18">
        <f>IF(L34="新增",1,IF(L34="修改",0.8,IF(L34="删除",0.2,"")))</f>
        <v/>
      </c>
      <c r="N34" s="18">
        <f>I34*K34*M34</f>
        <v/>
      </c>
    </row>
    <row r="35" ht="19" customHeight="1" s="1">
      <c r="B35" s="16" t="n">
        <v>30</v>
      </c>
      <c r="C35" s="16" t="inlineStr">
        <is>
          <t>核心层时序应用管理系统平台开发</t>
        </is>
      </c>
      <c r="D35" s="16" t="inlineStr">
        <is>
          <t>全局参数管理</t>
        </is>
      </c>
      <c r="E35" s="16" t="inlineStr">
        <is>
          <t>保留周期与MQTT管理</t>
        </is>
      </c>
      <c r="F35" s="16" t="inlineStr">
        <is>
          <t>QoS等级配置</t>
        </is>
      </c>
      <c r="G35" s="17" t="inlineStr">
        <is>
          <t xml:space="preserve"> 提供MQTT消息QoS等级参数配置技术服务</t>
        </is>
      </c>
      <c r="H35" s="18" t="inlineStr">
        <is>
          <t>EI</t>
        </is>
      </c>
      <c r="I35" s="18">
        <f>IF(H35="ILF",10,IF(H35="EIF",7,IF(H35="EI",4,IF(H35="EO",5,IF(H35="EQ",4,"")))))</f>
        <v/>
      </c>
      <c r="J35" s="18" t="inlineStr">
        <is>
          <t>低</t>
        </is>
      </c>
      <c r="K35" s="18">
        <f>IF(J35="高",0.33,IF(J35="中",0.67,IF(J35="低",1,"")))</f>
        <v/>
      </c>
      <c r="L35" s="18" t="inlineStr">
        <is>
          <t>新增</t>
        </is>
      </c>
      <c r="M35" s="18">
        <f>IF(L35="新增",1,IF(L35="修改",0.8,IF(L35="删除",0.2,"")))</f>
        <v/>
      </c>
      <c r="N35" s="18">
        <f>I35*K35*M35</f>
        <v/>
      </c>
    </row>
    <row r="36" ht="19" customHeight="1" s="1">
      <c r="B36" s="16" t="n">
        <v>31</v>
      </c>
      <c r="C36" s="16" t="inlineStr">
        <is>
          <t>核心层时序应用管理系统平台开发</t>
        </is>
      </c>
      <c r="D36" s="16" t="inlineStr">
        <is>
          <t>全局参数管理</t>
        </is>
      </c>
      <c r="E36" s="16" t="inlineStr">
        <is>
          <t>保留周期与MQTT管理</t>
        </is>
      </c>
      <c r="F36" s="16" t="inlineStr">
        <is>
          <t>Topic权限</t>
        </is>
      </c>
      <c r="G36" s="17" t="inlineStr">
        <is>
          <t xml:space="preserve"> 提供MQTT主题访问权限控制技术服务</t>
        </is>
      </c>
      <c r="H36" s="18" t="inlineStr">
        <is>
          <t>EI</t>
        </is>
      </c>
      <c r="I36" s="18">
        <f>IF(H36="ILF",10,IF(H36="EIF",7,IF(H36="EI",4,IF(H36="EO",5,IF(H36="EQ",4,"")))))</f>
        <v/>
      </c>
      <c r="J36" s="18" t="inlineStr">
        <is>
          <t>低</t>
        </is>
      </c>
      <c r="K36" s="18">
        <f>IF(J36="高",0.33,IF(J36="中",0.67,IF(J36="低",1,"")))</f>
        <v/>
      </c>
      <c r="L36" s="18" t="inlineStr">
        <is>
          <t>新增</t>
        </is>
      </c>
      <c r="M36" s="18">
        <f>IF(L36="新增",1,IF(L36="修改",0.8,IF(L36="删除",0.2,"")))</f>
        <v/>
      </c>
      <c r="N36" s="18">
        <f>I36*K36*M36</f>
        <v/>
      </c>
    </row>
    <row r="37" ht="19" customHeight="1" s="1">
      <c r="B37" s="16" t="n">
        <v>32</v>
      </c>
      <c r="C37" s="16" t="inlineStr">
        <is>
          <t>核心层时序应用管理系统平台开发</t>
        </is>
      </c>
      <c r="D37" s="16" t="inlineStr">
        <is>
          <t>生产单元建模</t>
        </is>
      </c>
      <c r="E37" s="16" t="inlineStr">
        <is>
          <t>组织架构</t>
        </is>
      </c>
      <c r="F37" s="16" t="inlineStr">
        <is>
          <t>采油厂级</t>
        </is>
      </c>
      <c r="G37" s="17" t="inlineStr">
        <is>
          <t xml:space="preserve"> 提供采油厂组织架构模型配置部署技术服务</t>
        </is>
      </c>
      <c r="H37" s="18" t="inlineStr">
        <is>
          <t>EI</t>
        </is>
      </c>
      <c r="I37" s="18">
        <f>IF(H37="ILF",10,IF(H37="EIF",7,IF(H37="EI",4,IF(H37="EO",5,IF(H37="EQ",4,"")))))</f>
        <v/>
      </c>
      <c r="J37" s="18" t="inlineStr">
        <is>
          <t>低</t>
        </is>
      </c>
      <c r="K37" s="18">
        <f>IF(J37="高",0.33,IF(J37="中",0.67,IF(J37="低",1,"")))</f>
        <v/>
      </c>
      <c r="L37" s="18" t="inlineStr">
        <is>
          <t>新增</t>
        </is>
      </c>
      <c r="M37" s="18">
        <f>IF(L37="新增",1,IF(L37="修改",0.8,IF(L37="删除",0.2,"")))</f>
        <v/>
      </c>
      <c r="N37" s="18">
        <f>I37*K37*M37</f>
        <v/>
      </c>
    </row>
    <row r="38" ht="19" customHeight="1" s="1">
      <c r="B38" s="16" t="n">
        <v>33</v>
      </c>
      <c r="C38" s="16" t="inlineStr">
        <is>
          <t>核心层时序应用管理系统平台开发</t>
        </is>
      </c>
      <c r="D38" s="16" t="inlineStr">
        <is>
          <t>生产单元建模</t>
        </is>
      </c>
      <c r="E38" s="16" t="inlineStr">
        <is>
          <t>组织架构</t>
        </is>
      </c>
      <c r="F38" s="16" t="inlineStr">
        <is>
          <t>作业区级</t>
        </is>
      </c>
      <c r="G38" s="17" t="inlineStr">
        <is>
          <t xml:space="preserve"> 提供约作业区级组织架构模型配置部署技术服务</t>
        </is>
      </c>
      <c r="H38" s="18" t="inlineStr">
        <is>
          <t>EI</t>
        </is>
      </c>
      <c r="I38" s="18">
        <f>IF(H38="ILF",10,IF(H38="EIF",7,IF(H38="EI",4,IF(H38="EO",5,IF(H38="EQ",4,"")))))</f>
        <v/>
      </c>
      <c r="J38" s="18" t="inlineStr">
        <is>
          <t>低</t>
        </is>
      </c>
      <c r="K38" s="18">
        <f>IF(J38="高",0.33,IF(J38="中",0.67,IF(J38="低",1,"")))</f>
        <v/>
      </c>
      <c r="L38" s="18" t="inlineStr">
        <is>
          <t>新增</t>
        </is>
      </c>
      <c r="M38" s="18">
        <f>IF(L38="新增",1,IF(L38="修改",0.8,IF(L38="删除",0.2,"")))</f>
        <v/>
      </c>
      <c r="N38" s="18">
        <f>I38*K38*M38</f>
        <v/>
      </c>
    </row>
    <row r="39" ht="19" customHeight="1" s="1">
      <c r="B39" s="16" t="n">
        <v>34</v>
      </c>
      <c r="C39" s="16" t="inlineStr">
        <is>
          <t>核心层时序应用管理系统平台开发</t>
        </is>
      </c>
      <c r="D39" s="16" t="inlineStr">
        <is>
          <t>生产单元建模</t>
        </is>
      </c>
      <c r="E39" s="16" t="inlineStr">
        <is>
          <t>组织架构</t>
        </is>
      </c>
      <c r="F39" s="16" t="inlineStr">
        <is>
          <t>站库级</t>
        </is>
      </c>
      <c r="G39" s="17" t="inlineStr">
        <is>
          <t xml:space="preserve"> 提供座站库级组织架构模型配置部署技术服务</t>
        </is>
      </c>
      <c r="H39" s="18" t="inlineStr">
        <is>
          <t>EI</t>
        </is>
      </c>
      <c r="I39" s="18">
        <f>IF(H39="ILF",10,IF(H39="EIF",7,IF(H39="EI",4,IF(H39="EO",5,IF(H39="EQ",4,"")))))</f>
        <v/>
      </c>
      <c r="J39" s="18" t="inlineStr">
        <is>
          <t>低</t>
        </is>
      </c>
      <c r="K39" s="18">
        <f>IF(J39="高",0.33,IF(J39="中",0.67,IF(J39="低",1,"")))</f>
        <v/>
      </c>
      <c r="L39" s="18" t="inlineStr">
        <is>
          <t>新增</t>
        </is>
      </c>
      <c r="M39" s="18">
        <f>IF(L39="新增",1,IF(L39="修改",0.8,IF(L39="删除",0.2,"")))</f>
        <v/>
      </c>
      <c r="N39" s="18">
        <f>I39*K39*M39</f>
        <v/>
      </c>
    </row>
    <row r="40" ht="19" customHeight="1" s="1">
      <c r="B40" s="16" t="n">
        <v>35</v>
      </c>
      <c r="C40" s="16" t="inlineStr">
        <is>
          <t>核心层时序应用管理系统平台开发</t>
        </is>
      </c>
      <c r="D40" s="16" t="inlineStr">
        <is>
          <t>生产单元建模</t>
        </is>
      </c>
      <c r="E40" s="16" t="inlineStr">
        <is>
          <t>组织架构</t>
        </is>
      </c>
      <c r="F40" s="16" t="inlineStr">
        <is>
          <t>设备组级</t>
        </is>
      </c>
      <c r="G40" s="17" t="inlineStr">
        <is>
          <t xml:space="preserve"> 提供设备组级组织架构模型配置部署技术服务</t>
        </is>
      </c>
      <c r="H40" s="18" t="inlineStr">
        <is>
          <t>EI</t>
        </is>
      </c>
      <c r="I40" s="18">
        <f>IF(H40="ILF",10,IF(H40="EIF",7,IF(H40="EI",4,IF(H40="EO",5,IF(H40="EQ",4,"")))))</f>
        <v/>
      </c>
      <c r="J40" s="18" t="inlineStr">
        <is>
          <t>低</t>
        </is>
      </c>
      <c r="K40" s="18">
        <f>IF(J40="高",0.33,IF(J40="中",0.67,IF(J40="低",1,"")))</f>
        <v/>
      </c>
      <c r="L40" s="18" t="inlineStr">
        <is>
          <t>新增</t>
        </is>
      </c>
      <c r="M40" s="18">
        <f>IF(L40="新增",1,IF(L40="修改",0.8,IF(L40="删除",0.2,"")))</f>
        <v/>
      </c>
      <c r="N40" s="18">
        <f>I40*K40*M40</f>
        <v/>
      </c>
    </row>
    <row r="41" ht="19" customHeight="1" s="1">
      <c r="B41" s="16" t="n">
        <v>36</v>
      </c>
      <c r="C41" s="16" t="inlineStr">
        <is>
          <t>核心层时序应用管理系统平台开发</t>
        </is>
      </c>
      <c r="D41" s="16" t="inlineStr">
        <is>
          <t>生产单元建模</t>
        </is>
      </c>
      <c r="E41" s="16" t="inlineStr">
        <is>
          <t>组织架构</t>
        </is>
      </c>
      <c r="F41" s="16" t="inlineStr">
        <is>
          <t>管理部门</t>
        </is>
      </c>
      <c r="G41" s="17" t="inlineStr">
        <is>
          <t xml:space="preserve"> 提供油田公司管理部门组织架构模型配置部署技术服务</t>
        </is>
      </c>
      <c r="H41" s="18" t="inlineStr">
        <is>
          <t>EI</t>
        </is>
      </c>
      <c r="I41" s="18">
        <f>IF(H41="ILF",10,IF(H41="EIF",7,IF(H41="EI",4,IF(H41="EO",5,IF(H41="EQ",4,"")))))</f>
        <v/>
      </c>
      <c r="J41" s="18" t="inlineStr">
        <is>
          <t>低</t>
        </is>
      </c>
      <c r="K41" s="18">
        <f>IF(J41="高",0.33,IF(J41="中",0.67,IF(J41="低",1,"")))</f>
        <v/>
      </c>
      <c r="L41" s="18" t="inlineStr">
        <is>
          <t>新增</t>
        </is>
      </c>
      <c r="M41" s="18">
        <f>IF(L41="新增",1,IF(L41="修改",0.8,IF(L41="删除",0.2,"")))</f>
        <v/>
      </c>
      <c r="N41" s="18">
        <f>I41*K41*M41</f>
        <v/>
      </c>
    </row>
    <row r="42" ht="19" customHeight="1" s="1">
      <c r="B42" s="16" t="n">
        <v>37</v>
      </c>
      <c r="C42" s="16" t="inlineStr">
        <is>
          <t>核心层时序应用管理系统平台开发</t>
        </is>
      </c>
      <c r="D42" s="16" t="inlineStr">
        <is>
          <t>生产单元建模</t>
        </is>
      </c>
      <c r="E42" s="16" t="inlineStr">
        <is>
          <t>组织架构</t>
        </is>
      </c>
      <c r="F42" s="16" t="inlineStr">
        <is>
          <t>角色架构</t>
        </is>
      </c>
      <c r="G42" s="17" t="inlineStr">
        <is>
          <t xml:space="preserve"> 提供人员组织架构和角色权限模型配置部署技术服务</t>
        </is>
      </c>
      <c r="H42" s="18" t="inlineStr">
        <is>
          <t>EI</t>
        </is>
      </c>
      <c r="I42" s="18">
        <f>IF(H42="ILF",10,IF(H42="EIF",7,IF(H42="EI",4,IF(H42="EO",5,IF(H42="EQ",4,"")))))</f>
        <v/>
      </c>
      <c r="J42" s="18" t="inlineStr">
        <is>
          <t>低</t>
        </is>
      </c>
      <c r="K42" s="18">
        <f>IF(J42="高",0.33,IF(J42="中",0.67,IF(J42="低",1,"")))</f>
        <v/>
      </c>
      <c r="L42" s="18" t="inlineStr">
        <is>
          <t>新增</t>
        </is>
      </c>
      <c r="M42" s="18">
        <f>IF(L42="新增",1,IF(L42="修改",0.8,IF(L42="删除",0.2,"")))</f>
        <v/>
      </c>
      <c r="N42" s="18">
        <f>I42*K42*M42</f>
        <v/>
      </c>
    </row>
    <row r="43" ht="19" customHeight="1" s="1">
      <c r="B43" s="16" t="n">
        <v>38</v>
      </c>
      <c r="C43" s="16" t="inlineStr">
        <is>
          <t>核心层时序应用管理系统平台开发</t>
        </is>
      </c>
      <c r="D43" s="16" t="inlineStr">
        <is>
          <t>生产单元建模</t>
        </is>
      </c>
      <c r="E43" s="16" t="inlineStr">
        <is>
          <t>组织架构</t>
        </is>
      </c>
      <c r="F43" s="16" t="inlineStr">
        <is>
          <t>地理区域</t>
        </is>
      </c>
      <c r="G43" s="17" t="inlineStr">
        <is>
          <t xml:space="preserve"> 提供油田地理区域划分模型配置部署技术服务</t>
        </is>
      </c>
      <c r="H43" s="18" t="inlineStr">
        <is>
          <t>EI</t>
        </is>
      </c>
      <c r="I43" s="18">
        <f>IF(H43="ILF",10,IF(H43="EIF",7,IF(H43="EI",4,IF(H43="EO",5,IF(H43="EQ",4,"")))))</f>
        <v/>
      </c>
      <c r="J43" s="18" t="inlineStr">
        <is>
          <t>低</t>
        </is>
      </c>
      <c r="K43" s="18">
        <f>IF(J43="高",0.33,IF(J43="中",0.67,IF(J43="低",1,"")))</f>
        <v/>
      </c>
      <c r="L43" s="18" t="inlineStr">
        <is>
          <t>新增</t>
        </is>
      </c>
      <c r="M43" s="18">
        <f>IF(L43="新增",1,IF(L43="修改",0.8,IF(L43="删除",0.2,"")))</f>
        <v/>
      </c>
      <c r="N43" s="18">
        <f>I43*K43*M43</f>
        <v/>
      </c>
    </row>
    <row r="44" ht="19" customHeight="1" s="1">
      <c r="B44" s="16" t="n">
        <v>39</v>
      </c>
      <c r="C44" s="16" t="inlineStr">
        <is>
          <t>核心层时序应用管理系统平台开发</t>
        </is>
      </c>
      <c r="D44" s="16" t="inlineStr">
        <is>
          <t>生产单元建模</t>
        </is>
      </c>
      <c r="E44" s="16" t="inlineStr">
        <is>
          <t>组织架构</t>
        </is>
      </c>
      <c r="F44" s="16" t="inlineStr">
        <is>
          <t>层级关系</t>
        </is>
      </c>
      <c r="G44" s="17" t="inlineStr">
        <is>
          <t xml:space="preserve"> 提供管理层级和数据汇总关系模型配置部署技术服务</t>
        </is>
      </c>
      <c r="H44" s="18" t="inlineStr">
        <is>
          <t>EI</t>
        </is>
      </c>
      <c r="I44" s="18">
        <f>IF(H44="ILF",10,IF(H44="EIF",7,IF(H44="EI",4,IF(H44="EO",5,IF(H44="EQ",4,"")))))</f>
        <v/>
      </c>
      <c r="J44" s="18" t="inlineStr">
        <is>
          <t>低</t>
        </is>
      </c>
      <c r="K44" s="18">
        <f>IF(J44="高",0.33,IF(J44="中",0.67,IF(J44="低",1,"")))</f>
        <v/>
      </c>
      <c r="L44" s="18" t="inlineStr">
        <is>
          <t>新增</t>
        </is>
      </c>
      <c r="M44" s="18">
        <f>IF(L44="新增",1,IF(L44="修改",0.8,IF(L44="删除",0.2,"")))</f>
        <v/>
      </c>
      <c r="N44" s="18">
        <f>I44*K44*M44</f>
        <v/>
      </c>
    </row>
    <row r="45" ht="19" customHeight="1" s="1">
      <c r="B45" s="16" t="n">
        <v>40</v>
      </c>
      <c r="C45" s="16" t="inlineStr">
        <is>
          <t>核心层时序应用管理系统平台开发</t>
        </is>
      </c>
      <c r="D45" s="16" t="inlineStr">
        <is>
          <t>生产单元建模</t>
        </is>
      </c>
      <c r="E45" s="16" t="inlineStr">
        <is>
          <t>组织架构</t>
        </is>
      </c>
      <c r="F45" s="16" t="inlineStr">
        <is>
          <t>跨厂协作</t>
        </is>
      </c>
      <c r="G45" s="17" t="inlineStr">
        <is>
          <t xml:space="preserve"> 提供跨采油厂协作组织架构配置部署技术服务</t>
        </is>
      </c>
      <c r="H45" s="18" t="inlineStr">
        <is>
          <t>EI</t>
        </is>
      </c>
      <c r="I45" s="18">
        <f>IF(H45="ILF",10,IF(H45="EIF",7,IF(H45="EI",4,IF(H45="EO",5,IF(H45="EQ",4,"")))))</f>
        <v/>
      </c>
      <c r="J45" s="18" t="inlineStr">
        <is>
          <t>低</t>
        </is>
      </c>
      <c r="K45" s="18">
        <f>IF(J45="高",0.33,IF(J45="中",0.67,IF(J45="低",1,"")))</f>
        <v/>
      </c>
      <c r="L45" s="18" t="inlineStr">
        <is>
          <t>新增</t>
        </is>
      </c>
      <c r="M45" s="18">
        <f>IF(L45="新增",1,IF(L45="修改",0.8,IF(L45="删除",0.2,"")))</f>
        <v/>
      </c>
      <c r="N45" s="18">
        <f>I45*K45*M45</f>
        <v/>
      </c>
    </row>
    <row r="46" ht="19" customHeight="1" s="1">
      <c r="B46" s="16" t="n">
        <v>41</v>
      </c>
      <c r="C46" s="16" t="inlineStr">
        <is>
          <t>核心层时序应用管理系统平台开发</t>
        </is>
      </c>
      <c r="D46" s="16" t="inlineStr">
        <is>
          <t>生产单元建模</t>
        </is>
      </c>
      <c r="E46" s="16" t="inlineStr">
        <is>
          <t>组织架构</t>
        </is>
      </c>
      <c r="F46" s="16" t="inlineStr">
        <is>
          <t>组织变更</t>
        </is>
      </c>
      <c r="G46" s="17" t="inlineStr">
        <is>
          <t xml:space="preserve"> 提供组织架构变更的版本管理技术服务</t>
        </is>
      </c>
      <c r="H46" s="18" t="inlineStr">
        <is>
          <t>EI</t>
        </is>
      </c>
      <c r="I46" s="18">
        <f>IF(H46="ILF",10,IF(H46="EIF",7,IF(H46="EI",4,IF(H46="EO",5,IF(H46="EQ",4,"")))))</f>
        <v/>
      </c>
      <c r="J46" s="18" t="inlineStr">
        <is>
          <t>低</t>
        </is>
      </c>
      <c r="K46" s="18">
        <f>IF(J46="高",0.33,IF(J46="中",0.67,IF(J46="低",1,"")))</f>
        <v/>
      </c>
      <c r="L46" s="18" t="inlineStr">
        <is>
          <t>新增</t>
        </is>
      </c>
      <c r="M46" s="18">
        <f>IF(L46="新增",1,IF(L46="修改",0.8,IF(L46="删除",0.2,"")))</f>
        <v/>
      </c>
      <c r="N46" s="18">
        <f>I46*K46*M46</f>
        <v/>
      </c>
    </row>
    <row r="47" ht="19" customHeight="1" s="1">
      <c r="B47" s="16" t="n">
        <v>42</v>
      </c>
      <c r="C47" s="16" t="inlineStr">
        <is>
          <t>核心层时序应用管理系统平台开发</t>
        </is>
      </c>
      <c r="D47" s="16" t="inlineStr">
        <is>
          <t>生产单元建模</t>
        </is>
      </c>
      <c r="E47" s="16" t="inlineStr">
        <is>
          <t>标识绑定</t>
        </is>
      </c>
      <c r="F47" s="16" t="inlineStr">
        <is>
          <t>A2ID绑定</t>
        </is>
      </c>
      <c r="G47" s="17" t="inlineStr">
        <is>
          <t xml:space="preserve"> 提供资产标识与组织层级绑定关系建立技术服务</t>
        </is>
      </c>
      <c r="H47" s="18" t="inlineStr">
        <is>
          <t>EI</t>
        </is>
      </c>
      <c r="I47" s="18">
        <f>IF(H47="ILF",10,IF(H47="EIF",7,IF(H47="EI",4,IF(H47="EO",5,IF(H47="EQ",4,"")))))</f>
        <v/>
      </c>
      <c r="J47" s="18" t="inlineStr">
        <is>
          <t>低</t>
        </is>
      </c>
      <c r="K47" s="18">
        <f>IF(J47="高",0.33,IF(J47="中",0.67,IF(J47="低",1,"")))</f>
        <v/>
      </c>
      <c r="L47" s="18" t="inlineStr">
        <is>
          <t>新增</t>
        </is>
      </c>
      <c r="M47" s="18">
        <f>IF(L47="新增",1,IF(L47="修改",0.8,IF(L47="删除",0.2,"")))</f>
        <v/>
      </c>
      <c r="N47" s="18">
        <f>I47*K47*M47</f>
        <v/>
      </c>
    </row>
    <row r="48" ht="19" customHeight="1" s="1">
      <c r="B48" s="16" t="n">
        <v>43</v>
      </c>
      <c r="C48" s="16" t="inlineStr">
        <is>
          <t>核心层时序应用管理系统平台开发</t>
        </is>
      </c>
      <c r="D48" s="16" t="inlineStr">
        <is>
          <t>生产单元建模</t>
        </is>
      </c>
      <c r="E48" s="16" t="inlineStr">
        <is>
          <t>标识绑定</t>
        </is>
      </c>
      <c r="F48" s="16" t="inlineStr">
        <is>
          <t>A5ID绑定</t>
        </is>
      </c>
      <c r="G48" s="17" t="inlineStr">
        <is>
          <t xml:space="preserve"> 提供设备标识与组织层级绑定关系建立技术服务</t>
        </is>
      </c>
      <c r="H48" s="18" t="inlineStr">
        <is>
          <t>EI</t>
        </is>
      </c>
      <c r="I48" s="18">
        <f>IF(H48="ILF",10,IF(H48="EIF",7,IF(H48="EI",4,IF(H48="EO",5,IF(H48="EQ",4,"")))))</f>
        <v/>
      </c>
      <c r="J48" s="18" t="inlineStr">
        <is>
          <t>低</t>
        </is>
      </c>
      <c r="K48" s="18">
        <f>IF(J48="高",0.33,IF(J48="中",0.67,IF(J48="低",1,"")))</f>
        <v/>
      </c>
      <c r="L48" s="18" t="inlineStr">
        <is>
          <t>新增</t>
        </is>
      </c>
      <c r="M48" s="18">
        <f>IF(L48="新增",1,IF(L48="修改",0.8,IF(L48="删除",0.2,"")))</f>
        <v/>
      </c>
      <c r="N48" s="18">
        <f>I48*K48*M48</f>
        <v/>
      </c>
    </row>
    <row r="49" ht="19" customHeight="1" s="1">
      <c r="B49" s="16" t="n">
        <v>44</v>
      </c>
      <c r="C49" s="16" t="inlineStr">
        <is>
          <t>核心层时序应用管理系统平台开发</t>
        </is>
      </c>
      <c r="D49" s="16" t="inlineStr">
        <is>
          <t>生产单元建模</t>
        </is>
      </c>
      <c r="E49" s="16" t="inlineStr">
        <is>
          <t>标识绑定</t>
        </is>
      </c>
      <c r="F49" s="16" t="inlineStr">
        <is>
          <t>DTU绑定</t>
        </is>
      </c>
      <c r="G49" s="17" t="inlineStr">
        <is>
          <t xml:space="preserve"> 提供DTU终端ID与设备绑定关系建立技术服务</t>
        </is>
      </c>
      <c r="H49" s="18" t="inlineStr">
        <is>
          <t>EI</t>
        </is>
      </c>
      <c r="I49" s="18">
        <f>IF(H49="ILF",10,IF(H49="EIF",7,IF(H49="EI",4,IF(H49="EO",5,IF(H49="EQ",4,"")))))</f>
        <v/>
      </c>
      <c r="J49" s="18" t="inlineStr">
        <is>
          <t>低</t>
        </is>
      </c>
      <c r="K49" s="18">
        <f>IF(J49="高",0.33,IF(J49="中",0.67,IF(J49="低",1,"")))</f>
        <v/>
      </c>
      <c r="L49" s="18" t="inlineStr">
        <is>
          <t>新增</t>
        </is>
      </c>
      <c r="M49" s="18">
        <f>IF(L49="新增",1,IF(L49="修改",0.8,IF(L49="删除",0.2,"")))</f>
        <v/>
      </c>
      <c r="N49" s="18">
        <f>I49*K49*M49</f>
        <v/>
      </c>
    </row>
    <row r="50" ht="19" customHeight="1" s="1">
      <c r="B50" s="16" t="n">
        <v>45</v>
      </c>
      <c r="C50" s="16" t="inlineStr">
        <is>
          <t>核心层时序应用管理系统平台开发</t>
        </is>
      </c>
      <c r="D50" s="16" t="inlineStr">
        <is>
          <t>生产单元建模</t>
        </is>
      </c>
      <c r="E50" s="16" t="inlineStr">
        <is>
          <t>标识绑定</t>
        </is>
      </c>
      <c r="F50" s="16" t="inlineStr">
        <is>
          <t>IP绑定</t>
        </is>
      </c>
      <c r="G50" s="17" t="inlineStr">
        <is>
          <t xml:space="preserve"> 提供IP地址与组织层级绑定关系建立技术服务</t>
        </is>
      </c>
      <c r="H50" s="18" t="inlineStr">
        <is>
          <t>EI</t>
        </is>
      </c>
      <c r="I50" s="18">
        <f>IF(H50="ILF",10,IF(H50="EIF",7,IF(H50="EI",4,IF(H50="EO",5,IF(H50="EQ",4,"")))))</f>
        <v/>
      </c>
      <c r="J50" s="18" t="inlineStr">
        <is>
          <t>中</t>
        </is>
      </c>
      <c r="K50" s="18">
        <f>IF(J50="高",0.33,IF(J50="中",0.67,IF(J50="低",1,"")))</f>
        <v/>
      </c>
      <c r="L50" s="18" t="inlineStr">
        <is>
          <t>新增</t>
        </is>
      </c>
      <c r="M50" s="18">
        <f>IF(L50="新增",1,IF(L50="修改",0.8,IF(L50="删除",0.2,"")))</f>
        <v/>
      </c>
      <c r="N50" s="18">
        <f>I50*K50*M50</f>
        <v/>
      </c>
    </row>
    <row r="51" ht="19" customHeight="1" s="1">
      <c r="B51" s="16" t="n">
        <v>46</v>
      </c>
      <c r="C51" s="16" t="inlineStr">
        <is>
          <t>核心层时序应用管理系统平台开发</t>
        </is>
      </c>
      <c r="D51" s="16" t="inlineStr">
        <is>
          <t>生产单元建模</t>
        </is>
      </c>
      <c r="E51" s="16" t="inlineStr">
        <is>
          <t>标识绑定</t>
        </is>
      </c>
      <c r="F51" s="16" t="inlineStr">
        <is>
          <t>台账绑定</t>
        </is>
      </c>
      <c r="G51" s="17" t="inlineStr">
        <is>
          <t xml:space="preserve"> 提供资产台账信息与设备绑定关系建立技术服务</t>
        </is>
      </c>
      <c r="H51" s="18" t="inlineStr">
        <is>
          <t>EI</t>
        </is>
      </c>
      <c r="I51" s="18">
        <f>IF(H51="ILF",10,IF(H51="EIF",7,IF(H51="EI",4,IF(H51="EO",5,IF(H51="EQ",4,"")))))</f>
        <v/>
      </c>
      <c r="J51" s="18" t="inlineStr">
        <is>
          <t>中</t>
        </is>
      </c>
      <c r="K51" s="18">
        <f>IF(J51="高",0.33,IF(J51="中",0.67,IF(J51="低",1,"")))</f>
        <v/>
      </c>
      <c r="L51" s="18" t="inlineStr">
        <is>
          <t>新增</t>
        </is>
      </c>
      <c r="M51" s="18">
        <f>IF(L51="新增",1,IF(L51="修改",0.8,IF(L51="删除",0.2,"")))</f>
        <v/>
      </c>
      <c r="N51" s="18">
        <f>I51*K51*M51</f>
        <v/>
      </c>
    </row>
    <row r="52" ht="19" customHeight="1" s="1">
      <c r="B52" s="16" t="n">
        <v>47</v>
      </c>
      <c r="C52" s="16" t="inlineStr">
        <is>
          <t>核心层时序应用管理系统平台开发</t>
        </is>
      </c>
      <c r="D52" s="16" t="inlineStr">
        <is>
          <t>生产单元建模</t>
        </is>
      </c>
      <c r="E52" s="16" t="inlineStr">
        <is>
          <t>标识绑定</t>
        </is>
      </c>
      <c r="F52" s="16" t="inlineStr">
        <is>
          <t>位置绑定</t>
        </is>
      </c>
      <c r="G52" s="17" t="inlineStr">
        <is>
          <t xml:space="preserve"> 提供设备地理位置与层级绑定关系建立技术服务</t>
        </is>
      </c>
      <c r="H52" s="18" t="inlineStr">
        <is>
          <t>EI</t>
        </is>
      </c>
      <c r="I52" s="18">
        <f>IF(H52="ILF",10,IF(H52="EIF",7,IF(H52="EI",4,IF(H52="EO",5,IF(H52="EQ",4,"")))))</f>
        <v/>
      </c>
      <c r="J52" s="18" t="inlineStr">
        <is>
          <t>中</t>
        </is>
      </c>
      <c r="K52" s="18">
        <f>IF(J52="高",0.33,IF(J52="中",0.67,IF(J52="低",1,"")))</f>
        <v/>
      </c>
      <c r="L52" s="18" t="inlineStr">
        <is>
          <t>新增</t>
        </is>
      </c>
      <c r="M52" s="18">
        <f>IF(L52="新增",1,IF(L52="修改",0.8,IF(L52="删除",0.2,"")))</f>
        <v/>
      </c>
      <c r="N52" s="18">
        <f>I52*K52*M52</f>
        <v/>
      </c>
    </row>
    <row r="53" ht="19" customHeight="1" s="1">
      <c r="B53" s="16" t="n">
        <v>48</v>
      </c>
      <c r="C53" s="16" t="inlineStr">
        <is>
          <t>核心层时序应用管理系统平台开发</t>
        </is>
      </c>
      <c r="D53" s="16" t="inlineStr">
        <is>
          <t>生产单元建模</t>
        </is>
      </c>
      <c r="E53" s="16" t="inlineStr">
        <is>
          <t>标识绑定</t>
        </is>
      </c>
      <c r="F53" s="16" t="inlineStr">
        <is>
          <t>岗位绑定</t>
        </is>
      </c>
      <c r="G53" s="17" t="inlineStr">
        <is>
          <t xml:space="preserve"> 提供人员岗位与组织层级绑定关系建立技术服务</t>
        </is>
      </c>
      <c r="H53" s="18" t="inlineStr">
        <is>
          <t>EI</t>
        </is>
      </c>
      <c r="I53" s="18">
        <f>IF(H53="ILF",10,IF(H53="EIF",7,IF(H53="EI",4,IF(H53="EO",5,IF(H53="EQ",4,"")))))</f>
        <v/>
      </c>
      <c r="J53" s="18" t="inlineStr">
        <is>
          <t>中</t>
        </is>
      </c>
      <c r="K53" s="18">
        <f>IF(J53="高",0.33,IF(J53="中",0.67,IF(J53="低",1,"")))</f>
        <v/>
      </c>
      <c r="L53" s="18" t="inlineStr">
        <is>
          <t>新增</t>
        </is>
      </c>
      <c r="M53" s="18">
        <f>IF(L53="新增",1,IF(L53="修改",0.8,IF(L53="删除",0.2,"")))</f>
        <v/>
      </c>
      <c r="N53" s="18">
        <f>I53*K53*M53</f>
        <v/>
      </c>
    </row>
    <row r="54" ht="19" customHeight="1" s="1">
      <c r="B54" s="16" t="n">
        <v>49</v>
      </c>
      <c r="C54" s="16" t="inlineStr">
        <is>
          <t>核心层时序应用管理系统平台开发</t>
        </is>
      </c>
      <c r="D54" s="16" t="inlineStr">
        <is>
          <t>生产单元建模</t>
        </is>
      </c>
      <c r="E54" s="16" t="inlineStr">
        <is>
          <t>标识绑定</t>
        </is>
      </c>
      <c r="F54" s="16" t="inlineStr">
        <is>
          <t>权限绑定</t>
        </is>
      </c>
      <c r="G54" s="17" t="inlineStr">
        <is>
          <t xml:space="preserve"> 提供权限范围与组织层级绑定关系建立技术服务</t>
        </is>
      </c>
      <c r="H54" s="18" t="inlineStr">
        <is>
          <t>EI</t>
        </is>
      </c>
      <c r="I54" s="18">
        <f>IF(H54="ILF",10,IF(H54="EIF",7,IF(H54="EI",4,IF(H54="EO",5,IF(H54="EQ",4,"")))))</f>
        <v/>
      </c>
      <c r="J54" s="18" t="inlineStr">
        <is>
          <t>中</t>
        </is>
      </c>
      <c r="K54" s="18">
        <f>IF(J54="高",0.33,IF(J54="中",0.67,IF(J54="低",1,"")))</f>
        <v/>
      </c>
      <c r="L54" s="18" t="inlineStr">
        <is>
          <t>新增</t>
        </is>
      </c>
      <c r="M54" s="18">
        <f>IF(L54="新增",1,IF(L54="修改",0.8,IF(L54="删除",0.2,"")))</f>
        <v/>
      </c>
      <c r="N54" s="18">
        <f>I54*K54*M54</f>
        <v/>
      </c>
    </row>
    <row r="55" ht="19" customHeight="1" s="1">
      <c r="B55" s="16" t="n">
        <v>50</v>
      </c>
      <c r="C55" s="16" t="inlineStr">
        <is>
          <t>核心层时序应用管理系统平台开发</t>
        </is>
      </c>
      <c r="D55" s="16" t="inlineStr">
        <is>
          <t>生产单元建模</t>
        </is>
      </c>
      <c r="E55" s="16" t="inlineStr">
        <is>
          <t>标识绑定</t>
        </is>
      </c>
      <c r="F55" s="16" t="inlineStr">
        <is>
          <t>策略绑定</t>
        </is>
      </c>
      <c r="G55" s="17" t="inlineStr">
        <is>
          <t xml:space="preserve"> 提供采集策略与组织层级绑定关系建立技术服务</t>
        </is>
      </c>
      <c r="H55" s="18" t="inlineStr">
        <is>
          <t>EI</t>
        </is>
      </c>
      <c r="I55" s="18">
        <f>IF(H55="ILF",10,IF(H55="EIF",7,IF(H55="EI",4,IF(H55="EO",5,IF(H55="EQ",4,"")))))</f>
        <v/>
      </c>
      <c r="J55" s="18" t="inlineStr">
        <is>
          <t>中</t>
        </is>
      </c>
      <c r="K55" s="18">
        <f>IF(J55="高",0.33,IF(J55="中",0.67,IF(J55="低",1,"")))</f>
        <v/>
      </c>
      <c r="L55" s="18" t="inlineStr">
        <is>
          <t>新增</t>
        </is>
      </c>
      <c r="M55" s="18">
        <f>IF(L55="新增",1,IF(L55="修改",0.8,IF(L55="删除",0.2,"")))</f>
        <v/>
      </c>
      <c r="N55" s="18">
        <f>I55*K55*M55</f>
        <v/>
      </c>
    </row>
    <row r="56" ht="19" customHeight="1" s="1">
      <c r="B56" s="16" t="n">
        <v>51</v>
      </c>
      <c r="C56" s="16" t="inlineStr">
        <is>
          <t>核心层时序应用管理系统平台开发</t>
        </is>
      </c>
      <c r="D56" s="16" t="inlineStr">
        <is>
          <t>安全审计追溯</t>
        </is>
      </c>
      <c r="E56" s="16" t="inlineStr">
        <is>
          <t>全链路追踪</t>
        </is>
      </c>
      <c r="F56" s="16" t="inlineStr">
        <is>
          <t>采集链路</t>
        </is>
      </c>
      <c r="G56" s="17" t="inlineStr">
        <is>
          <t xml:space="preserve"> 提供从设备采集到入库的完整链路追踪技术服务</t>
        </is>
      </c>
      <c r="H56" s="18" t="inlineStr">
        <is>
          <t>EI</t>
        </is>
      </c>
      <c r="I56" s="18">
        <f>IF(H56="ILF",10,IF(H56="EIF",7,IF(H56="EI",4,IF(H56="EO",5,IF(H56="EQ",4,"")))))</f>
        <v/>
      </c>
      <c r="J56" s="18" t="inlineStr">
        <is>
          <t>中</t>
        </is>
      </c>
      <c r="K56" s="18">
        <f>IF(J56="高",0.33,IF(J56="中",0.67,IF(J56="低",1,"")))</f>
        <v/>
      </c>
      <c r="L56" s="18" t="inlineStr">
        <is>
          <t>新增</t>
        </is>
      </c>
      <c r="M56" s="18">
        <f>IF(L56="新增",1,IF(L56="修改",0.8,IF(L56="删除",0.2,"")))</f>
        <v/>
      </c>
      <c r="N56" s="18">
        <f>I56*K56*M56</f>
        <v/>
      </c>
    </row>
    <row r="57" ht="19" customHeight="1" s="1">
      <c r="B57" s="16" t="n">
        <v>52</v>
      </c>
      <c r="C57" s="16" t="inlineStr">
        <is>
          <t>核心层时序应用管理系统平台开发</t>
        </is>
      </c>
      <c r="D57" s="16" t="inlineStr">
        <is>
          <t>安全审计追溯</t>
        </is>
      </c>
      <c r="E57" s="16" t="inlineStr">
        <is>
          <t>全链路追踪</t>
        </is>
      </c>
      <c r="F57" s="16" t="inlineStr">
        <is>
          <t>协议解析追踪</t>
        </is>
      </c>
      <c r="G57" s="17" t="inlineStr">
        <is>
          <t xml:space="preserve"> 提供协议解析各环节的链路追踪技术服务</t>
        </is>
      </c>
      <c r="H57" s="18" t="inlineStr">
        <is>
          <t>EI</t>
        </is>
      </c>
      <c r="I57" s="18">
        <f>IF(H57="ILF",10,IF(H57="EIF",7,IF(H57="EI",4,IF(H57="EO",5,IF(H57="EQ",4,"")))))</f>
        <v/>
      </c>
      <c r="J57" s="18" t="inlineStr">
        <is>
          <t>中</t>
        </is>
      </c>
      <c r="K57" s="18">
        <f>IF(J57="高",0.33,IF(J57="中",0.67,IF(J57="低",1,"")))</f>
        <v/>
      </c>
      <c r="L57" s="18" t="inlineStr">
        <is>
          <t>新增</t>
        </is>
      </c>
      <c r="M57" s="18">
        <f>IF(L57="新增",1,IF(L57="修改",0.8,IF(L57="删除",0.2,"")))</f>
        <v/>
      </c>
      <c r="N57" s="18">
        <f>I57*K57*M57</f>
        <v/>
      </c>
    </row>
    <row r="58" ht="19" customHeight="1" s="1">
      <c r="B58" s="16" t="n">
        <v>53</v>
      </c>
      <c r="C58" s="16" t="inlineStr">
        <is>
          <t>核心层时序应用管理系统平台开发</t>
        </is>
      </c>
      <c r="D58" s="16" t="inlineStr">
        <is>
          <t>安全审计追溯</t>
        </is>
      </c>
      <c r="E58" s="16" t="inlineStr">
        <is>
          <t>全链路追踪</t>
        </is>
      </c>
      <c r="F58" s="16" t="inlineStr">
        <is>
          <t>物模型追踪</t>
        </is>
      </c>
      <c r="G58" s="17" t="inlineStr">
        <is>
          <t xml:space="preserve"> 提供物模型转换环节的链路追踪技术服务</t>
        </is>
      </c>
      <c r="H58" s="18" t="inlineStr">
        <is>
          <t>EI</t>
        </is>
      </c>
      <c r="I58" s="18">
        <f>IF(H58="ILF",10,IF(H58="EIF",7,IF(H58="EI",4,IF(H58="EO",5,IF(H58="EQ",4,"")))))</f>
        <v/>
      </c>
      <c r="J58" s="18" t="inlineStr">
        <is>
          <t>中</t>
        </is>
      </c>
      <c r="K58" s="18">
        <f>IF(J58="高",0.33,IF(J58="中",0.67,IF(J58="低",1,"")))</f>
        <v/>
      </c>
      <c r="L58" s="18" t="inlineStr">
        <is>
          <t>新增</t>
        </is>
      </c>
      <c r="M58" s="18">
        <f>IF(L58="新增",1,IF(L58="修改",0.8,IF(L58="删除",0.2,"")))</f>
        <v/>
      </c>
      <c r="N58" s="18">
        <f>I58*K58*M58</f>
        <v/>
      </c>
    </row>
    <row r="59" ht="19" customHeight="1" s="1">
      <c r="B59" s="16" t="n">
        <v>54</v>
      </c>
      <c r="C59" s="16" t="inlineStr">
        <is>
          <t>核心层时序应用管理系统平台开发</t>
        </is>
      </c>
      <c r="D59" s="16" t="inlineStr">
        <is>
          <t>安全审计追溯</t>
        </is>
      </c>
      <c r="E59" s="16" t="inlineStr">
        <is>
          <t>全链路追踪</t>
        </is>
      </c>
      <c r="F59" s="16" t="inlineStr">
        <is>
          <t>流式计算追踪</t>
        </is>
      </c>
      <c r="G59" s="17" t="inlineStr">
        <is>
          <t xml:space="preserve"> 提供流式计算各环节处理的链路追踪技术服务</t>
        </is>
      </c>
      <c r="H59" s="18" t="inlineStr">
        <is>
          <t>EI</t>
        </is>
      </c>
      <c r="I59" s="18">
        <f>IF(H59="ILF",10,IF(H59="EIF",7,IF(H59="EI",4,IF(H59="EO",5,IF(H59="EQ",4,"")))))</f>
        <v/>
      </c>
      <c r="J59" s="18" t="inlineStr">
        <is>
          <t>中</t>
        </is>
      </c>
      <c r="K59" s="18">
        <f>IF(J59="高",0.33,IF(J59="中",0.67,IF(J59="低",1,"")))</f>
        <v/>
      </c>
      <c r="L59" s="18" t="inlineStr">
        <is>
          <t>新增</t>
        </is>
      </c>
      <c r="M59" s="18">
        <f>IF(L59="新增",1,IF(L59="修改",0.8,IF(L59="删除",0.2,"")))</f>
        <v/>
      </c>
      <c r="N59" s="18">
        <f>I59*K59*M59</f>
        <v/>
      </c>
    </row>
    <row r="60" ht="19" customHeight="1" s="1">
      <c r="B60" s="16" t="n">
        <v>55</v>
      </c>
      <c r="C60" s="16" t="inlineStr">
        <is>
          <t>核心层时序应用管理系统平台开发</t>
        </is>
      </c>
      <c r="D60" s="16" t="inlineStr">
        <is>
          <t>安全审计追溯</t>
        </is>
      </c>
      <c r="E60" s="16" t="inlineStr">
        <is>
          <t>全链路追踪</t>
        </is>
      </c>
      <c r="F60" s="16" t="inlineStr">
        <is>
          <t>告警追踪</t>
        </is>
      </c>
      <c r="G60" s="17" t="inlineStr">
        <is>
          <t xml:space="preserve"> 提供告警触发的完整链路追踪技术服务</t>
        </is>
      </c>
      <c r="H60" s="18" t="inlineStr">
        <is>
          <t>EI</t>
        </is>
      </c>
      <c r="I60" s="18">
        <f>IF(H60="ILF",10,IF(H60="EIF",7,IF(H60="EI",4,IF(H60="EO",5,IF(H60="EQ",4,"")))))</f>
        <v/>
      </c>
      <c r="J60" s="18" t="inlineStr">
        <is>
          <t>中</t>
        </is>
      </c>
      <c r="K60" s="18">
        <f>IF(J60="高",0.33,IF(J60="中",0.67,IF(J60="低",1,"")))</f>
        <v/>
      </c>
      <c r="L60" s="18" t="inlineStr">
        <is>
          <t>新增</t>
        </is>
      </c>
      <c r="M60" s="18">
        <f>IF(L60="新增",1,IF(L60="修改",0.8,IF(L60="删除",0.2,"")))</f>
        <v/>
      </c>
      <c r="N60" s="18">
        <f>I60*K60*M60</f>
        <v/>
      </c>
    </row>
    <row r="61" ht="19" customHeight="1" s="1">
      <c r="B61" s="16" t="n">
        <v>56</v>
      </c>
      <c r="C61" s="16" t="inlineStr">
        <is>
          <t>核心层时序应用管理系统平台开发</t>
        </is>
      </c>
      <c r="D61" s="16" t="inlineStr">
        <is>
          <t>安全审计追溯</t>
        </is>
      </c>
      <c r="E61" s="16" t="inlineStr">
        <is>
          <t>全链路追踪</t>
        </is>
      </c>
      <c r="F61" s="16" t="inlineStr">
        <is>
          <t>工单追踪</t>
        </is>
      </c>
      <c r="G61" s="17" t="inlineStr">
        <is>
          <t xml:space="preserve"> 提供工单处置各环节的链路追踪技术服务</t>
        </is>
      </c>
      <c r="H61" s="18" t="inlineStr">
        <is>
          <t>EI</t>
        </is>
      </c>
      <c r="I61" s="18">
        <f>IF(H61="ILF",10,IF(H61="EIF",7,IF(H61="EI",4,IF(H61="EO",5,IF(H61="EQ",4,"")))))</f>
        <v/>
      </c>
      <c r="J61" s="18" t="inlineStr">
        <is>
          <t>中</t>
        </is>
      </c>
      <c r="K61" s="18">
        <f>IF(J61="高",0.33,IF(J61="中",0.67,IF(J61="低",1,"")))</f>
        <v/>
      </c>
      <c r="L61" s="18" t="inlineStr">
        <is>
          <t>新增</t>
        </is>
      </c>
      <c r="M61" s="18">
        <f>IF(L61="新增",1,IF(L61="修改",0.8,IF(L61="删除",0.2,"")))</f>
        <v/>
      </c>
      <c r="N61" s="18">
        <f>I61*K61*M61</f>
        <v/>
      </c>
    </row>
    <row r="62" ht="19" customHeight="1" s="1">
      <c r="B62" s="16" t="n">
        <v>57</v>
      </c>
      <c r="C62" s="16" t="inlineStr">
        <is>
          <t>核心层时序应用管理系统平台开发</t>
        </is>
      </c>
      <c r="D62" s="16" t="inlineStr">
        <is>
          <t>安全审计追溯</t>
        </is>
      </c>
      <c r="E62" s="16" t="inlineStr">
        <is>
          <t>全链路追踪</t>
        </is>
      </c>
      <c r="F62" s="16" t="inlineStr">
        <is>
          <t>存储追踪</t>
        </is>
      </c>
      <c r="G62" s="17" t="inlineStr">
        <is>
          <t xml:space="preserve"> 提供数据存储写入的链路追踪技术服务</t>
        </is>
      </c>
      <c r="H62" s="18" t="inlineStr">
        <is>
          <t>EI</t>
        </is>
      </c>
      <c r="I62" s="18">
        <f>IF(H62="ILF",10,IF(H62="EIF",7,IF(H62="EI",4,IF(H62="EO",5,IF(H62="EQ",4,"")))))</f>
        <v/>
      </c>
      <c r="J62" s="18" t="inlineStr">
        <is>
          <t>中</t>
        </is>
      </c>
      <c r="K62" s="18">
        <f>IF(J62="高",0.33,IF(J62="中",0.67,IF(J62="低",1,"")))</f>
        <v/>
      </c>
      <c r="L62" s="18" t="inlineStr">
        <is>
          <t>新增</t>
        </is>
      </c>
      <c r="M62" s="18">
        <f>IF(L62="新增",1,IF(L62="修改",0.8,IF(L62="删除",0.2,"")))</f>
        <v/>
      </c>
      <c r="N62" s="18">
        <f>I62*K62*M62</f>
        <v/>
      </c>
    </row>
    <row r="63" ht="19" customHeight="1" s="1">
      <c r="B63" s="16" t="n">
        <v>58</v>
      </c>
      <c r="C63" s="16" t="inlineStr">
        <is>
          <t>核心层时序应用管理系统平台开发</t>
        </is>
      </c>
      <c r="D63" s="16" t="inlineStr">
        <is>
          <t>安全审计追溯</t>
        </is>
      </c>
      <c r="E63" s="16" t="inlineStr">
        <is>
          <t>全链路追踪</t>
        </is>
      </c>
      <c r="F63" s="16" t="inlineStr">
        <is>
          <t>API调用追踪</t>
        </is>
      </c>
      <c r="G63" s="17" t="inlineStr">
        <is>
          <t xml:space="preserve"> 提供API调用全过程的链路追踪技术服务</t>
        </is>
      </c>
      <c r="H63" s="18" t="inlineStr">
        <is>
          <t>EI</t>
        </is>
      </c>
      <c r="I63" s="18">
        <f>IF(H63="ILF",10,IF(H63="EIF",7,IF(H63="EI",4,IF(H63="EO",5,IF(H63="EQ",4,"")))))</f>
        <v/>
      </c>
      <c r="J63" s="18" t="inlineStr">
        <is>
          <t>中</t>
        </is>
      </c>
      <c r="K63" s="18">
        <f>IF(J63="高",0.33,IF(J63="中",0.67,IF(J63="低",1,"")))</f>
        <v/>
      </c>
      <c r="L63" s="18" t="inlineStr">
        <is>
          <t>新增</t>
        </is>
      </c>
      <c r="M63" s="18">
        <f>IF(L63="新增",1,IF(L63="修改",0.8,IF(L63="删除",0.2,"")))</f>
        <v/>
      </c>
      <c r="N63" s="18">
        <f>I63*K63*M63</f>
        <v/>
      </c>
    </row>
    <row r="64" ht="19" customHeight="1" s="1">
      <c r="B64" s="16" t="n">
        <v>59</v>
      </c>
      <c r="C64" s="16" t="inlineStr">
        <is>
          <t>核心层时序应用管理系统平台开发</t>
        </is>
      </c>
      <c r="D64" s="16" t="inlineStr">
        <is>
          <t>安全审计追溯</t>
        </is>
      </c>
      <c r="E64" s="16" t="inlineStr">
        <is>
          <t>全链路追踪</t>
        </is>
      </c>
      <c r="F64" s="16" t="inlineStr">
        <is>
          <t>MQTT追踪</t>
        </is>
      </c>
      <c r="G64" s="17" t="inlineStr">
        <is>
          <t xml:space="preserve"> 提供MQTT消息推送链路追踪技术服务</t>
        </is>
      </c>
      <c r="H64" s="18" t="inlineStr">
        <is>
          <t>EI</t>
        </is>
      </c>
      <c r="I64" s="18">
        <f>IF(H64="ILF",10,IF(H64="EIF",7,IF(H64="EI",4,IF(H64="EO",5,IF(H64="EQ",4,"")))))</f>
        <v/>
      </c>
      <c r="J64" s="18" t="inlineStr">
        <is>
          <t>中</t>
        </is>
      </c>
      <c r="K64" s="18">
        <f>IF(J64="高",0.33,IF(J64="中",0.67,IF(J64="低",1,"")))</f>
        <v/>
      </c>
      <c r="L64" s="18" t="inlineStr">
        <is>
          <t>新增</t>
        </is>
      </c>
      <c r="M64" s="18">
        <f>IF(L64="新增",1,IF(L64="修改",0.8,IF(L64="删除",0.2,"")))</f>
        <v/>
      </c>
      <c r="N64" s="18">
        <f>I64*K64*M64</f>
        <v/>
      </c>
    </row>
    <row r="65" ht="19" customHeight="1" s="1">
      <c r="B65" s="16" t="n">
        <v>60</v>
      </c>
      <c r="C65" s="16" t="inlineStr">
        <is>
          <t>核心层时序应用管理系统平台开发</t>
        </is>
      </c>
      <c r="D65" s="16" t="inlineStr">
        <is>
          <t>安全审计追溯</t>
        </is>
      </c>
      <c r="E65" s="16" t="inlineStr">
        <is>
          <t>全链路追踪</t>
        </is>
      </c>
      <c r="F65" s="16" t="inlineStr">
        <is>
          <t>跨系统追踪</t>
        </is>
      </c>
      <c r="G65" s="17" t="inlineStr">
        <is>
          <t xml:space="preserve"> 提供跨系统数据调用的链路追踪技术服务</t>
        </is>
      </c>
      <c r="H65" s="18" t="inlineStr">
        <is>
          <t>EI</t>
        </is>
      </c>
      <c r="I65" s="18">
        <f>IF(H65="ILF",10,IF(H65="EIF",7,IF(H65="EI",4,IF(H65="EO",5,IF(H65="EQ",4,"")))))</f>
        <v/>
      </c>
      <c r="J65" s="18" t="inlineStr">
        <is>
          <t>中</t>
        </is>
      </c>
      <c r="K65" s="18">
        <f>IF(J65="高",0.33,IF(J65="中",0.67,IF(J65="低",1,"")))</f>
        <v/>
      </c>
      <c r="L65" s="18" t="inlineStr">
        <is>
          <t>新增</t>
        </is>
      </c>
      <c r="M65" s="18">
        <f>IF(L65="新增",1,IF(L65="修改",0.8,IF(L65="删除",0.2,"")))</f>
        <v/>
      </c>
      <c r="N65" s="18">
        <f>I65*K65*M65</f>
        <v/>
      </c>
    </row>
    <row r="66" ht="19" customHeight="1" s="1">
      <c r="B66" s="16" t="n">
        <v>61</v>
      </c>
      <c r="C66" s="16" t="inlineStr">
        <is>
          <t>核心层时序应用管理系统平台开发</t>
        </is>
      </c>
      <c r="D66" s="16" t="inlineStr">
        <is>
          <t>安全审计追溯</t>
        </is>
      </c>
      <c r="E66" s="16" t="inlineStr">
        <is>
          <t>RBAC权限</t>
        </is>
      </c>
      <c r="F66" s="16" t="inlineStr">
        <is>
          <t>角色管理</t>
        </is>
      </c>
      <c r="G66" s="17" t="inlineStr">
        <is>
          <t xml:space="preserve"> 提供用户角色创建/修改/删除的权限管控技术服务</t>
        </is>
      </c>
      <c r="H66" s="18" t="inlineStr">
        <is>
          <t>EI</t>
        </is>
      </c>
      <c r="I66" s="18">
        <f>IF(H66="ILF",10,IF(H66="EIF",7,IF(H66="EI",4,IF(H66="EO",5,IF(H66="EQ",4,"")))))</f>
        <v/>
      </c>
      <c r="J66" s="18" t="inlineStr">
        <is>
          <t>中</t>
        </is>
      </c>
      <c r="K66" s="18">
        <f>IF(J66="高",0.33,IF(J66="中",0.67,IF(J66="低",1,"")))</f>
        <v/>
      </c>
      <c r="L66" s="18" t="inlineStr">
        <is>
          <t>新增</t>
        </is>
      </c>
      <c r="M66" s="18">
        <f>IF(L66="新增",1,IF(L66="修改",0.8,IF(L66="删除",0.2,"")))</f>
        <v/>
      </c>
      <c r="N66" s="18">
        <f>I66*K66*M66</f>
        <v/>
      </c>
    </row>
    <row r="67" ht="19" customHeight="1" s="1">
      <c r="B67" s="16" t="n">
        <v>62</v>
      </c>
      <c r="C67" s="16" t="inlineStr">
        <is>
          <t>核心层时序应用管理系统平台开发</t>
        </is>
      </c>
      <c r="D67" s="16" t="inlineStr">
        <is>
          <t>安全审计追溯</t>
        </is>
      </c>
      <c r="E67" s="16" t="inlineStr">
        <is>
          <t>RBAC权限</t>
        </is>
      </c>
      <c r="F67" s="16" t="inlineStr">
        <is>
          <t>权限分配</t>
        </is>
      </c>
      <c r="G67" s="17" t="inlineStr">
        <is>
          <t xml:space="preserve"> 提供按角色分配系统服务和数据权限的技术服务</t>
        </is>
      </c>
      <c r="H67" s="18" t="inlineStr">
        <is>
          <t>EI</t>
        </is>
      </c>
      <c r="I67" s="18">
        <f>IF(H67="ILF",10,IF(H67="EIF",7,IF(H67="EI",4,IF(H67="EO",5,IF(H67="EQ",4,"")))))</f>
        <v/>
      </c>
      <c r="J67" s="18" t="inlineStr">
        <is>
          <t>中</t>
        </is>
      </c>
      <c r="K67" s="18">
        <f>IF(J67="高",0.33,IF(J67="中",0.67,IF(J67="低",1,"")))</f>
        <v/>
      </c>
      <c r="L67" s="18" t="inlineStr">
        <is>
          <t>新增</t>
        </is>
      </c>
      <c r="M67" s="18">
        <f>IF(L67="新增",1,IF(L67="修改",0.8,IF(L67="删除",0.2,"")))</f>
        <v/>
      </c>
      <c r="N67" s="18">
        <f>I67*K67*M67</f>
        <v/>
      </c>
    </row>
    <row r="68" ht="19" customHeight="1" s="1">
      <c r="B68" s="16" t="n">
        <v>63</v>
      </c>
      <c r="C68" s="16" t="inlineStr">
        <is>
          <t>核心层时序应用管理系统平台开发</t>
        </is>
      </c>
      <c r="D68" s="16" t="inlineStr">
        <is>
          <t>安全审计追溯</t>
        </is>
      </c>
      <c r="E68" s="16" t="inlineStr">
        <is>
          <t>RBAC权限</t>
        </is>
      </c>
      <c r="F68" s="16" t="inlineStr">
        <is>
          <t>变更管理</t>
        </is>
      </c>
      <c r="G68" s="17" t="inlineStr">
        <is>
          <t xml:space="preserve"> 提供权限回收和变更管理的技术服务</t>
        </is>
      </c>
      <c r="H68" s="18" t="inlineStr">
        <is>
          <t>EI</t>
        </is>
      </c>
      <c r="I68" s="18">
        <f>IF(H68="ILF",10,IF(H68="EIF",7,IF(H68="EI",4,IF(H68="EO",5,IF(H68="EQ",4,"")))))</f>
        <v/>
      </c>
      <c r="J68" s="18" t="inlineStr">
        <is>
          <t>中</t>
        </is>
      </c>
      <c r="K68" s="18">
        <f>IF(J68="高",0.33,IF(J68="中",0.67,IF(J68="低",1,"")))</f>
        <v/>
      </c>
      <c r="L68" s="18" t="inlineStr">
        <is>
          <t>新增</t>
        </is>
      </c>
      <c r="M68" s="18">
        <f>IF(L68="新增",1,IF(L68="修改",0.8,IF(L68="删除",0.2,"")))</f>
        <v/>
      </c>
      <c r="N68" s="18">
        <f>I68*K68*M68</f>
        <v/>
      </c>
    </row>
    <row r="69" ht="19" customHeight="1" s="1">
      <c r="B69" s="16" t="n">
        <v>64</v>
      </c>
      <c r="C69" s="16" t="inlineStr">
        <is>
          <t>核心层时序应用管理系统平台开发</t>
        </is>
      </c>
      <c r="D69" s="16" t="inlineStr">
        <is>
          <t>安全审计追溯</t>
        </is>
      </c>
      <c r="E69" s="16" t="inlineStr">
        <is>
          <t>RBAC权限</t>
        </is>
      </c>
      <c r="F69" s="16" t="inlineStr">
        <is>
          <t>临时授权</t>
        </is>
      </c>
      <c r="G69" s="17" t="inlineStr">
        <is>
          <t xml:space="preserve"> 提供临时权限授予和到期自动回收的技术服务</t>
        </is>
      </c>
      <c r="H69" s="18" t="inlineStr">
        <is>
          <t>EI</t>
        </is>
      </c>
      <c r="I69" s="18">
        <f>IF(H69="ILF",10,IF(H69="EIF",7,IF(H69="EI",4,IF(H69="EO",5,IF(H69="EQ",4,"")))))</f>
        <v/>
      </c>
      <c r="J69" s="18" t="inlineStr">
        <is>
          <t>中</t>
        </is>
      </c>
      <c r="K69" s="18">
        <f>IF(J69="高",0.33,IF(J69="中",0.67,IF(J69="低",1,"")))</f>
        <v/>
      </c>
      <c r="L69" s="18" t="inlineStr">
        <is>
          <t>新增</t>
        </is>
      </c>
      <c r="M69" s="18">
        <f>IF(L69="新增",1,IF(L69="修改",0.8,IF(L69="删除",0.2,"")))</f>
        <v/>
      </c>
      <c r="N69" s="18">
        <f>I69*K69*M69</f>
        <v/>
      </c>
    </row>
    <row r="70" ht="19" customHeight="1" s="1">
      <c r="B70" s="16" t="n">
        <v>65</v>
      </c>
      <c r="C70" s="16" t="inlineStr">
        <is>
          <t>核心层时序应用管理系统平台开发</t>
        </is>
      </c>
      <c r="D70" s="16" t="inlineStr">
        <is>
          <t>安全审计追溯</t>
        </is>
      </c>
      <c r="E70" s="16" t="inlineStr">
        <is>
          <t>RBAC权限</t>
        </is>
      </c>
      <c r="F70" s="16" t="inlineStr">
        <is>
          <t>权限审计</t>
        </is>
      </c>
      <c r="G70" s="17" t="inlineStr">
        <is>
          <t xml:space="preserve"> 提供权限使用情况的审计服务技术服务</t>
        </is>
      </c>
      <c r="H70" s="18" t="inlineStr">
        <is>
          <t>EI</t>
        </is>
      </c>
      <c r="I70" s="18">
        <f>IF(H70="ILF",10,IF(H70="EIF",7,IF(H70="EI",4,IF(H70="EO",5,IF(H70="EQ",4,"")))))</f>
        <v/>
      </c>
      <c r="J70" s="18" t="inlineStr">
        <is>
          <t>中</t>
        </is>
      </c>
      <c r="K70" s="18">
        <f>IF(J70="高",0.33,IF(J70="中",0.67,IF(J70="低",1,"")))</f>
        <v/>
      </c>
      <c r="L70" s="18" t="inlineStr">
        <is>
          <t>新增</t>
        </is>
      </c>
      <c r="M70" s="18">
        <f>IF(L70="新增",1,IF(L70="修改",0.8,IF(L70="删除",0.2,"")))</f>
        <v/>
      </c>
      <c r="N70" s="18">
        <f>I70*K70*M70</f>
        <v/>
      </c>
    </row>
    <row r="71" ht="19" customHeight="1" s="1">
      <c r="B71" s="16" t="n">
        <v>66</v>
      </c>
      <c r="C71" s="16" t="inlineStr">
        <is>
          <t>核心层时序应用管理系统平台开发</t>
        </is>
      </c>
      <c r="D71" s="16" t="inlineStr">
        <is>
          <t>安全审计追溯</t>
        </is>
      </c>
      <c r="E71" s="16" t="inlineStr">
        <is>
          <t>RBAC权限</t>
        </is>
      </c>
      <c r="F71" s="16" t="inlineStr">
        <is>
          <t>最小权限</t>
        </is>
      </c>
      <c r="G71" s="17" t="inlineStr">
        <is>
          <t xml:space="preserve"> 提供权限分配是否符合最小权限原则的审查技术服务</t>
        </is>
      </c>
      <c r="H71" s="18" t="inlineStr">
        <is>
          <t>EI</t>
        </is>
      </c>
      <c r="I71" s="18">
        <f>IF(H71="ILF",10,IF(H71="EIF",7,IF(H71="EI",4,IF(H71="EO",5,IF(H71="EQ",4,"")))))</f>
        <v/>
      </c>
      <c r="J71" s="18" t="inlineStr">
        <is>
          <t>中</t>
        </is>
      </c>
      <c r="K71" s="18">
        <f>IF(J71="高",0.33,IF(J71="中",0.67,IF(J71="低",1,"")))</f>
        <v/>
      </c>
      <c r="L71" s="18" t="inlineStr">
        <is>
          <t>新增</t>
        </is>
      </c>
      <c r="M71" s="18">
        <f>IF(L71="新增",1,IF(L71="修改",0.8,IF(L71="删除",0.2,"")))</f>
        <v/>
      </c>
      <c r="N71" s="18">
        <f>I71*K71*M71</f>
        <v/>
      </c>
    </row>
    <row r="72" ht="19" customHeight="1" s="1">
      <c r="B72" s="16" t="n">
        <v>67</v>
      </c>
      <c r="C72" s="16" t="inlineStr">
        <is>
          <t>核心层时序应用管理系统平台开发</t>
        </is>
      </c>
      <c r="D72" s="16" t="inlineStr">
        <is>
          <t>安全审计追溯</t>
        </is>
      </c>
      <c r="E72" s="16" t="inlineStr">
        <is>
          <t>RBAC权限</t>
        </is>
      </c>
      <c r="F72" s="16" t="inlineStr">
        <is>
          <t>角色继承</t>
        </is>
      </c>
      <c r="G72" s="17" t="inlineStr">
        <is>
          <t xml:space="preserve"> 提供角色继承关系的管理技术服务</t>
        </is>
      </c>
      <c r="H72" s="18" t="inlineStr">
        <is>
          <t>EI</t>
        </is>
      </c>
      <c r="I72" s="18">
        <f>IF(H72="ILF",10,IF(H72="EIF",7,IF(H72="EI",4,IF(H72="EO",5,IF(H72="EQ",4,"")))))</f>
        <v/>
      </c>
      <c r="J72" s="18" t="inlineStr">
        <is>
          <t>中</t>
        </is>
      </c>
      <c r="K72" s="18">
        <f>IF(J72="高",0.33,IF(J72="中",0.67,IF(J72="低",1,"")))</f>
        <v/>
      </c>
      <c r="L72" s="18" t="inlineStr">
        <is>
          <t>新增</t>
        </is>
      </c>
      <c r="M72" s="18">
        <f>IF(L72="新增",1,IF(L72="修改",0.8,IF(L72="删除",0.2,"")))</f>
        <v/>
      </c>
      <c r="N72" s="18">
        <f>I72*K72*M72</f>
        <v/>
      </c>
    </row>
    <row r="73" ht="19" customHeight="1" s="1">
      <c r="B73" s="16" t="n">
        <v>68</v>
      </c>
      <c r="C73" s="16" t="inlineStr">
        <is>
          <t>核心层时序应用管理系统平台开发</t>
        </is>
      </c>
      <c r="D73" s="16" t="inlineStr">
        <is>
          <t>安全审计追溯</t>
        </is>
      </c>
      <c r="E73" s="16" t="inlineStr">
        <is>
          <t>RBAC权限</t>
        </is>
      </c>
      <c r="F73" s="16" t="inlineStr">
        <is>
          <t>跨组织授权</t>
        </is>
      </c>
      <c r="G73" s="17" t="inlineStr">
        <is>
          <t xml:space="preserve"> 提供跨组织的权限授予和访问控制技术服务</t>
        </is>
      </c>
      <c r="H73" s="18" t="inlineStr">
        <is>
          <t>EI</t>
        </is>
      </c>
      <c r="I73" s="18">
        <f>IF(H73="ILF",10,IF(H73="EIF",7,IF(H73="EI",4,IF(H73="EO",5,IF(H73="EQ",4,"")))))</f>
        <v/>
      </c>
      <c r="J73" s="18" t="inlineStr">
        <is>
          <t>中</t>
        </is>
      </c>
      <c r="K73" s="18">
        <f>IF(J73="高",0.33,IF(J73="中",0.67,IF(J73="低",1,"")))</f>
        <v/>
      </c>
      <c r="L73" s="18" t="inlineStr">
        <is>
          <t>新增</t>
        </is>
      </c>
      <c r="M73" s="18">
        <f>IF(L73="新增",1,IF(L73="修改",0.8,IF(L73="删除",0.2,"")))</f>
        <v/>
      </c>
      <c r="N73" s="18">
        <f>I73*K73*M73</f>
        <v/>
      </c>
    </row>
    <row r="74" ht="19" customHeight="1" s="1">
      <c r="B74" s="16" t="n">
        <v>69</v>
      </c>
      <c r="C74" s="16" t="inlineStr">
        <is>
          <t>核心层时序应用管理系统平台开发</t>
        </is>
      </c>
      <c r="D74" s="16" t="inlineStr">
        <is>
          <t>安全审计追溯</t>
        </is>
      </c>
      <c r="E74" s="16" t="inlineStr">
        <is>
          <t>RBAC权限</t>
        </is>
      </c>
      <c r="F74" s="16" t="inlineStr">
        <is>
          <t>数据权限</t>
        </is>
      </c>
      <c r="G74" s="17" t="inlineStr">
        <is>
          <t xml:space="preserve"> 提供数据表级细粒度权限控制技术服务</t>
        </is>
      </c>
      <c r="H74" s="18" t="inlineStr">
        <is>
          <t>EI</t>
        </is>
      </c>
      <c r="I74" s="18">
        <f>IF(H74="ILF",10,IF(H74="EIF",7,IF(H74="EI",4,IF(H74="EO",5,IF(H74="EQ",4,"")))))</f>
        <v/>
      </c>
      <c r="J74" s="18" t="inlineStr">
        <is>
          <t>中</t>
        </is>
      </c>
      <c r="K74" s="18">
        <f>IF(J74="高",0.33,IF(J74="中",0.67,IF(J74="低",1,"")))</f>
        <v/>
      </c>
      <c r="L74" s="18" t="inlineStr">
        <is>
          <t>新增</t>
        </is>
      </c>
      <c r="M74" s="18">
        <f>IF(L74="新增",1,IF(L74="修改",0.8,IF(L74="删除",0.2,"")))</f>
        <v/>
      </c>
      <c r="N74" s="18">
        <f>I74*K74*M74</f>
        <v/>
      </c>
    </row>
    <row r="75" ht="19" customHeight="1" s="1">
      <c r="B75" s="16" t="n">
        <v>70</v>
      </c>
      <c r="C75" s="16" t="inlineStr">
        <is>
          <t>核心层时序应用管理系统平台开发</t>
        </is>
      </c>
      <c r="D75" s="16" t="inlineStr">
        <is>
          <t>安全审计追溯</t>
        </is>
      </c>
      <c r="E75" s="16" t="inlineStr">
        <is>
          <t>RBAC权限</t>
        </is>
      </c>
      <c r="F75" s="16" t="inlineStr">
        <is>
          <t>API权限</t>
        </is>
      </c>
      <c r="G75" s="17" t="inlineStr">
        <is>
          <t xml:space="preserve"> 提供API端点级权限控制技术服务</t>
        </is>
      </c>
      <c r="H75" s="18" t="inlineStr">
        <is>
          <t>EI</t>
        </is>
      </c>
      <c r="I75" s="18">
        <f>IF(H75="ILF",10,IF(H75="EIF",7,IF(H75="EI",4,IF(H75="EO",5,IF(H75="EQ",4,"")))))</f>
        <v/>
      </c>
      <c r="J75" s="18" t="inlineStr">
        <is>
          <t>中</t>
        </is>
      </c>
      <c r="K75" s="18">
        <f>IF(J75="高",0.33,IF(J75="中",0.67,IF(J75="低",1,"")))</f>
        <v/>
      </c>
      <c r="L75" s="18" t="inlineStr">
        <is>
          <t>新增</t>
        </is>
      </c>
      <c r="M75" s="18">
        <f>IF(L75="新增",1,IF(L75="修改",0.8,IF(L75="删除",0.2,"")))</f>
        <v/>
      </c>
      <c r="N75" s="18">
        <f>I75*K75*M75</f>
        <v/>
      </c>
    </row>
    <row r="76" ht="19" customHeight="1" s="1">
      <c r="B76" s="16" t="n">
        <v>71</v>
      </c>
      <c r="C76" s="16" t="inlineStr">
        <is>
          <t>核心层时序应用管理系统平台开发</t>
        </is>
      </c>
      <c r="D76" s="16" t="inlineStr">
        <is>
          <t>安全审计追溯</t>
        </is>
      </c>
      <c r="E76" s="16" t="inlineStr">
        <is>
          <t>RBAC权限</t>
        </is>
      </c>
      <c r="F76" s="16" t="inlineStr">
        <is>
          <t>菜单权限</t>
        </is>
      </c>
      <c r="G76" s="17" t="inlineStr">
        <is>
          <t xml:space="preserve"> 提供系统菜单访问权限控制技术服务</t>
        </is>
      </c>
      <c r="H76" s="18" t="inlineStr">
        <is>
          <t>EI</t>
        </is>
      </c>
      <c r="I76" s="18">
        <f>IF(H76="ILF",10,IF(H76="EIF",7,IF(H76="EI",4,IF(H76="EO",5,IF(H76="EQ",4,"")))))</f>
        <v/>
      </c>
      <c r="J76" s="18" t="inlineStr">
        <is>
          <t>中</t>
        </is>
      </c>
      <c r="K76" s="18">
        <f>IF(J76="高",0.33,IF(J76="中",0.67,IF(J76="低",1,"")))</f>
        <v/>
      </c>
      <c r="L76" s="18" t="inlineStr">
        <is>
          <t>新增</t>
        </is>
      </c>
      <c r="M76" s="18">
        <f>IF(L76="新增",1,IF(L76="修改",0.8,IF(L76="删除",0.2,"")))</f>
        <v/>
      </c>
      <c r="N76" s="18">
        <f>I76*K76*M76</f>
        <v/>
      </c>
    </row>
    <row r="77" ht="19" customHeight="1" s="1">
      <c r="B77" s="16" t="n">
        <v>72</v>
      </c>
      <c r="C77" s="16" t="inlineStr">
        <is>
          <t>核心层时序应用管理系统平台开发</t>
        </is>
      </c>
      <c r="D77" s="16" t="inlineStr">
        <is>
          <t>安全审计追溯</t>
        </is>
      </c>
      <c r="E77" s="16" t="inlineStr">
        <is>
          <t>审计日志</t>
        </is>
      </c>
      <c r="F77" s="16" t="inlineStr">
        <is>
          <t>操作日志</t>
        </is>
      </c>
      <c r="G77" s="17" t="inlineStr">
        <is>
          <t xml:space="preserve"> 提供用户操作的系统日志记录技术服务</t>
        </is>
      </c>
      <c r="H77" s="18" t="inlineStr">
        <is>
          <t>EI</t>
        </is>
      </c>
      <c r="I77" s="18">
        <f>IF(H77="ILF",10,IF(H77="EIF",7,IF(H77="EI",4,IF(H77="EO",5,IF(H77="EQ",4,"")))))</f>
        <v/>
      </c>
      <c r="J77" s="18" t="inlineStr">
        <is>
          <t>中</t>
        </is>
      </c>
      <c r="K77" s="18">
        <f>IF(J77="高",0.33,IF(J77="中",0.67,IF(J77="低",1,"")))</f>
        <v/>
      </c>
      <c r="L77" s="18" t="inlineStr">
        <is>
          <t>新增</t>
        </is>
      </c>
      <c r="M77" s="18">
        <f>IF(L77="新增",1,IF(L77="修改",0.8,IF(L77="删除",0.2,"")))</f>
        <v/>
      </c>
      <c r="N77" s="18">
        <f>I77*K77*M77</f>
        <v/>
      </c>
    </row>
    <row r="78" ht="19" customHeight="1" s="1">
      <c r="B78" s="16" t="n">
        <v>73</v>
      </c>
      <c r="C78" s="16" t="inlineStr">
        <is>
          <t>核心层时序应用管理系统平台开发</t>
        </is>
      </c>
      <c r="D78" s="16" t="inlineStr">
        <is>
          <t>安全审计追溯</t>
        </is>
      </c>
      <c r="E78" s="16" t="inlineStr">
        <is>
          <t>审计日志</t>
        </is>
      </c>
      <c r="F78" s="16" t="inlineStr">
        <is>
          <t>日志存储</t>
        </is>
      </c>
      <c r="G78" s="17" t="inlineStr">
        <is>
          <t xml:space="preserve"> 提供审计日志存储和归档管理技术服务</t>
        </is>
      </c>
      <c r="H78" s="18" t="inlineStr">
        <is>
          <t>EI</t>
        </is>
      </c>
      <c r="I78" s="18">
        <f>IF(H78="ILF",10,IF(H78="EIF",7,IF(H78="EI",4,IF(H78="EO",5,IF(H78="EQ",4,"")))))</f>
        <v/>
      </c>
      <c r="J78" s="18" t="inlineStr">
        <is>
          <t>中</t>
        </is>
      </c>
      <c r="K78" s="18">
        <f>IF(J78="高",0.33,IF(J78="中",0.67,IF(J78="低",1,"")))</f>
        <v/>
      </c>
      <c r="L78" s="18" t="inlineStr">
        <is>
          <t>新增</t>
        </is>
      </c>
      <c r="M78" s="18">
        <f>IF(L78="新增",1,IF(L78="修改",0.8,IF(L78="删除",0.2,"")))</f>
        <v/>
      </c>
      <c r="N78" s="18">
        <f>I78*K78*M78</f>
        <v/>
      </c>
    </row>
    <row r="79" ht="19" customHeight="1" s="1">
      <c r="B79" s="16" t="n">
        <v>74</v>
      </c>
      <c r="C79" s="16" t="inlineStr">
        <is>
          <t>核心层时序应用管理系统平台开发</t>
        </is>
      </c>
      <c r="D79" s="16" t="inlineStr">
        <is>
          <t>安全审计追溯</t>
        </is>
      </c>
      <c r="E79" s="16" t="inlineStr">
        <is>
          <t>审计日志</t>
        </is>
      </c>
      <c r="F79" s="16" t="inlineStr">
        <is>
          <t>日志导出</t>
        </is>
      </c>
      <c r="G79" s="17" t="inlineStr">
        <is>
          <t xml:space="preserve"> 提供审计日志导出服务技术服务</t>
        </is>
      </c>
      <c r="H79" s="18" t="inlineStr">
        <is>
          <t>EI</t>
        </is>
      </c>
      <c r="I79" s="18">
        <f>IF(H79="ILF",10,IF(H79="EIF",7,IF(H79="EI",4,IF(H79="EO",5,IF(H79="EQ",4,"")))))</f>
        <v/>
      </c>
      <c r="J79" s="18" t="inlineStr">
        <is>
          <t>中</t>
        </is>
      </c>
      <c r="K79" s="18">
        <f>IF(J79="高",0.33,IF(J79="中",0.67,IF(J79="低",1,"")))</f>
        <v/>
      </c>
      <c r="L79" s="18" t="inlineStr">
        <is>
          <t>新增</t>
        </is>
      </c>
      <c r="M79" s="18">
        <f>IF(L79="新增",1,IF(L79="修改",0.8,IF(L79="删除",0.2,"")))</f>
        <v/>
      </c>
      <c r="N79" s="18">
        <f>I79*K79*M79</f>
        <v/>
      </c>
    </row>
    <row r="80" ht="19" customHeight="1" s="1">
      <c r="B80" s="16" t="n">
        <v>75</v>
      </c>
      <c r="C80" s="16" t="inlineStr">
        <is>
          <t>核心层时序应用管理系统平台开发</t>
        </is>
      </c>
      <c r="D80" s="16" t="inlineStr">
        <is>
          <t>安全审计追溯</t>
        </is>
      </c>
      <c r="E80" s="16" t="inlineStr">
        <is>
          <t>审计日志</t>
        </is>
      </c>
      <c r="F80" s="16" t="inlineStr">
        <is>
          <t>日志轮转</t>
        </is>
      </c>
      <c r="G80" s="17" t="inlineStr">
        <is>
          <t xml:space="preserve"> 提供审计日志自动轮转和清理的技术服务</t>
        </is>
      </c>
      <c r="H80" s="18" t="inlineStr">
        <is>
          <t>EI</t>
        </is>
      </c>
      <c r="I80" s="18">
        <f>IF(H80="ILF",10,IF(H80="EIF",7,IF(H80="EI",4,IF(H80="EO",5,IF(H80="EQ",4,"")))))</f>
        <v/>
      </c>
      <c r="J80" s="18" t="inlineStr">
        <is>
          <t>中</t>
        </is>
      </c>
      <c r="K80" s="18">
        <f>IF(J80="高",0.33,IF(J80="中",0.67,IF(J80="低",1,"")))</f>
        <v/>
      </c>
      <c r="L80" s="18" t="inlineStr">
        <is>
          <t>新增</t>
        </is>
      </c>
      <c r="M80" s="18">
        <f>IF(L80="新增",1,IF(L80="修改",0.8,IF(L80="删除",0.2,"")))</f>
        <v/>
      </c>
      <c r="N80" s="18">
        <f>I80*K80*M80</f>
        <v/>
      </c>
    </row>
    <row r="81" ht="19" customHeight="1" s="1">
      <c r="B81" s="16" t="n">
        <v>76</v>
      </c>
      <c r="C81" s="16" t="inlineStr">
        <is>
          <t>核心层时序应用管理系统平台开发</t>
        </is>
      </c>
      <c r="D81" s="16" t="inlineStr">
        <is>
          <t>安全审计追溯</t>
        </is>
      </c>
      <c r="E81" s="16" t="inlineStr">
        <is>
          <t>审计日志</t>
        </is>
      </c>
      <c r="F81" s="16" t="inlineStr">
        <is>
          <t>异常操作告警</t>
        </is>
      </c>
      <c r="G81" s="17" t="inlineStr">
        <is>
          <t xml:space="preserve"> 提供检测异常操作行为并触发告警的技术服务</t>
        </is>
      </c>
      <c r="H81" s="18" t="inlineStr">
        <is>
          <t>EI</t>
        </is>
      </c>
      <c r="I81" s="18">
        <f>IF(H81="ILF",10,IF(H81="EIF",7,IF(H81="EI",4,IF(H81="EO",5,IF(H81="EQ",4,"")))))</f>
        <v/>
      </c>
      <c r="J81" s="18" t="inlineStr">
        <is>
          <t>中</t>
        </is>
      </c>
      <c r="K81" s="18">
        <f>IF(J81="高",0.33,IF(J81="中",0.67,IF(J81="低",1,"")))</f>
        <v/>
      </c>
      <c r="L81" s="18" t="inlineStr">
        <is>
          <t>新增</t>
        </is>
      </c>
      <c r="M81" s="18">
        <f>IF(L81="新增",1,IF(L81="修改",0.8,IF(L81="删除",0.2,"")))</f>
        <v/>
      </c>
      <c r="N81" s="18">
        <f>I81*K81*M81</f>
        <v/>
      </c>
    </row>
    <row r="82" ht="19" customHeight="1" s="1">
      <c r="B82" s="16" t="n">
        <v>77</v>
      </c>
      <c r="C82" s="16" t="inlineStr">
        <is>
          <t>核心层时序应用管理系统平台开发</t>
        </is>
      </c>
      <c r="D82" s="16" t="inlineStr">
        <is>
          <t>安全审计追溯</t>
        </is>
      </c>
      <c r="E82" s="16" t="inlineStr">
        <is>
          <t>审计日志</t>
        </is>
      </c>
      <c r="F82" s="16" t="inlineStr">
        <is>
          <t>日志完整性</t>
        </is>
      </c>
      <c r="G82" s="17" t="inlineStr">
        <is>
          <t xml:space="preserve"> 提供审计日志完整性校验的技术服务</t>
        </is>
      </c>
      <c r="H82" s="18" t="inlineStr">
        <is>
          <t>EI</t>
        </is>
      </c>
      <c r="I82" s="18">
        <f>IF(H82="ILF",10,IF(H82="EIF",7,IF(H82="EI",4,IF(H82="EO",5,IF(H82="EQ",4,"")))))</f>
        <v/>
      </c>
      <c r="J82" s="18" t="inlineStr">
        <is>
          <t>中</t>
        </is>
      </c>
      <c r="K82" s="18">
        <f>IF(J82="高",0.33,IF(J82="中",0.67,IF(J82="低",1,"")))</f>
        <v/>
      </c>
      <c r="L82" s="18" t="inlineStr">
        <is>
          <t>新增</t>
        </is>
      </c>
      <c r="M82" s="18">
        <f>IF(L82="新增",1,IF(L82="修改",0.8,IF(L82="删除",0.2,"")))</f>
        <v/>
      </c>
      <c r="N82" s="18">
        <f>I82*K82*M82</f>
        <v/>
      </c>
    </row>
    <row r="83" ht="19" customHeight="1" s="1">
      <c r="B83" s="16" t="n">
        <v>78</v>
      </c>
      <c r="C83" s="16" t="inlineStr">
        <is>
          <t>核心层时序应用管理系统平台开发</t>
        </is>
      </c>
      <c r="D83" s="16" t="inlineStr">
        <is>
          <t>安全审计追溯</t>
        </is>
      </c>
      <c r="E83" s="16" t="inlineStr">
        <is>
          <t>审计日志</t>
        </is>
      </c>
      <c r="F83" s="16" t="inlineStr">
        <is>
          <t>审计报告</t>
        </is>
      </c>
      <c r="G83" s="17" t="inlineStr">
        <is>
          <t xml:space="preserve"> 提供自动生成审计报告的技术服务</t>
        </is>
      </c>
      <c r="H83" s="18" t="inlineStr">
        <is>
          <t>EI</t>
        </is>
      </c>
      <c r="I83" s="18">
        <f>IF(H83="ILF",10,IF(H83="EIF",7,IF(H83="EI",4,IF(H83="EO",5,IF(H83="EQ",4,"")))))</f>
        <v/>
      </c>
      <c r="J83" s="18" t="inlineStr">
        <is>
          <t>中</t>
        </is>
      </c>
      <c r="K83" s="18">
        <f>IF(J83="高",0.33,IF(J83="中",0.67,IF(J83="低",1,"")))</f>
        <v/>
      </c>
      <c r="L83" s="18" t="inlineStr">
        <is>
          <t>新增</t>
        </is>
      </c>
      <c r="M83" s="18">
        <f>IF(L83="新增",1,IF(L83="修改",0.8,IF(L83="删除",0.2,"")))</f>
        <v/>
      </c>
      <c r="N83" s="18">
        <f>I83*K83*M83</f>
        <v/>
      </c>
    </row>
    <row r="84" ht="19" customHeight="1" s="1">
      <c r="B84" s="16" t="n">
        <v>79</v>
      </c>
      <c r="C84" s="16" t="inlineStr">
        <is>
          <t>核心层时序应用管理系统平台开发</t>
        </is>
      </c>
      <c r="D84" s="16" t="inlineStr">
        <is>
          <t>安全审计追溯</t>
        </is>
      </c>
      <c r="E84" s="16" t="inlineStr">
        <is>
          <t>审计日志</t>
        </is>
      </c>
      <c r="F84" s="16" t="inlineStr">
        <is>
          <t>日志备份</t>
        </is>
      </c>
      <c r="G84" s="17" t="inlineStr">
        <is>
          <t xml:space="preserve"> 提供审计日志备份和灾难恢复技术服务</t>
        </is>
      </c>
      <c r="H84" s="18" t="inlineStr">
        <is>
          <t>EI</t>
        </is>
      </c>
      <c r="I84" s="18">
        <f>IF(H84="ILF",10,IF(H84="EIF",7,IF(H84="EI",4,IF(H84="EO",5,IF(H84="EQ",4,"")))))</f>
        <v/>
      </c>
      <c r="J84" s="18" t="inlineStr">
        <is>
          <t>中</t>
        </is>
      </c>
      <c r="K84" s="18">
        <f>IF(J84="高",0.33,IF(J84="中",0.67,IF(J84="低",1,"")))</f>
        <v/>
      </c>
      <c r="L84" s="18" t="inlineStr">
        <is>
          <t>新增</t>
        </is>
      </c>
      <c r="M84" s="18">
        <f>IF(L84="新增",1,IF(L84="修改",0.8,IF(L84="删除",0.2,"")))</f>
        <v/>
      </c>
      <c r="N84" s="18">
        <f>I84*K84*M84</f>
        <v/>
      </c>
    </row>
    <row r="85" ht="19" customHeight="1" s="1">
      <c r="B85" s="16" t="n">
        <v>80</v>
      </c>
      <c r="C85" s="16" t="inlineStr">
        <is>
          <t>核心层时序应用管理系统平台开发</t>
        </is>
      </c>
      <c r="D85" s="16" t="inlineStr">
        <is>
          <t>全局参数管理</t>
        </is>
      </c>
      <c r="E85" s="16" t="inlineStr">
        <is>
          <t>扩展参数配置</t>
        </is>
      </c>
      <c r="F85" s="16" t="inlineStr">
        <is>
          <t>冗余链路配置</t>
        </is>
      </c>
      <c r="G85" s="17" t="inlineStr">
        <is>
          <t xml:space="preserve"> 提供采集链路冗余配置保证高可用性的技术服务</t>
        </is>
      </c>
      <c r="H85" s="18" t="inlineStr">
        <is>
          <t>EI</t>
        </is>
      </c>
      <c r="I85" s="18">
        <f>IF(H85="ILF",10,IF(H85="EIF",7,IF(H85="EI",4,IF(H85="EO",5,IF(H85="EQ",4,"")))))</f>
        <v/>
      </c>
      <c r="J85" s="18" t="inlineStr">
        <is>
          <t>中</t>
        </is>
      </c>
      <c r="K85" s="18">
        <f>IF(J85="高",0.33,IF(J85="中",0.67,IF(J85="低",1,"")))</f>
        <v/>
      </c>
      <c r="L85" s="18" t="inlineStr">
        <is>
          <t>新增</t>
        </is>
      </c>
      <c r="M85" s="18">
        <f>IF(L85="新增",1,IF(L85="修改",0.8,IF(L85="删除",0.2,"")))</f>
        <v/>
      </c>
      <c r="N85" s="18">
        <f>I85*K85*M85</f>
        <v/>
      </c>
    </row>
    <row r="86" ht="19" customHeight="1" s="1">
      <c r="B86" s="16" t="n">
        <v>81</v>
      </c>
      <c r="C86" s="16" t="inlineStr">
        <is>
          <t>核心层时序应用管理系统平台开发</t>
        </is>
      </c>
      <c r="D86" s="16" t="inlineStr">
        <is>
          <t>全局参数管理</t>
        </is>
      </c>
      <c r="E86" s="16" t="inlineStr">
        <is>
          <t>扩展参数配置</t>
        </is>
      </c>
      <c r="F86" s="16" t="inlineStr">
        <is>
          <t>主备切换策略</t>
        </is>
      </c>
      <c r="G86" s="17" t="inlineStr">
        <is>
          <t xml:space="preserve"> 提供采集链路主备自动切换策略配置服务</t>
        </is>
      </c>
      <c r="H86" s="18" t="inlineStr">
        <is>
          <t>EO</t>
        </is>
      </c>
      <c r="I86" s="18">
        <f>IF(H86="ILF",10,IF(H86="EIF",7,IF(H86="EI",4,IF(H86="EO",5,IF(H86="EQ",4,"")))))</f>
        <v/>
      </c>
      <c r="J86" s="18" t="inlineStr">
        <is>
          <t>低</t>
        </is>
      </c>
      <c r="K86" s="18">
        <f>IF(J86="高",0.33,IF(J86="中",0.67,IF(J86="低",1,"")))</f>
        <v/>
      </c>
      <c r="L86" s="18" t="inlineStr">
        <is>
          <t>新增</t>
        </is>
      </c>
      <c r="M86" s="18">
        <f>IF(L86="新增",1,IF(L86="修改",0.8,IF(L86="删除",0.2,"")))</f>
        <v/>
      </c>
      <c r="N86" s="18">
        <f>I86*K86*M86</f>
        <v/>
      </c>
    </row>
    <row r="87" ht="19" customHeight="1" s="1">
      <c r="B87" s="16" t="n">
        <v>82</v>
      </c>
      <c r="C87" s="16" t="inlineStr">
        <is>
          <t>核心层时序应用管理系统平台开发</t>
        </is>
      </c>
      <c r="D87" s="16" t="inlineStr">
        <is>
          <t>全局参数管理</t>
        </is>
      </c>
      <c r="E87" s="16" t="inlineStr">
        <is>
          <t>扩展参数配置</t>
        </is>
      </c>
      <c r="F87" s="16" t="inlineStr">
        <is>
          <t>断线重连策略</t>
        </is>
      </c>
      <c r="G87" s="17" t="inlineStr">
        <is>
          <t xml:space="preserve"> 提供设备断线后重连策略配置服务</t>
        </is>
      </c>
      <c r="H87" s="18" t="inlineStr">
        <is>
          <t>EO</t>
        </is>
      </c>
      <c r="I87" s="18">
        <f>IF(H87="ILF",10,IF(H87="EIF",7,IF(H87="EI",4,IF(H87="EO",5,IF(H87="EQ",4,"")))))</f>
        <v/>
      </c>
      <c r="J87" s="18" t="inlineStr">
        <is>
          <t>低</t>
        </is>
      </c>
      <c r="K87" s="18">
        <f>IF(J87="高",0.33,IF(J87="中",0.67,IF(J87="低",1,"")))</f>
        <v/>
      </c>
      <c r="L87" s="18" t="inlineStr">
        <is>
          <t>新增</t>
        </is>
      </c>
      <c r="M87" s="18">
        <f>IF(L87="新增",1,IF(L87="修改",0.8,IF(L87="删除",0.2,"")))</f>
        <v/>
      </c>
      <c r="N87" s="18">
        <f>I87*K87*M87</f>
        <v/>
      </c>
    </row>
    <row r="88" ht="19" customHeight="1" s="1">
      <c r="B88" s="16" t="n">
        <v>83</v>
      </c>
      <c r="C88" s="16" t="inlineStr">
        <is>
          <t>核心层时序应用管理系统平台开发</t>
        </is>
      </c>
      <c r="D88" s="16" t="inlineStr">
        <is>
          <t>全局参数管理</t>
        </is>
      </c>
      <c r="E88" s="16" t="inlineStr">
        <is>
          <t>扩展参数配置</t>
        </is>
      </c>
      <c r="F88" s="16" t="inlineStr">
        <is>
          <t>采集优先级配置</t>
        </is>
      </c>
      <c r="G88" s="17" t="inlineStr">
        <is>
          <t xml:space="preserve"> 提供设备采集优先级参数配置服务</t>
        </is>
      </c>
      <c r="H88" s="18" t="inlineStr">
        <is>
          <t>EO</t>
        </is>
      </c>
      <c r="I88" s="18">
        <f>IF(H88="ILF",10,IF(H88="EIF",7,IF(H88="EI",4,IF(H88="EO",5,IF(H88="EQ",4,"")))))</f>
        <v/>
      </c>
      <c r="J88" s="18" t="inlineStr">
        <is>
          <t>低</t>
        </is>
      </c>
      <c r="K88" s="18">
        <f>IF(J88="高",0.33,IF(J88="中",0.67,IF(J88="低",1,"")))</f>
        <v/>
      </c>
      <c r="L88" s="18" t="inlineStr">
        <is>
          <t>新增</t>
        </is>
      </c>
      <c r="M88" s="18">
        <f>IF(L88="新增",1,IF(L88="修改",0.8,IF(L88="删除",0.2,"")))</f>
        <v/>
      </c>
      <c r="N88" s="18">
        <f>I88*K88*M88</f>
        <v/>
      </c>
    </row>
    <row r="89" ht="19" customHeight="1" s="1">
      <c r="B89" s="16" t="n">
        <v>84</v>
      </c>
      <c r="C89" s="16" t="inlineStr">
        <is>
          <t>核心层时序应用管理系统平台开发</t>
        </is>
      </c>
      <c r="D89" s="16" t="inlineStr">
        <is>
          <t>全局参数管理</t>
        </is>
      </c>
      <c r="E89" s="16" t="inlineStr">
        <is>
          <t>扩展参数配置</t>
        </is>
      </c>
      <c r="F89" s="16" t="inlineStr">
        <is>
          <t>并发限制配置</t>
        </is>
      </c>
      <c r="G89" s="17" t="inlineStr">
        <is>
          <t xml:space="preserve"> 提供并发采集连接数限制配置服务</t>
        </is>
      </c>
      <c r="H89" s="18" t="inlineStr">
        <is>
          <t>EO</t>
        </is>
      </c>
      <c r="I89" s="18">
        <f>IF(H89="ILF",10,IF(H89="EIF",7,IF(H89="EI",4,IF(H89="EO",5,IF(H89="EQ",4,"")))))</f>
        <v/>
      </c>
      <c r="J89" s="18" t="inlineStr">
        <is>
          <t>中</t>
        </is>
      </c>
      <c r="K89" s="18">
        <f>IF(J89="高",0.33,IF(J89="中",0.67,IF(J89="低",1,"")))</f>
        <v/>
      </c>
      <c r="L89" s="18" t="inlineStr">
        <is>
          <t>新增</t>
        </is>
      </c>
      <c r="M89" s="18">
        <f>IF(L89="新增",1,IF(L89="修改",0.8,IF(L89="删除",0.2,"")))</f>
        <v/>
      </c>
      <c r="N89" s="18">
        <f>I89*K89*M89</f>
        <v/>
      </c>
    </row>
    <row r="90" ht="19" customHeight="1" s="1">
      <c r="B90" s="16" t="n">
        <v>85</v>
      </c>
      <c r="C90" s="16" t="inlineStr">
        <is>
          <t>核心层时序应用管理系统平台开发</t>
        </is>
      </c>
      <c r="D90" s="16" t="inlineStr">
        <is>
          <t>全局参数管理</t>
        </is>
      </c>
      <c r="E90" s="16" t="inlineStr">
        <is>
          <t>扩展参数配置</t>
        </is>
      </c>
      <c r="F90" s="16" t="inlineStr">
        <is>
          <t>采集超时配置</t>
        </is>
      </c>
      <c r="G90" s="17" t="inlineStr">
        <is>
          <t xml:space="preserve"> 提供单次采集超时时间参数配置服务</t>
        </is>
      </c>
      <c r="H90" s="18" t="inlineStr">
        <is>
          <t>EO</t>
        </is>
      </c>
      <c r="I90" s="18">
        <f>IF(H90="ILF",10,IF(H90="EIF",7,IF(H90="EI",4,IF(H90="EO",5,IF(H90="EQ",4,"")))))</f>
        <v/>
      </c>
      <c r="J90" s="18" t="inlineStr">
        <is>
          <t>中</t>
        </is>
      </c>
      <c r="K90" s="18">
        <f>IF(J90="高",0.33,IF(J90="中",0.67,IF(J90="低",1,"")))</f>
        <v/>
      </c>
      <c r="L90" s="18" t="inlineStr">
        <is>
          <t>新增</t>
        </is>
      </c>
      <c r="M90" s="18">
        <f>IF(L90="新增",1,IF(L90="修改",0.8,IF(L90="删除",0.2,"")))</f>
        <v/>
      </c>
      <c r="N90" s="18">
        <f>I90*K90*M90</f>
        <v/>
      </c>
    </row>
    <row r="91" ht="19" customHeight="1" s="1">
      <c r="B91" s="16" t="n">
        <v>86</v>
      </c>
      <c r="C91" s="16" t="inlineStr">
        <is>
          <t>核心层时序应用管理系统平台开发</t>
        </is>
      </c>
      <c r="D91" s="16" t="inlineStr">
        <is>
          <t>全局参数管理</t>
        </is>
      </c>
      <c r="E91" s="16" t="inlineStr">
        <is>
          <t>扩展参数配置</t>
        </is>
      </c>
      <c r="F91" s="16" t="inlineStr">
        <is>
          <t>数据校验配置</t>
        </is>
      </c>
      <c r="G91" s="17" t="inlineStr">
        <is>
          <t xml:space="preserve"> 提供采集数据校验参数配置服务</t>
        </is>
      </c>
      <c r="H91" s="18" t="inlineStr">
        <is>
          <t>EO</t>
        </is>
      </c>
      <c r="I91" s="18">
        <f>IF(H91="ILF",10,IF(H91="EIF",7,IF(H91="EI",4,IF(H91="EO",5,IF(H91="EQ",4,"")))))</f>
        <v/>
      </c>
      <c r="J91" s="18" t="inlineStr">
        <is>
          <t>中</t>
        </is>
      </c>
      <c r="K91" s="18">
        <f>IF(J91="高",0.33,IF(J91="中",0.67,IF(J91="低",1,"")))</f>
        <v/>
      </c>
      <c r="L91" s="18" t="inlineStr">
        <is>
          <t>新增</t>
        </is>
      </c>
      <c r="M91" s="18">
        <f>IF(L91="新增",1,IF(L91="修改",0.8,IF(L91="删除",0.2,"")))</f>
        <v/>
      </c>
      <c r="N91" s="18">
        <f>I91*K91*M91</f>
        <v/>
      </c>
    </row>
    <row r="92" ht="19" customHeight="1" s="1">
      <c r="B92" s="16" t="n">
        <v>87</v>
      </c>
      <c r="C92" s="16" t="inlineStr">
        <is>
          <t>核心层时序应用管理系统平台开发</t>
        </is>
      </c>
      <c r="D92" s="16" t="inlineStr">
        <is>
          <t>全局参数管理</t>
        </is>
      </c>
      <c r="E92" s="16" t="inlineStr">
        <is>
          <t>扩展参数配置</t>
        </is>
      </c>
      <c r="F92" s="16" t="inlineStr">
        <is>
          <t>数据去重配置</t>
        </is>
      </c>
      <c r="G92" s="17" t="inlineStr">
        <is>
          <t xml:space="preserve"> 提供采集数据去重策略配置服务</t>
        </is>
      </c>
      <c r="H92" s="18" t="inlineStr">
        <is>
          <t>EO</t>
        </is>
      </c>
      <c r="I92" s="18">
        <f>IF(H92="ILF",10,IF(H92="EIF",7,IF(H92="EI",4,IF(H92="EO",5,IF(H92="EQ",4,"")))))</f>
        <v/>
      </c>
      <c r="J92" s="18" t="inlineStr">
        <is>
          <t>中</t>
        </is>
      </c>
      <c r="K92" s="18">
        <f>IF(J92="高",0.33,IF(J92="中",0.67,IF(J92="低",1,"")))</f>
        <v/>
      </c>
      <c r="L92" s="18" t="inlineStr">
        <is>
          <t>新增</t>
        </is>
      </c>
      <c r="M92" s="18">
        <f>IF(L92="新增",1,IF(L92="修改",0.8,IF(L92="删除",0.2,"")))</f>
        <v/>
      </c>
      <c r="N92" s="18">
        <f>I92*K92*M92</f>
        <v/>
      </c>
    </row>
    <row r="93" ht="19" customHeight="1" s="1">
      <c r="B93" s="16" t="n">
        <v>88</v>
      </c>
      <c r="C93" s="16" t="inlineStr">
        <is>
          <t>核心层时序应用管理系统平台开发</t>
        </is>
      </c>
      <c r="D93" s="16" t="inlineStr">
        <is>
          <t>全局参数管理</t>
        </is>
      </c>
      <c r="E93" s="16" t="inlineStr">
        <is>
          <t>扩展参数配置</t>
        </is>
      </c>
      <c r="F93" s="16" t="inlineStr">
        <is>
          <t>数据压缩配置</t>
        </is>
      </c>
      <c r="G93" s="17" t="inlineStr">
        <is>
          <t xml:space="preserve"> 提供采集数据传输压缩策略配置服务</t>
        </is>
      </c>
      <c r="H93" s="18" t="inlineStr">
        <is>
          <t>EO</t>
        </is>
      </c>
      <c r="I93" s="18">
        <f>IF(H93="ILF",10,IF(H93="EIF",7,IF(H93="EI",4,IF(H93="EO",5,IF(H93="EQ",4,"")))))</f>
        <v/>
      </c>
      <c r="J93" s="18" t="inlineStr">
        <is>
          <t>中</t>
        </is>
      </c>
      <c r="K93" s="18">
        <f>IF(J93="高",0.33,IF(J93="中",0.67,IF(J93="低",1,"")))</f>
        <v/>
      </c>
      <c r="L93" s="18" t="inlineStr">
        <is>
          <t>新增</t>
        </is>
      </c>
      <c r="M93" s="18">
        <f>IF(L93="新增",1,IF(L93="修改",0.8,IF(L93="删除",0.2,"")))</f>
        <v/>
      </c>
      <c r="N93" s="18">
        <f>I93*K93*M93</f>
        <v/>
      </c>
    </row>
    <row r="94" ht="19" customHeight="1" s="1">
      <c r="B94" s="16" t="n">
        <v>89</v>
      </c>
      <c r="C94" s="16" t="inlineStr">
        <is>
          <t>核心层时序应用管理系统平台开发</t>
        </is>
      </c>
      <c r="D94" s="16" t="inlineStr">
        <is>
          <t>全局参数管理</t>
        </is>
      </c>
      <c r="E94" s="16" t="inlineStr">
        <is>
          <t>扩展参数配置</t>
        </is>
      </c>
      <c r="F94" s="16" t="inlineStr">
        <is>
          <t>数据加密配置</t>
        </is>
      </c>
      <c r="G94" s="17" t="inlineStr">
        <is>
          <t xml:space="preserve"> 提供采集数据传输加密策略配置服务</t>
        </is>
      </c>
      <c r="H94" s="18" t="inlineStr">
        <is>
          <t>EQ</t>
        </is>
      </c>
      <c r="I94" s="18">
        <f>IF(H94="ILF",10,IF(H94="EIF",7,IF(H94="EI",4,IF(H94="EO",5,IF(H94="EQ",4,"")))))</f>
        <v/>
      </c>
      <c r="J94" s="18" t="inlineStr">
        <is>
          <t>低</t>
        </is>
      </c>
      <c r="K94" s="18">
        <f>IF(J94="高",0.33,IF(J94="中",0.67,IF(J94="低",1,"")))</f>
        <v/>
      </c>
      <c r="L94" s="18" t="inlineStr">
        <is>
          <t>新增</t>
        </is>
      </c>
      <c r="M94" s="18">
        <f>IF(L94="新增",1,IF(L94="修改",0.8,IF(L94="删除",0.2,"")))</f>
        <v/>
      </c>
      <c r="N94" s="18">
        <f>I94*K94*M94</f>
        <v/>
      </c>
    </row>
    <row r="95" ht="19" customHeight="1" s="1">
      <c r="B95" s="16" t="n">
        <v>90</v>
      </c>
      <c r="C95" s="16" t="inlineStr">
        <is>
          <t>核心层时序应用管理系统平台开发</t>
        </is>
      </c>
      <c r="D95" s="16" t="inlineStr">
        <is>
          <t>全局参数管理</t>
        </is>
      </c>
      <c r="E95" s="16" t="inlineStr">
        <is>
          <t>扩展参数配置</t>
        </is>
      </c>
      <c r="F95" s="16" t="inlineStr">
        <is>
          <t>日志级别配置</t>
        </is>
      </c>
      <c r="G95" s="17" t="inlineStr">
        <is>
          <t xml:space="preserve"> 提供系统日志级别参数配置服务</t>
        </is>
      </c>
      <c r="H95" s="18" t="inlineStr">
        <is>
          <t>EQ</t>
        </is>
      </c>
      <c r="I95" s="18">
        <f>IF(H95="ILF",10,IF(H95="EIF",7,IF(H95="EI",4,IF(H95="EO",5,IF(H95="EQ",4,"")))))</f>
        <v/>
      </c>
      <c r="J95" s="18" t="inlineStr">
        <is>
          <t>低</t>
        </is>
      </c>
      <c r="K95" s="18">
        <f>IF(J95="高",0.33,IF(J95="中",0.67,IF(J95="低",1,"")))</f>
        <v/>
      </c>
      <c r="L95" s="18" t="inlineStr">
        <is>
          <t>新增</t>
        </is>
      </c>
      <c r="M95" s="18">
        <f>IF(L95="新增",1,IF(L95="修改",0.8,IF(L95="删除",0.2,"")))</f>
        <v/>
      </c>
      <c r="N95" s="18">
        <f>I95*K95*M95</f>
        <v/>
      </c>
    </row>
    <row r="96" ht="19" customHeight="1" s="1">
      <c r="B96" s="16" t="n">
        <v>91</v>
      </c>
      <c r="C96" s="16" t="inlineStr">
        <is>
          <t>核心层时序应用管理系统平台开发</t>
        </is>
      </c>
      <c r="D96" s="16" t="inlineStr">
        <is>
          <t>全局参数管理</t>
        </is>
      </c>
      <c r="E96" s="16" t="inlineStr">
        <is>
          <t>扩展参数配置</t>
        </is>
      </c>
      <c r="F96" s="16" t="inlineStr">
        <is>
          <t>日志格式配置</t>
        </is>
      </c>
      <c r="G96" s="17" t="inlineStr">
        <is>
          <t xml:space="preserve"> 提供系统日志输出格式配置服务</t>
        </is>
      </c>
      <c r="H96" s="18" t="inlineStr">
        <is>
          <t>EQ</t>
        </is>
      </c>
      <c r="I96" s="18">
        <f>IF(H96="ILF",10,IF(H96="EIF",7,IF(H96="EI",4,IF(H96="EO",5,IF(H96="EQ",4,"")))))</f>
        <v/>
      </c>
      <c r="J96" s="18" t="inlineStr">
        <is>
          <t>低</t>
        </is>
      </c>
      <c r="K96" s="18">
        <f>IF(J96="高",0.33,IF(J96="中",0.67,IF(J96="低",1,"")))</f>
        <v/>
      </c>
      <c r="L96" s="18" t="inlineStr">
        <is>
          <t>新增</t>
        </is>
      </c>
      <c r="M96" s="18">
        <f>IF(L96="新增",1,IF(L96="修改",0.8,IF(L96="删除",0.2,"")))</f>
        <v/>
      </c>
      <c r="N96" s="18">
        <f>I96*K96*M96</f>
        <v/>
      </c>
    </row>
    <row r="97" ht="19" customHeight="1" s="1">
      <c r="B97" s="16" t="n">
        <v>92</v>
      </c>
      <c r="C97" s="16" t="inlineStr">
        <is>
          <t>核心层时序应用管理系统平台开发</t>
        </is>
      </c>
      <c r="D97" s="16" t="inlineStr">
        <is>
          <t>全局参数管理</t>
        </is>
      </c>
      <c r="E97" s="16" t="inlineStr">
        <is>
          <t>扩展参数配置</t>
        </is>
      </c>
      <c r="F97" s="16" t="inlineStr">
        <is>
          <t>告警抑制配置</t>
        </is>
      </c>
      <c r="G97" s="17" t="inlineStr">
        <is>
          <t xml:space="preserve"> 提供告警抑制时长参数配置服务</t>
        </is>
      </c>
      <c r="H97" s="18" t="inlineStr">
        <is>
          <t>EQ</t>
        </is>
      </c>
      <c r="I97" s="18">
        <f>IF(H97="ILF",10,IF(H97="EIF",7,IF(H97="EI",4,IF(H97="EO",5,IF(H97="EQ",4,"")))))</f>
        <v/>
      </c>
      <c r="J97" s="18" t="inlineStr">
        <is>
          <t>低</t>
        </is>
      </c>
      <c r="K97" s="18">
        <f>IF(J97="高",0.33,IF(J97="中",0.67,IF(J97="低",1,"")))</f>
        <v/>
      </c>
      <c r="L97" s="18" t="inlineStr">
        <is>
          <t>新增</t>
        </is>
      </c>
      <c r="M97" s="18">
        <f>IF(L97="新增",1,IF(L97="修改",0.8,IF(L97="删除",0.2,"")))</f>
        <v/>
      </c>
      <c r="N97" s="18">
        <f>I97*K97*M97</f>
        <v/>
      </c>
    </row>
    <row r="98" ht="19" customHeight="1" s="1">
      <c r="B98" s="16" t="n">
        <v>93</v>
      </c>
      <c r="C98" s="16" t="inlineStr">
        <is>
          <t>核心层时序应用管理系统平台开发</t>
        </is>
      </c>
      <c r="D98" s="16" t="inlineStr">
        <is>
          <t>全局参数管理</t>
        </is>
      </c>
      <c r="E98" s="16" t="inlineStr">
        <is>
          <t>扩展参数配置</t>
        </is>
      </c>
      <c r="F98" s="16" t="inlineStr">
        <is>
          <t>告警聚合配置</t>
        </is>
      </c>
      <c r="G98" s="17" t="inlineStr">
        <is>
          <t xml:space="preserve"> 提供告警聚合窗口参数配置服务</t>
        </is>
      </c>
      <c r="H98" s="18" t="inlineStr">
        <is>
          <t>EQ</t>
        </is>
      </c>
      <c r="I98" s="18">
        <f>IF(H98="ILF",10,IF(H98="EIF",7,IF(H98="EI",4,IF(H98="EO",5,IF(H98="EQ",4,"")))))</f>
        <v/>
      </c>
      <c r="J98" s="18" t="inlineStr">
        <is>
          <t>低</t>
        </is>
      </c>
      <c r="K98" s="18">
        <f>IF(J98="高",0.33,IF(J98="中",0.67,IF(J98="低",1,"")))</f>
        <v/>
      </c>
      <c r="L98" s="18" t="inlineStr">
        <is>
          <t>新增</t>
        </is>
      </c>
      <c r="M98" s="18">
        <f>IF(L98="新增",1,IF(L98="修改",0.8,IF(L98="删除",0.2,"")))</f>
        <v/>
      </c>
      <c r="N98" s="18">
        <f>I98*K98*M98</f>
        <v/>
      </c>
    </row>
    <row r="99" ht="19" customHeight="1" s="1">
      <c r="B99" s="16" t="n">
        <v>94</v>
      </c>
      <c r="C99" s="16" t="inlineStr">
        <is>
          <t>核心层时序应用管理系统平台开发</t>
        </is>
      </c>
      <c r="D99" s="16" t="inlineStr">
        <is>
          <t>全局参数管理</t>
        </is>
      </c>
      <c r="E99" s="16" t="inlineStr">
        <is>
          <t>扩展参数配置</t>
        </is>
      </c>
      <c r="F99" s="16" t="inlineStr">
        <is>
          <t>数据源配置</t>
        </is>
      </c>
      <c r="G99" s="17" t="inlineStr">
        <is>
          <t xml:space="preserve"> 提供数据源连接参数配置服务</t>
        </is>
      </c>
      <c r="H99" s="18" t="inlineStr">
        <is>
          <t>EQ</t>
        </is>
      </c>
      <c r="I99" s="18">
        <f>IF(H99="ILF",10,IF(H99="EIF",7,IF(H99="EI",4,IF(H99="EO",5,IF(H99="EQ",4,"")))))</f>
        <v/>
      </c>
      <c r="J99" s="18" t="inlineStr">
        <is>
          <t>低</t>
        </is>
      </c>
      <c r="K99" s="18">
        <f>IF(J99="高",0.33,IF(J99="中",0.67,IF(J99="低",1,"")))</f>
        <v/>
      </c>
      <c r="L99" s="18" t="inlineStr">
        <is>
          <t>新增</t>
        </is>
      </c>
      <c r="M99" s="18">
        <f>IF(L99="新增",1,IF(L99="修改",0.8,IF(L99="删除",0.2,"")))</f>
        <v/>
      </c>
      <c r="N99" s="18">
        <f>I99*K99*M99</f>
        <v/>
      </c>
    </row>
    <row r="100" ht="19" customHeight="1" s="1">
      <c r="B100" s="16" t="n">
        <v>95</v>
      </c>
      <c r="C100" s="16" t="inlineStr">
        <is>
          <t>核心层时序应用管理系统平台开发</t>
        </is>
      </c>
      <c r="D100" s="16" t="inlineStr">
        <is>
          <t>全局参数管理</t>
        </is>
      </c>
      <c r="E100" s="16" t="inlineStr">
        <is>
          <t>扩展参数配置</t>
        </is>
      </c>
      <c r="F100" s="16" t="inlineStr">
        <is>
          <t>任务调度配置</t>
        </is>
      </c>
      <c r="G100" s="17" t="inlineStr">
        <is>
          <t xml:space="preserve"> 提供定时任务调度参数配置服务</t>
        </is>
      </c>
      <c r="H100" s="18" t="inlineStr">
        <is>
          <t>EQ</t>
        </is>
      </c>
      <c r="I100" s="18">
        <f>IF(H100="ILF",10,IF(H100="EIF",7,IF(H100="EI",4,IF(H100="EO",5,IF(H100="EQ",4,"")))))</f>
        <v/>
      </c>
      <c r="J100" s="18" t="inlineStr">
        <is>
          <t>低</t>
        </is>
      </c>
      <c r="K100" s="18">
        <f>IF(J100="高",0.33,IF(J100="中",0.67,IF(J100="低",1,"")))</f>
        <v/>
      </c>
      <c r="L100" s="18" t="inlineStr">
        <is>
          <t>新增</t>
        </is>
      </c>
      <c r="M100" s="18">
        <f>IF(L100="新增",1,IF(L100="修改",0.8,IF(L100="删除",0.2,"")))</f>
        <v/>
      </c>
      <c r="N100" s="18">
        <f>I100*K100*M100</f>
        <v/>
      </c>
    </row>
    <row r="101" ht="19" customHeight="1" s="1">
      <c r="B101" s="16" t="n">
        <v>96</v>
      </c>
      <c r="C101" s="16" t="inlineStr">
        <is>
          <t>核心层时序应用管理系统平台开发</t>
        </is>
      </c>
      <c r="D101" s="16" t="inlineStr">
        <is>
          <t>全局参数管理</t>
        </is>
      </c>
      <c r="E101" s="16" t="inlineStr">
        <is>
          <t>扩展参数配置</t>
        </is>
      </c>
      <c r="F101" s="16" t="inlineStr">
        <is>
          <t>备份窗口配置</t>
        </is>
      </c>
      <c r="G101" s="17" t="inlineStr">
        <is>
          <t xml:space="preserve"> 提供数据备份时间窗口配置服务</t>
        </is>
      </c>
      <c r="H101" s="18" t="inlineStr">
        <is>
          <t>EQ</t>
        </is>
      </c>
      <c r="I101" s="18">
        <f>IF(H101="ILF",10,IF(H101="EIF",7,IF(H101="EI",4,IF(H101="EO",5,IF(H101="EQ",4,"")))))</f>
        <v/>
      </c>
      <c r="J101" s="18" t="inlineStr">
        <is>
          <t>中</t>
        </is>
      </c>
      <c r="K101" s="18">
        <f>IF(J101="高",0.33,IF(J101="中",0.67,IF(J101="低",1,"")))</f>
        <v/>
      </c>
      <c r="L101" s="18" t="inlineStr">
        <is>
          <t>新增</t>
        </is>
      </c>
      <c r="M101" s="18">
        <f>IF(L101="新增",1,IF(L101="修改",0.8,IF(L101="删除",0.2,"")))</f>
        <v/>
      </c>
      <c r="N101" s="18">
        <f>I101*K101*M101</f>
        <v/>
      </c>
    </row>
    <row r="102" ht="19" customHeight="1" s="1">
      <c r="B102" s="16" t="n">
        <v>97</v>
      </c>
      <c r="C102" s="16" t="inlineStr">
        <is>
          <t>核心层时序应用管理系统平台开发</t>
        </is>
      </c>
      <c r="D102" s="16" t="inlineStr">
        <is>
          <t>全局参数管理</t>
        </is>
      </c>
      <c r="E102" s="16" t="inlineStr">
        <is>
          <t>扩展参数配置</t>
        </is>
      </c>
      <c r="F102" s="16" t="inlineStr">
        <is>
          <t>监控阈值配置</t>
        </is>
      </c>
      <c r="G102" s="17" t="inlineStr">
        <is>
          <t xml:space="preserve"> 提供系统监控指标告警阈值配置服务</t>
        </is>
      </c>
      <c r="H102" s="18" t="inlineStr">
        <is>
          <t>EQ</t>
        </is>
      </c>
      <c r="I102" s="18">
        <f>IF(H102="ILF",10,IF(H102="EIF",7,IF(H102="EI",4,IF(H102="EO",5,IF(H102="EQ",4,"")))))</f>
        <v/>
      </c>
      <c r="J102" s="18" t="inlineStr">
        <is>
          <t>中</t>
        </is>
      </c>
      <c r="K102" s="18">
        <f>IF(J102="高",0.33,IF(J102="中",0.67,IF(J102="低",1,"")))</f>
        <v/>
      </c>
      <c r="L102" s="18" t="inlineStr">
        <is>
          <t>新增</t>
        </is>
      </c>
      <c r="M102" s="18">
        <f>IF(L102="新增",1,IF(L102="修改",0.8,IF(L102="删除",0.2,"")))</f>
        <v/>
      </c>
      <c r="N102" s="18">
        <f>I102*K102*M102</f>
        <v/>
      </c>
    </row>
    <row r="103" ht="19" customHeight="1" s="1">
      <c r="B103" s="16" t="n">
        <v>98</v>
      </c>
      <c r="C103" s="16" t="inlineStr">
        <is>
          <t>核心层时序应用管理系统平台开发</t>
        </is>
      </c>
      <c r="D103" s="16" t="inlineStr">
        <is>
          <t>全局参数管理</t>
        </is>
      </c>
      <c r="E103" s="16" t="inlineStr">
        <is>
          <t>扩展参数配置</t>
        </is>
      </c>
      <c r="F103" s="16" t="inlineStr">
        <is>
          <t>健康检查配置</t>
        </is>
      </c>
      <c r="G103" s="17" t="inlineStr">
        <is>
          <t xml:space="preserve"> 提供系统健康检查周期参数配置服务</t>
        </is>
      </c>
      <c r="H103" s="18" t="inlineStr">
        <is>
          <t>EQ</t>
        </is>
      </c>
      <c r="I103" s="18">
        <f>IF(H103="ILF",10,IF(H103="EIF",7,IF(H103="EI",4,IF(H103="EO",5,IF(H103="EQ",4,"")))))</f>
        <v/>
      </c>
      <c r="J103" s="18" t="inlineStr">
        <is>
          <t>中</t>
        </is>
      </c>
      <c r="K103" s="18">
        <f>IF(J103="高",0.33,IF(J103="中",0.67,IF(J103="低",1,"")))</f>
        <v/>
      </c>
      <c r="L103" s="18" t="inlineStr">
        <is>
          <t>新增</t>
        </is>
      </c>
      <c r="M103" s="18">
        <f>IF(L103="新增",1,IF(L103="修改",0.8,IF(L103="删除",0.2,"")))</f>
        <v/>
      </c>
      <c r="N103" s="18">
        <f>I103*K103*M103</f>
        <v/>
      </c>
    </row>
    <row r="104" ht="19" customHeight="1" s="1">
      <c r="B104" s="16" t="n">
        <v>99</v>
      </c>
      <c r="C104" s="16" t="inlineStr">
        <is>
          <t>核心层时序应用管理系统平台开发</t>
        </is>
      </c>
      <c r="D104" s="16" t="inlineStr">
        <is>
          <t>全局参数管理</t>
        </is>
      </c>
      <c r="E104" s="16" t="inlineStr">
        <is>
          <t>扩展参数配置</t>
        </is>
      </c>
      <c r="F104" s="16" t="inlineStr">
        <is>
          <t>心跳间隔配置</t>
        </is>
      </c>
      <c r="G104" s="17" t="inlineStr">
        <is>
          <t xml:space="preserve"> 提供服务心跳间隔参数配置服务</t>
        </is>
      </c>
      <c r="H104" s="18" t="inlineStr">
        <is>
          <t>EQ</t>
        </is>
      </c>
      <c r="I104" s="18">
        <f>IF(H104="ILF",10,IF(H104="EIF",7,IF(H104="EI",4,IF(H104="EO",5,IF(H104="EQ",4,"")))))</f>
        <v/>
      </c>
      <c r="J104" s="18" t="inlineStr">
        <is>
          <t>中</t>
        </is>
      </c>
      <c r="K104" s="18">
        <f>IF(J104="高",0.33,IF(J104="中",0.67,IF(J104="低",1,"")))</f>
        <v/>
      </c>
      <c r="L104" s="18" t="inlineStr">
        <is>
          <t>新增</t>
        </is>
      </c>
      <c r="M104" s="18">
        <f>IF(L104="新增",1,IF(L104="修改",0.8,IF(L104="删除",0.2,"")))</f>
        <v/>
      </c>
      <c r="N104" s="18">
        <f>I104*K104*M104</f>
        <v/>
      </c>
    </row>
    <row r="105" ht="19" customHeight="1" s="1">
      <c r="B105" s="16" t="n">
        <v>100</v>
      </c>
      <c r="C105" s="16" t="inlineStr">
        <is>
          <t>核心层时序应用管理系统平台开发</t>
        </is>
      </c>
      <c r="D105" s="16" t="inlineStr">
        <is>
          <t>全局参数管理</t>
        </is>
      </c>
      <c r="E105" s="16" t="inlineStr">
        <is>
          <t>扩展参数配置</t>
        </is>
      </c>
      <c r="F105" s="16" t="inlineStr">
        <is>
          <t>超时熔断配置</t>
        </is>
      </c>
      <c r="G105" s="17" t="inlineStr">
        <is>
          <t xml:space="preserve"> 提供服务调用超时熔断参数配置服务</t>
        </is>
      </c>
      <c r="H105" s="18" t="inlineStr">
        <is>
          <t>EQ</t>
        </is>
      </c>
      <c r="I105" s="18">
        <f>IF(H105="ILF",10,IF(H105="EIF",7,IF(H105="EI",4,IF(H105="EO",5,IF(H105="EQ",4,"")))))</f>
        <v/>
      </c>
      <c r="J105" s="18" t="inlineStr">
        <is>
          <t>中</t>
        </is>
      </c>
      <c r="K105" s="18">
        <f>IF(J105="高",0.33,IF(J105="中",0.67,IF(J105="低",1,"")))</f>
        <v/>
      </c>
      <c r="L105" s="18" t="inlineStr">
        <is>
          <t>新增</t>
        </is>
      </c>
      <c r="M105" s="18">
        <f>IF(L105="新增",1,IF(L105="修改",0.8,IF(L105="删除",0.2,"")))</f>
        <v/>
      </c>
      <c r="N105" s="18">
        <f>I105*K105*M105</f>
        <v/>
      </c>
    </row>
    <row r="106" ht="19" customHeight="1" s="1">
      <c r="B106" s="16" t="n">
        <v>101</v>
      </c>
      <c r="C106" s="16" t="inlineStr">
        <is>
          <t>核心层时序应用管理系统平台开发</t>
        </is>
      </c>
      <c r="D106" s="16" t="inlineStr">
        <is>
          <t>全局参数管理</t>
        </is>
      </c>
      <c r="E106" s="16" t="inlineStr">
        <is>
          <t>扩展参数配置</t>
        </is>
      </c>
      <c r="F106" s="16" t="inlineStr">
        <is>
          <t>限流阈值配置</t>
        </is>
      </c>
      <c r="G106" s="17" t="inlineStr">
        <is>
          <t xml:space="preserve"> 提供API调用限流阈值配置服务</t>
        </is>
      </c>
      <c r="H106" s="18" t="inlineStr">
        <is>
          <t>EQ</t>
        </is>
      </c>
      <c r="I106" s="18">
        <f>IF(H106="ILF",10,IF(H106="EIF",7,IF(H106="EI",4,IF(H106="EO",5,IF(H106="EQ",4,"")))))</f>
        <v/>
      </c>
      <c r="J106" s="18" t="inlineStr">
        <is>
          <t>中</t>
        </is>
      </c>
      <c r="K106" s="18">
        <f>IF(J106="高",0.33,IF(J106="中",0.67,IF(J106="低",1,"")))</f>
        <v/>
      </c>
      <c r="L106" s="18" t="inlineStr">
        <is>
          <t>新增</t>
        </is>
      </c>
      <c r="M106" s="18">
        <f>IF(L106="新增",1,IF(L106="修改",0.8,IF(L106="删除",0.2,"")))</f>
        <v/>
      </c>
      <c r="N106" s="18">
        <f>I106*K106*M106</f>
        <v/>
      </c>
    </row>
    <row r="107" ht="19" customHeight="1" s="1">
      <c r="B107" s="16" t="n">
        <v>102</v>
      </c>
      <c r="C107" s="16" t="inlineStr">
        <is>
          <t>核心层时序应用管理系统平台开发</t>
        </is>
      </c>
      <c r="D107" s="16" t="inlineStr">
        <is>
          <t>全局参数管理</t>
        </is>
      </c>
      <c r="E107" s="16" t="inlineStr">
        <is>
          <t>扩展参数配置</t>
        </is>
      </c>
      <c r="F107" s="16" t="inlineStr">
        <is>
          <t>降级策略配置</t>
        </is>
      </c>
      <c r="G107" s="17" t="inlineStr">
        <is>
          <t xml:space="preserve"> 提供服务降级策略参数配置服务</t>
        </is>
      </c>
      <c r="H107" s="18" t="inlineStr">
        <is>
          <t>EQ</t>
        </is>
      </c>
      <c r="I107" s="18">
        <f>IF(H107="ILF",10,IF(H107="EIF",7,IF(H107="EI",4,IF(H107="EO",5,IF(H107="EQ",4,"")))))</f>
        <v/>
      </c>
      <c r="J107" s="18" t="inlineStr">
        <is>
          <t>中</t>
        </is>
      </c>
      <c r="K107" s="18">
        <f>IF(J107="高",0.33,IF(J107="中",0.67,IF(J107="低",1,"")))</f>
        <v/>
      </c>
      <c r="L107" s="18" t="inlineStr">
        <is>
          <t>新增</t>
        </is>
      </c>
      <c r="M107" s="18">
        <f>IF(L107="新增",1,IF(L107="修改",0.8,IF(L107="删除",0.2,"")))</f>
        <v/>
      </c>
      <c r="N107" s="18">
        <f>I107*K107*M107</f>
        <v/>
      </c>
    </row>
    <row r="108" ht="19" customHeight="1" s="1">
      <c r="B108" s="16" t="n">
        <v>103</v>
      </c>
      <c r="C108" s="16" t="inlineStr">
        <is>
          <t>核心层时序应用管理系统平台开发</t>
        </is>
      </c>
      <c r="D108" s="16" t="inlineStr">
        <is>
          <t>全局参数管理</t>
        </is>
      </c>
      <c r="E108" s="16" t="inlineStr">
        <is>
          <t>系统配置服务</t>
        </is>
      </c>
      <c r="F108" s="16" t="inlineStr">
        <is>
          <t>系统参数备份恢复</t>
        </is>
      </c>
      <c r="G108" s="17" t="inlineStr">
        <is>
          <t xml:space="preserve"> 提供系统配置参数的备份与恢复服务</t>
        </is>
      </c>
      <c r="H108" s="18" t="inlineStr">
        <is>
          <t>EQ</t>
        </is>
      </c>
      <c r="I108" s="18">
        <f>IF(H108="ILF",10,IF(H108="EIF",7,IF(H108="EI",4,IF(H108="EO",5,IF(H108="EQ",4,"")))))</f>
        <v/>
      </c>
      <c r="J108" s="18" t="inlineStr">
        <is>
          <t>中</t>
        </is>
      </c>
      <c r="K108" s="18">
        <f>IF(J108="高",0.33,IF(J108="中",0.67,IF(J108="低",1,"")))</f>
        <v/>
      </c>
      <c r="L108" s="18" t="inlineStr">
        <is>
          <t>新增</t>
        </is>
      </c>
      <c r="M108" s="18">
        <f>IF(L108="新增",1,IF(L108="修改",0.8,IF(L108="删除",0.2,"")))</f>
        <v/>
      </c>
      <c r="N108" s="18">
        <f>I108*K108*M108</f>
        <v/>
      </c>
    </row>
    <row r="109" ht="19" customHeight="1" s="1">
      <c r="B109" s="16" t="n">
        <v>104</v>
      </c>
      <c r="C109" s="16" t="inlineStr">
        <is>
          <t>核心层时序应用管理系统平台开发</t>
        </is>
      </c>
      <c r="D109" s="16" t="inlineStr">
        <is>
          <t>全局参数管理</t>
        </is>
      </c>
      <c r="E109" s="16" t="inlineStr">
        <is>
          <t>系统配置服务</t>
        </is>
      </c>
      <c r="F109" s="16" t="inlineStr">
        <is>
          <t>系统参数迁移</t>
        </is>
      </c>
      <c r="G109" s="17" t="inlineStr">
        <is>
          <t xml:space="preserve"> 提供系统参数跨环境迁移服务</t>
        </is>
      </c>
      <c r="H109" s="18" t="inlineStr">
        <is>
          <t>EQ</t>
        </is>
      </c>
      <c r="I109" s="18">
        <f>IF(H109="ILF",10,IF(H109="EIF",7,IF(H109="EI",4,IF(H109="EO",5,IF(H109="EQ",4,"")))))</f>
        <v/>
      </c>
      <c r="J109" s="18" t="inlineStr">
        <is>
          <t>中</t>
        </is>
      </c>
      <c r="K109" s="18">
        <f>IF(J109="高",0.33,IF(J109="中",0.67,IF(J109="低",1,"")))</f>
        <v/>
      </c>
      <c r="L109" s="18" t="inlineStr">
        <is>
          <t>新增</t>
        </is>
      </c>
      <c r="M109" s="18">
        <f>IF(L109="新增",1,IF(L109="修改",0.8,IF(L109="删除",0.2,"")))</f>
        <v/>
      </c>
      <c r="N109" s="18">
        <f>I109*K109*M109</f>
        <v/>
      </c>
    </row>
    <row r="110" ht="19" customHeight="1" s="1">
      <c r="B110" s="16" t="n">
        <v>105</v>
      </c>
      <c r="C110" s="16" t="inlineStr">
        <is>
          <t>核心层时序应用管理系统平台开发</t>
        </is>
      </c>
      <c r="D110" s="16" t="inlineStr">
        <is>
          <t>全局参数管理</t>
        </is>
      </c>
      <c r="E110" s="16" t="inlineStr">
        <is>
          <t>系统配置服务</t>
        </is>
      </c>
      <c r="F110" s="16" t="inlineStr">
        <is>
          <t>系统参数对比</t>
        </is>
      </c>
      <c r="G110" s="17" t="inlineStr">
        <is>
          <t xml:space="preserve"> 提供系统参数版本差异对比服务</t>
        </is>
      </c>
      <c r="H110" s="18" t="inlineStr">
        <is>
          <t>EQ</t>
        </is>
      </c>
      <c r="I110" s="18">
        <f>IF(H110="ILF",10,IF(H110="EIF",7,IF(H110="EI",4,IF(H110="EO",5,IF(H110="EQ",4,"")))))</f>
        <v/>
      </c>
      <c r="J110" s="18" t="inlineStr">
        <is>
          <t>中</t>
        </is>
      </c>
      <c r="K110" s="18">
        <f>IF(J110="高",0.33,IF(J110="中",0.67,IF(J110="低",1,"")))</f>
        <v/>
      </c>
      <c r="L110" s="18" t="inlineStr">
        <is>
          <t>新增</t>
        </is>
      </c>
      <c r="M110" s="18">
        <f>IF(L110="新增",1,IF(L110="修改",0.8,IF(L110="删除",0.2,"")))</f>
        <v/>
      </c>
      <c r="N110" s="18">
        <f>I110*K110*M110</f>
        <v/>
      </c>
    </row>
    <row r="111" ht="19" customHeight="1" s="1">
      <c r="B111" s="16" t="n">
        <v>106</v>
      </c>
      <c r="C111" s="16" t="inlineStr">
        <is>
          <t>核心层时序应用管理系统平台开发</t>
        </is>
      </c>
      <c r="D111" s="16" t="inlineStr">
        <is>
          <t>全局参数管理</t>
        </is>
      </c>
      <c r="E111" s="16" t="inlineStr">
        <is>
          <t>运行维护服务</t>
        </is>
      </c>
      <c r="F111" s="16" t="inlineStr">
        <is>
          <t>系统运行日志采集</t>
        </is>
      </c>
      <c r="G111" s="17" t="inlineStr">
        <is>
          <t xml:space="preserve"> 提供系统运行日志采集服务</t>
        </is>
      </c>
      <c r="H111" s="18" t="inlineStr">
        <is>
          <t>EQ</t>
        </is>
      </c>
      <c r="I111" s="18">
        <f>IF(H111="ILF",10,IF(H111="EIF",7,IF(H111="EI",4,IF(H111="EO",5,IF(H111="EQ",4,"")))))</f>
        <v/>
      </c>
      <c r="J111" s="18" t="inlineStr">
        <is>
          <t>中</t>
        </is>
      </c>
      <c r="K111" s="18">
        <f>IF(J111="高",0.33,IF(J111="中",0.67,IF(J111="低",1,"")))</f>
        <v/>
      </c>
      <c r="L111" s="18" t="inlineStr">
        <is>
          <t>新增</t>
        </is>
      </c>
      <c r="M111" s="18">
        <f>IF(L111="新增",1,IF(L111="修改",0.8,IF(L111="删除",0.2,"")))</f>
        <v/>
      </c>
      <c r="N111" s="18">
        <f>I111*K111*M111</f>
        <v/>
      </c>
    </row>
    <row r="112" ht="19" customHeight="1" s="1">
      <c r="B112" s="16" t="n">
        <v>107</v>
      </c>
      <c r="C112" s="16" t="inlineStr">
        <is>
          <t>核心层时序应用管理系统平台开发</t>
        </is>
      </c>
      <c r="D112" s="16" t="inlineStr">
        <is>
          <t>全局参数管理</t>
        </is>
      </c>
      <c r="E112" s="16" t="inlineStr">
        <is>
          <t>运行维护服务</t>
        </is>
      </c>
      <c r="F112" s="16" t="inlineStr">
        <is>
          <t>系统运行指标采集</t>
        </is>
      </c>
      <c r="G112" s="17" t="inlineStr">
        <is>
          <t xml:space="preserve"> 提供系统运行指标采集服务</t>
        </is>
      </c>
      <c r="H112" s="18" t="inlineStr">
        <is>
          <t>EQ</t>
        </is>
      </c>
      <c r="I112" s="18">
        <f>IF(H112="ILF",10,IF(H112="EIF",7,IF(H112="EI",4,IF(H112="EO",5,IF(H112="EQ",4,"")))))</f>
        <v/>
      </c>
      <c r="J112" s="18" t="inlineStr">
        <is>
          <t>中</t>
        </is>
      </c>
      <c r="K112" s="18">
        <f>IF(J112="高",0.33,IF(J112="中",0.67,IF(J112="低",1,"")))</f>
        <v/>
      </c>
      <c r="L112" s="18" t="inlineStr">
        <is>
          <t>新增</t>
        </is>
      </c>
      <c r="M112" s="18">
        <f>IF(L112="新增",1,IF(L112="修改",0.8,IF(L112="删除",0.2,"")))</f>
        <v/>
      </c>
      <c r="N112" s="18">
        <f>I112*K112*M112</f>
        <v/>
      </c>
    </row>
    <row r="113" ht="19" customHeight="1" s="1">
      <c r="B113" s="16" t="n">
        <v>108</v>
      </c>
      <c r="C113" s="16" t="inlineStr">
        <is>
          <t>核心层时序应用管理系统平台开发</t>
        </is>
      </c>
      <c r="D113" s="16" t="inlineStr">
        <is>
          <t>全局参数管理</t>
        </is>
      </c>
      <c r="E113" s="16" t="inlineStr">
        <is>
          <t>采集频率参数管理</t>
        </is>
      </c>
      <c r="F113" s="16" t="inlineStr">
        <is>
          <t>采油厂默认频率</t>
        </is>
      </c>
      <c r="G113" s="17" t="inlineStr">
        <is>
          <t xml:space="preserve"> 提供各采油厂默认采集频率参数配置技术服务</t>
        </is>
      </c>
      <c r="H113" s="18" t="inlineStr">
        <is>
          <t>EQ</t>
        </is>
      </c>
      <c r="I113" s="18">
        <f>IF(H113="ILF",10,IF(H113="EIF",7,IF(H113="EI",4,IF(H113="EO",5,IF(H113="EQ",4,"")))))</f>
        <v/>
      </c>
      <c r="J113" s="18" t="inlineStr">
        <is>
          <t>中</t>
        </is>
      </c>
      <c r="K113" s="18">
        <f>IF(J113="高",0.33,IF(J113="中",0.67,IF(J113="低",1,"")))</f>
        <v/>
      </c>
      <c r="L113" s="18" t="inlineStr">
        <is>
          <t>新增</t>
        </is>
      </c>
      <c r="M113" s="18">
        <f>IF(L113="新增",1,IF(L113="修改",0.8,IF(L113="删除",0.2,"")))</f>
        <v/>
      </c>
      <c r="N113" s="18">
        <f>I113*K113*M113</f>
        <v/>
      </c>
    </row>
    <row r="114" ht="19" customHeight="1" s="1">
      <c r="B114" s="16" t="n">
        <v>109</v>
      </c>
      <c r="C114" s="16" t="inlineStr">
        <is>
          <t>采集策略多样化定制</t>
        </is>
      </c>
      <c r="D114" s="16" t="inlineStr">
        <is>
          <t>设备物模型配置</t>
        </is>
      </c>
      <c r="E114" s="16" t="inlineStr">
        <is>
          <t>G2组电参</t>
        </is>
      </c>
      <c r="F114" s="16" t="inlineStr">
        <is>
          <t>G2寄存器映射</t>
        </is>
      </c>
      <c r="G114" s="17" t="inlineStr">
        <is>
          <t xml:space="preserve"> 提供G2组Modbus寄存器40351-40379地址映射技术服务</t>
        </is>
      </c>
      <c r="H114" s="18" t="inlineStr">
        <is>
          <t>ILF</t>
        </is>
      </c>
      <c r="I114" s="18">
        <f>IF(H114="ILF",10,IF(H114="EIF",7,IF(H114="EI",4,IF(H114="EO",5,IF(H114="EQ",4,"")))))</f>
        <v/>
      </c>
      <c r="J114" s="18" t="inlineStr">
        <is>
          <t>低</t>
        </is>
      </c>
      <c r="K114" s="18">
        <f>IF(J114="高",0.33,IF(J114="中",0.67,IF(J114="低",1,"")))</f>
        <v/>
      </c>
      <c r="L114" s="18" t="inlineStr">
        <is>
          <t>新增</t>
        </is>
      </c>
      <c r="M114" s="18">
        <f>IF(L114="新增",1,IF(L114="修改",0.8,IF(L114="删除",0.2,"")))</f>
        <v/>
      </c>
      <c r="N114" s="18">
        <f>I114*K114*M114</f>
        <v/>
      </c>
    </row>
    <row r="115" ht="19" customHeight="1" s="1">
      <c r="B115" s="16" t="n">
        <v>110</v>
      </c>
      <c r="C115" s="16" t="inlineStr">
        <is>
          <t>采集策略多样化定制</t>
        </is>
      </c>
      <c r="D115" s="16" t="inlineStr">
        <is>
          <t>设备物模型配置</t>
        </is>
      </c>
      <c r="E115" s="16" t="inlineStr">
        <is>
          <t>G3~G8组</t>
        </is>
      </c>
      <c r="F115" s="16" t="inlineStr">
        <is>
          <t>G3变频模型</t>
        </is>
      </c>
      <c r="G115" s="17" t="inlineStr">
        <is>
          <t xml:space="preserve"> 提供G3变频分组5个参数物模型配置技术服务</t>
        </is>
      </c>
      <c r="H115" s="18" t="inlineStr">
        <is>
          <t>ILF</t>
        </is>
      </c>
      <c r="I115" s="18">
        <f>IF(H115="ILF",10,IF(H115="EIF",7,IF(H115="EI",4,IF(H115="EO",5,IF(H115="EQ",4,"")))))</f>
        <v/>
      </c>
      <c r="J115" s="18" t="inlineStr">
        <is>
          <t>低</t>
        </is>
      </c>
      <c r="K115" s="18">
        <f>IF(J115="高",0.33,IF(J115="中",0.67,IF(J115="低",1,"")))</f>
        <v/>
      </c>
      <c r="L115" s="18" t="inlineStr">
        <is>
          <t>新增</t>
        </is>
      </c>
      <c r="M115" s="18">
        <f>IF(L115="新增",1,IF(L115="修改",0.8,IF(L115="删除",0.2,"")))</f>
        <v/>
      </c>
      <c r="N115" s="18">
        <f>I115*K115*M115</f>
        <v/>
      </c>
    </row>
    <row r="116" ht="19" customHeight="1" s="1">
      <c r="B116" s="16" t="n">
        <v>111</v>
      </c>
      <c r="C116" s="16" t="inlineStr">
        <is>
          <t>采集策略多样化定制</t>
        </is>
      </c>
      <c r="D116" s="16" t="inlineStr">
        <is>
          <t>设备物模型配置</t>
        </is>
      </c>
      <c r="E116" s="16" t="inlineStr">
        <is>
          <t>G2组电参</t>
        </is>
      </c>
      <c r="F116" s="16" t="inlineStr">
        <is>
          <t>G2电参物模型</t>
        </is>
      </c>
      <c r="G116" s="17" t="inlineStr">
        <is>
          <t xml:space="preserve"> 提供G2电参分组15个参数物模型配置技术服务</t>
        </is>
      </c>
      <c r="H116" s="18" t="inlineStr">
        <is>
          <t>ILF</t>
        </is>
      </c>
      <c r="I116" s="18">
        <f>IF(H116="ILF",10,IF(H116="EIF",7,IF(H116="EI",4,IF(H116="EO",5,IF(H116="EQ",4,"")))))</f>
        <v/>
      </c>
      <c r="J116" s="18" t="inlineStr">
        <is>
          <t>低</t>
        </is>
      </c>
      <c r="K116" s="18">
        <f>IF(J116="高",0.33,IF(J116="中",0.67,IF(J116="低",1,"")))</f>
        <v/>
      </c>
      <c r="L116" s="18" t="inlineStr">
        <is>
          <t>新增</t>
        </is>
      </c>
      <c r="M116" s="18">
        <f>IF(L116="新增",1,IF(L116="修改",0.8,IF(L116="删除",0.2,"")))</f>
        <v/>
      </c>
      <c r="N116" s="18">
        <f>I116*K116*M116</f>
        <v/>
      </c>
    </row>
    <row r="117" ht="19" customHeight="1" s="1">
      <c r="B117" s="16" t="n">
        <v>112</v>
      </c>
      <c r="C117" s="16" t="inlineStr">
        <is>
          <t>采集策略多样化定制</t>
        </is>
      </c>
      <c r="D117" s="16" t="inlineStr">
        <is>
          <t>设备物模型配置</t>
        </is>
      </c>
      <c r="E117" s="16" t="inlineStr">
        <is>
          <t>G2组电参</t>
        </is>
      </c>
      <c r="F117" s="16" t="inlineStr">
        <is>
          <t>G2A相电流</t>
        </is>
      </c>
      <c r="G117" s="17" t="inlineStr">
        <is>
          <t xml:space="preserve"> 提供G2组A相电流参数属性定义技术服务</t>
        </is>
      </c>
      <c r="H117" s="18" t="inlineStr">
        <is>
          <t>ILF</t>
        </is>
      </c>
      <c r="I117" s="18">
        <f>IF(H117="ILF",10,IF(H117="EIF",7,IF(H117="EI",4,IF(H117="EO",5,IF(H117="EQ",4,"")))))</f>
        <v/>
      </c>
      <c r="J117" s="18" t="inlineStr">
        <is>
          <t>低</t>
        </is>
      </c>
      <c r="K117" s="18">
        <f>IF(J117="高",0.33,IF(J117="中",0.67,IF(J117="低",1,"")))</f>
        <v/>
      </c>
      <c r="L117" s="18" t="inlineStr">
        <is>
          <t>新增</t>
        </is>
      </c>
      <c r="M117" s="18">
        <f>IF(L117="新增",1,IF(L117="修改",0.8,IF(L117="删除",0.2,"")))</f>
        <v/>
      </c>
      <c r="N117" s="18">
        <f>I117*K117*M117</f>
        <v/>
      </c>
    </row>
    <row r="118" ht="19" customHeight="1" s="1">
      <c r="B118" s="16" t="n">
        <v>113</v>
      </c>
      <c r="C118" s="16" t="inlineStr">
        <is>
          <t>采集策略多样化定制</t>
        </is>
      </c>
      <c r="D118" s="16" t="inlineStr">
        <is>
          <t>设备物模型配置</t>
        </is>
      </c>
      <c r="E118" s="16" t="inlineStr">
        <is>
          <t>G2组电参</t>
        </is>
      </c>
      <c r="F118" s="16" t="inlineStr">
        <is>
          <t>G2B相电流</t>
        </is>
      </c>
      <c r="G118" s="17" t="inlineStr">
        <is>
          <t xml:space="preserve"> 提供G2组B相电流参数属性定义技术服务</t>
        </is>
      </c>
      <c r="H118" s="18" t="inlineStr">
        <is>
          <t>ILF</t>
        </is>
      </c>
      <c r="I118" s="18">
        <f>IF(H118="ILF",10,IF(H118="EIF",7,IF(H118="EI",4,IF(H118="EO",5,IF(H118="EQ",4,"")))))</f>
        <v/>
      </c>
      <c r="J118" s="18" t="inlineStr">
        <is>
          <t>低</t>
        </is>
      </c>
      <c r="K118" s="18">
        <f>IF(J118="高",0.33,IF(J118="中",0.67,IF(J118="低",1,"")))</f>
        <v/>
      </c>
      <c r="L118" s="18" t="inlineStr">
        <is>
          <t>新增</t>
        </is>
      </c>
      <c r="M118" s="18">
        <f>IF(L118="新增",1,IF(L118="修改",0.8,IF(L118="删除",0.2,"")))</f>
        <v/>
      </c>
      <c r="N118" s="18">
        <f>I118*K118*M118</f>
        <v/>
      </c>
    </row>
    <row r="119" ht="19" customHeight="1" s="1">
      <c r="B119" s="16" t="n">
        <v>114</v>
      </c>
      <c r="C119" s="16" t="inlineStr">
        <is>
          <t>采集策略多样化定制</t>
        </is>
      </c>
      <c r="D119" s="16" t="inlineStr">
        <is>
          <t>设备物模型配置</t>
        </is>
      </c>
      <c r="E119" s="16" t="inlineStr">
        <is>
          <t>G2组电参</t>
        </is>
      </c>
      <c r="F119" s="16" t="inlineStr">
        <is>
          <t>G2C相电流</t>
        </is>
      </c>
      <c r="G119" s="17" t="inlineStr">
        <is>
          <t xml:space="preserve"> 提供G2组C相电流参数属性定义技术服务</t>
        </is>
      </c>
      <c r="H119" s="18" t="inlineStr">
        <is>
          <t>ILF</t>
        </is>
      </c>
      <c r="I119" s="18">
        <f>IF(H119="ILF",10,IF(H119="EIF",7,IF(H119="EI",4,IF(H119="EO",5,IF(H119="EQ",4,"")))))</f>
        <v/>
      </c>
      <c r="J119" s="18" t="inlineStr">
        <is>
          <t>低</t>
        </is>
      </c>
      <c r="K119" s="18">
        <f>IF(J119="高",0.33,IF(J119="中",0.67,IF(J119="低",1,"")))</f>
        <v/>
      </c>
      <c r="L119" s="18" t="inlineStr">
        <is>
          <t>新增</t>
        </is>
      </c>
      <c r="M119" s="18">
        <f>IF(L119="新增",1,IF(L119="修改",0.8,IF(L119="删除",0.2,"")))</f>
        <v/>
      </c>
      <c r="N119" s="18">
        <f>I119*K119*M119</f>
        <v/>
      </c>
    </row>
    <row r="120" ht="19" customHeight="1" s="1">
      <c r="B120" s="16" t="n">
        <v>115</v>
      </c>
      <c r="C120" s="16" t="inlineStr">
        <is>
          <t>采集策略多样化定制</t>
        </is>
      </c>
      <c r="D120" s="16" t="inlineStr">
        <is>
          <t>设备物模型配置</t>
        </is>
      </c>
      <c r="E120" s="16" t="inlineStr">
        <is>
          <t>G2组电参</t>
        </is>
      </c>
      <c r="F120" s="16" t="inlineStr">
        <is>
          <t>G2A相电压</t>
        </is>
      </c>
      <c r="G120" s="17" t="inlineStr">
        <is>
          <t xml:space="preserve"> 提供G2组A相电压参数属性定义技术服务</t>
        </is>
      </c>
      <c r="H120" s="18" t="inlineStr">
        <is>
          <t>ILF</t>
        </is>
      </c>
      <c r="I120" s="18">
        <f>IF(H120="ILF",10,IF(H120="EIF",7,IF(H120="EI",4,IF(H120="EO",5,IF(H120="EQ",4,"")))))</f>
        <v/>
      </c>
      <c r="J120" s="18" t="inlineStr">
        <is>
          <t>低</t>
        </is>
      </c>
      <c r="K120" s="18">
        <f>IF(J120="高",0.33,IF(J120="中",0.67,IF(J120="低",1,"")))</f>
        <v/>
      </c>
      <c r="L120" s="18" t="inlineStr">
        <is>
          <t>新增</t>
        </is>
      </c>
      <c r="M120" s="18">
        <f>IF(L120="新增",1,IF(L120="修改",0.8,IF(L120="删除",0.2,"")))</f>
        <v/>
      </c>
      <c r="N120" s="18">
        <f>I120*K120*M120</f>
        <v/>
      </c>
    </row>
    <row r="121" ht="19" customHeight="1" s="1">
      <c r="B121" s="16" t="n">
        <v>116</v>
      </c>
      <c r="C121" s="16" t="inlineStr">
        <is>
          <t>采集策略多样化定制</t>
        </is>
      </c>
      <c r="D121" s="16" t="inlineStr">
        <is>
          <t>设备物模型配置</t>
        </is>
      </c>
      <c r="E121" s="16" t="inlineStr">
        <is>
          <t>G2组电参</t>
        </is>
      </c>
      <c r="F121" s="16" t="inlineStr">
        <is>
          <t>G2B相电压</t>
        </is>
      </c>
      <c r="G121" s="17" t="inlineStr">
        <is>
          <t xml:space="preserve"> 提供G2组B相电压参数属性定义技术服务</t>
        </is>
      </c>
      <c r="H121" s="18" t="inlineStr">
        <is>
          <t>ILF</t>
        </is>
      </c>
      <c r="I121" s="18">
        <f>IF(H121="ILF",10,IF(H121="EIF",7,IF(H121="EI",4,IF(H121="EO",5,IF(H121="EQ",4,"")))))</f>
        <v/>
      </c>
      <c r="J121" s="18" t="inlineStr">
        <is>
          <t>低</t>
        </is>
      </c>
      <c r="K121" s="18">
        <f>IF(J121="高",0.33,IF(J121="中",0.67,IF(J121="低",1,"")))</f>
        <v/>
      </c>
      <c r="L121" s="18" t="inlineStr">
        <is>
          <t>新增</t>
        </is>
      </c>
      <c r="M121" s="18">
        <f>IF(L121="新增",1,IF(L121="修改",0.8,IF(L121="删除",0.2,"")))</f>
        <v/>
      </c>
      <c r="N121" s="18">
        <f>I121*K121*M121</f>
        <v/>
      </c>
    </row>
    <row r="122" ht="19" customHeight="1" s="1">
      <c r="B122" s="16" t="n">
        <v>117</v>
      </c>
      <c r="C122" s="16" t="inlineStr">
        <is>
          <t>采集策略多样化定制</t>
        </is>
      </c>
      <c r="D122" s="16" t="inlineStr">
        <is>
          <t>设备物模型配置</t>
        </is>
      </c>
      <c r="E122" s="16" t="inlineStr">
        <is>
          <t>G2组电参</t>
        </is>
      </c>
      <c r="F122" s="16" t="inlineStr">
        <is>
          <t>G2C相电压</t>
        </is>
      </c>
      <c r="G122" s="17" t="inlineStr">
        <is>
          <t xml:space="preserve"> 提供G2组C相电压参数属性定义技术服务</t>
        </is>
      </c>
      <c r="H122" s="18" t="inlineStr">
        <is>
          <t>ILF</t>
        </is>
      </c>
      <c r="I122" s="18">
        <f>IF(H122="ILF",10,IF(H122="EIF",7,IF(H122="EI",4,IF(H122="EO",5,IF(H122="EQ",4,"")))))</f>
        <v/>
      </c>
      <c r="J122" s="18" t="inlineStr">
        <is>
          <t>低</t>
        </is>
      </c>
      <c r="K122" s="18">
        <f>IF(J122="高",0.33,IF(J122="中",0.67,IF(J122="低",1,"")))</f>
        <v/>
      </c>
      <c r="L122" s="18" t="inlineStr">
        <is>
          <t>新增</t>
        </is>
      </c>
      <c r="M122" s="18">
        <f>IF(L122="新增",1,IF(L122="修改",0.8,IF(L122="删除",0.2,"")))</f>
        <v/>
      </c>
      <c r="N122" s="18">
        <f>I122*K122*M122</f>
        <v/>
      </c>
    </row>
    <row r="123" ht="19" customHeight="1" s="1">
      <c r="B123" s="16" t="n">
        <v>118</v>
      </c>
      <c r="C123" s="16" t="inlineStr">
        <is>
          <t>采集策略多样化定制</t>
        </is>
      </c>
      <c r="D123" s="16" t="inlineStr">
        <is>
          <t>设备物模型配置</t>
        </is>
      </c>
      <c r="E123" s="16" t="inlineStr">
        <is>
          <t>G2组电参</t>
        </is>
      </c>
      <c r="F123" s="16" t="inlineStr">
        <is>
          <t>G2有功功率</t>
        </is>
      </c>
      <c r="G123" s="17" t="inlineStr">
        <is>
          <t xml:space="preserve"> 提供G2组有功功率参数属性定义技术服务</t>
        </is>
      </c>
      <c r="H123" s="18" t="inlineStr">
        <is>
          <t>ILF</t>
        </is>
      </c>
      <c r="I123" s="18">
        <f>IF(H123="ILF",10,IF(H123="EIF",7,IF(H123="EI",4,IF(H123="EO",5,IF(H123="EQ",4,"")))))</f>
        <v/>
      </c>
      <c r="J123" s="18" t="inlineStr">
        <is>
          <t>低</t>
        </is>
      </c>
      <c r="K123" s="18">
        <f>IF(J123="高",0.33,IF(J123="中",0.67,IF(J123="低",1,"")))</f>
        <v/>
      </c>
      <c r="L123" s="18" t="inlineStr">
        <is>
          <t>新增</t>
        </is>
      </c>
      <c r="M123" s="18">
        <f>IF(L123="新增",1,IF(L123="修改",0.8,IF(L123="删除",0.2,"")))</f>
        <v/>
      </c>
      <c r="N123" s="18">
        <f>I123*K123*M123</f>
        <v/>
      </c>
    </row>
    <row r="124" ht="19" customHeight="1" s="1">
      <c r="B124" s="16" t="n">
        <v>119</v>
      </c>
      <c r="C124" s="16" t="inlineStr">
        <is>
          <t>采集策略多样化定制</t>
        </is>
      </c>
      <c r="D124" s="16" t="inlineStr">
        <is>
          <t>设备物模型配置</t>
        </is>
      </c>
      <c r="E124" s="16" t="inlineStr">
        <is>
          <t>G2组电参</t>
        </is>
      </c>
      <c r="F124" s="16" t="inlineStr">
        <is>
          <t>G2无功功率</t>
        </is>
      </c>
      <c r="G124" s="17" t="inlineStr">
        <is>
          <t xml:space="preserve"> 提供G2组无功功率参数属性定义技术服务</t>
        </is>
      </c>
      <c r="H124" s="18" t="inlineStr">
        <is>
          <t>ILF</t>
        </is>
      </c>
      <c r="I124" s="18">
        <f>IF(H124="ILF",10,IF(H124="EIF",7,IF(H124="EI",4,IF(H124="EO",5,IF(H124="EQ",4,"")))))</f>
        <v/>
      </c>
      <c r="J124" s="18" t="inlineStr">
        <is>
          <t>低</t>
        </is>
      </c>
      <c r="K124" s="18">
        <f>IF(J124="高",0.33,IF(J124="中",0.67,IF(J124="低",1,"")))</f>
        <v/>
      </c>
      <c r="L124" s="18" t="inlineStr">
        <is>
          <t>新增</t>
        </is>
      </c>
      <c r="M124" s="18">
        <f>IF(L124="新增",1,IF(L124="修改",0.8,IF(L124="删除",0.2,"")))</f>
        <v/>
      </c>
      <c r="N124" s="18">
        <f>I124*K124*M124</f>
        <v/>
      </c>
    </row>
    <row r="125" ht="19" customHeight="1" s="1">
      <c r="B125" s="16" t="n">
        <v>120</v>
      </c>
      <c r="C125" s="16" t="inlineStr">
        <is>
          <t>采集策略多样化定制</t>
        </is>
      </c>
      <c r="D125" s="16" t="inlineStr">
        <is>
          <t>设备物模型配置</t>
        </is>
      </c>
      <c r="E125" s="16" t="inlineStr">
        <is>
          <t>G2组电参</t>
        </is>
      </c>
      <c r="F125" s="16" t="inlineStr">
        <is>
          <t>G2功率因数</t>
        </is>
      </c>
      <c r="G125" s="17" t="inlineStr">
        <is>
          <t xml:space="preserve"> 提供G2组功率因数参数属性定义技术服务</t>
        </is>
      </c>
      <c r="H125" s="18" t="inlineStr">
        <is>
          <t>ILF</t>
        </is>
      </c>
      <c r="I125" s="18">
        <f>IF(H125="ILF",10,IF(H125="EIF",7,IF(H125="EI",4,IF(H125="EO",5,IF(H125="EQ",4,"")))))</f>
        <v/>
      </c>
      <c r="J125" s="18" t="inlineStr">
        <is>
          <t>中</t>
        </is>
      </c>
      <c r="K125" s="18">
        <f>IF(J125="高",0.33,IF(J125="中",0.67,IF(J125="低",1,"")))</f>
        <v/>
      </c>
      <c r="L125" s="18" t="inlineStr">
        <is>
          <t>新增</t>
        </is>
      </c>
      <c r="M125" s="18">
        <f>IF(L125="新增",1,IF(L125="修改",0.8,IF(L125="删除",0.2,"")))</f>
        <v/>
      </c>
      <c r="N125" s="18">
        <f>I125*K125*M125</f>
        <v/>
      </c>
    </row>
    <row r="126" ht="19" customHeight="1" s="1">
      <c r="B126" s="16" t="n">
        <v>121</v>
      </c>
      <c r="C126" s="16" t="inlineStr">
        <is>
          <t>采集策略多样化定制</t>
        </is>
      </c>
      <c r="D126" s="16" t="inlineStr">
        <is>
          <t>设备物模型配置</t>
        </is>
      </c>
      <c r="E126" s="16" t="inlineStr">
        <is>
          <t>G2组电参</t>
        </is>
      </c>
      <c r="F126" s="16" t="inlineStr">
        <is>
          <t>G2日耗电量</t>
        </is>
      </c>
      <c r="G126" s="17" t="inlineStr">
        <is>
          <t xml:space="preserve"> 提供G2组日耗电量参数属性定义技术服务</t>
        </is>
      </c>
      <c r="H126" s="18" t="inlineStr">
        <is>
          <t>ILF</t>
        </is>
      </c>
      <c r="I126" s="18">
        <f>IF(H126="ILF",10,IF(H126="EIF",7,IF(H126="EI",4,IF(H126="EO",5,IF(H126="EQ",4,"")))))</f>
        <v/>
      </c>
      <c r="J126" s="18" t="inlineStr">
        <is>
          <t>中</t>
        </is>
      </c>
      <c r="K126" s="18">
        <f>IF(J126="高",0.33,IF(J126="中",0.67,IF(J126="低",1,"")))</f>
        <v/>
      </c>
      <c r="L126" s="18" t="inlineStr">
        <is>
          <t>新增</t>
        </is>
      </c>
      <c r="M126" s="18">
        <f>IF(L126="新增",1,IF(L126="修改",0.8,IF(L126="删除",0.2,"")))</f>
        <v/>
      </c>
      <c r="N126" s="18">
        <f>I126*K126*M126</f>
        <v/>
      </c>
    </row>
    <row r="127" ht="19" customHeight="1" s="1">
      <c r="B127" s="16" t="n">
        <v>122</v>
      </c>
      <c r="C127" s="16" t="inlineStr">
        <is>
          <t>采集策略多样化定制</t>
        </is>
      </c>
      <c r="D127" s="16" t="inlineStr">
        <is>
          <t>设备物模型配置</t>
        </is>
      </c>
      <c r="E127" s="16" t="inlineStr">
        <is>
          <t>G2组电参</t>
        </is>
      </c>
      <c r="F127" s="16" t="inlineStr">
        <is>
          <t>G2寄存器映射</t>
        </is>
      </c>
      <c r="G127" s="17" t="inlineStr">
        <is>
          <t xml:space="preserve"> 提供G2组Modbus寄存器40351-40379地址映射技术服务</t>
        </is>
      </c>
      <c r="H127" s="18" t="inlineStr">
        <is>
          <t>ILF</t>
        </is>
      </c>
      <c r="I127" s="18">
        <f>IF(H127="ILF",10,IF(H127="EIF",7,IF(H127="EI",4,IF(H127="EO",5,IF(H127="EQ",4,"")))))</f>
        <v/>
      </c>
      <c r="J127" s="18" t="inlineStr">
        <is>
          <t>中</t>
        </is>
      </c>
      <c r="K127" s="18">
        <f>IF(J127="高",0.33,IF(J127="中",0.67,IF(J127="低",1,"")))</f>
        <v/>
      </c>
      <c r="L127" s="18" t="inlineStr">
        <is>
          <t>新增</t>
        </is>
      </c>
      <c r="M127" s="18">
        <f>IF(L127="新增",1,IF(L127="修改",0.8,IF(L127="删除",0.2,"")))</f>
        <v/>
      </c>
      <c r="N127" s="18">
        <f>I127*K127*M127</f>
        <v/>
      </c>
    </row>
    <row r="128" ht="19" customHeight="1" s="1">
      <c r="B128" s="16" t="n">
        <v>123</v>
      </c>
      <c r="C128" s="16" t="inlineStr">
        <is>
          <t>采集策略多样化定制</t>
        </is>
      </c>
      <c r="D128" s="16" t="inlineStr">
        <is>
          <t>设备物模型配置</t>
        </is>
      </c>
      <c r="E128" s="16" t="inlineStr">
        <is>
          <t>G3~G8组</t>
        </is>
      </c>
      <c r="F128" s="16" t="inlineStr">
        <is>
          <t>G3变频模型</t>
        </is>
      </c>
      <c r="G128" s="17" t="inlineStr">
        <is>
          <t xml:space="preserve"> 提供G3变频分组5个参数物模型配置技术服务</t>
        </is>
      </c>
      <c r="H128" s="18" t="inlineStr">
        <is>
          <t>ILF</t>
        </is>
      </c>
      <c r="I128" s="18">
        <f>IF(H128="ILF",10,IF(H128="EIF",7,IF(H128="EI",4,IF(H128="EO",5,IF(H128="EQ",4,"")))))</f>
        <v/>
      </c>
      <c r="J128" s="18" t="inlineStr">
        <is>
          <t>中</t>
        </is>
      </c>
      <c r="K128" s="18">
        <f>IF(J128="高",0.33,IF(J128="中",0.67,IF(J128="低",1,"")))</f>
        <v/>
      </c>
      <c r="L128" s="18" t="inlineStr">
        <is>
          <t>新增</t>
        </is>
      </c>
      <c r="M128" s="18">
        <f>IF(L128="新增",1,IF(L128="修改",0.8,IF(L128="删除",0.2,"")))</f>
        <v/>
      </c>
      <c r="N128" s="18">
        <f>I128*K128*M128</f>
        <v/>
      </c>
    </row>
    <row r="129" ht="19" customHeight="1" s="1">
      <c r="B129" s="16" t="n">
        <v>124</v>
      </c>
      <c r="C129" s="16" t="inlineStr">
        <is>
          <t>采集策略多样化定制</t>
        </is>
      </c>
      <c r="D129" s="16" t="inlineStr">
        <is>
          <t>设备物模型配置</t>
        </is>
      </c>
      <c r="E129" s="16" t="inlineStr">
        <is>
          <t>G3~G8组</t>
        </is>
      </c>
      <c r="F129" s="16" t="inlineStr">
        <is>
          <t>G3寄存器</t>
        </is>
      </c>
      <c r="G129" s="17" t="inlineStr">
        <is>
          <t xml:space="preserve"> 提供G3组寄存器40400-40406地址映射技术服务</t>
        </is>
      </c>
      <c r="H129" s="18" t="inlineStr">
        <is>
          <t>ILF</t>
        </is>
      </c>
      <c r="I129" s="18">
        <f>IF(H129="ILF",10,IF(H129="EIF",7,IF(H129="EI",4,IF(H129="EO",5,IF(H129="EQ",4,"")))))</f>
        <v/>
      </c>
      <c r="J129" s="18" t="inlineStr">
        <is>
          <t>高</t>
        </is>
      </c>
      <c r="K129" s="18">
        <f>IF(J129="高",0.33,IF(J129="中",0.67,IF(J129="低",1,"")))</f>
        <v/>
      </c>
      <c r="L129" s="18" t="inlineStr">
        <is>
          <t>新增</t>
        </is>
      </c>
      <c r="M129" s="18">
        <f>IF(L129="新增",1,IF(L129="修改",0.8,IF(L129="删除",0.2,"")))</f>
        <v/>
      </c>
      <c r="N129" s="18">
        <f>I129*K129*M129</f>
        <v/>
      </c>
    </row>
    <row r="130" ht="19" customHeight="1" s="1">
      <c r="B130" s="16" t="n">
        <v>125</v>
      </c>
      <c r="C130" s="16" t="inlineStr">
        <is>
          <t>采集策略多样化定制</t>
        </is>
      </c>
      <c r="D130" s="16" t="inlineStr">
        <is>
          <t>设备物模型配置</t>
        </is>
      </c>
      <c r="E130" s="16" t="inlineStr">
        <is>
          <t>G3~G8组</t>
        </is>
      </c>
      <c r="F130" s="16" t="inlineStr">
        <is>
          <t>G4抽油机</t>
        </is>
      </c>
      <c r="G130" s="17" t="inlineStr">
        <is>
          <t xml:space="preserve"> 提供G4分组冲次/冲程参数物模型配置技术服务</t>
        </is>
      </c>
      <c r="H130" s="18" t="inlineStr">
        <is>
          <t>EI</t>
        </is>
      </c>
      <c r="I130" s="18">
        <f>IF(H130="ILF",10,IF(H130="EIF",7,IF(H130="EI",4,IF(H130="EO",5,IF(H130="EQ",4,"")))))</f>
        <v/>
      </c>
      <c r="J130" s="18" t="inlineStr">
        <is>
          <t>低</t>
        </is>
      </c>
      <c r="K130" s="18">
        <f>IF(J130="高",0.33,IF(J130="中",0.67,IF(J130="低",1,"")))</f>
        <v/>
      </c>
      <c r="L130" s="18" t="inlineStr">
        <is>
          <t>新增</t>
        </is>
      </c>
      <c r="M130" s="18">
        <f>IF(L130="新增",1,IF(L130="修改",0.8,IF(L130="删除",0.2,"")))</f>
        <v/>
      </c>
      <c r="N130" s="18">
        <f>I130*K130*M130</f>
        <v/>
      </c>
    </row>
    <row r="131" ht="19" customHeight="1" s="1">
      <c r="B131" s="16" t="n">
        <v>126</v>
      </c>
      <c r="C131" s="16" t="inlineStr">
        <is>
          <t>采集策略多样化定制</t>
        </is>
      </c>
      <c r="D131" s="16" t="inlineStr">
        <is>
          <t>设备物模型配置</t>
        </is>
      </c>
      <c r="E131" s="16" t="inlineStr">
        <is>
          <t>G3~G8组</t>
        </is>
      </c>
      <c r="F131" s="16" t="inlineStr">
        <is>
          <t>G5螺杆泵</t>
        </is>
      </c>
      <c r="G131" s="17" t="inlineStr">
        <is>
          <t xml:space="preserve"> 提供G5分组转速/扭矩参数物模型配置技术服务</t>
        </is>
      </c>
      <c r="H131" s="18" t="inlineStr">
        <is>
          <t>EI</t>
        </is>
      </c>
      <c r="I131" s="18">
        <f>IF(H131="ILF",10,IF(H131="EIF",7,IF(H131="EI",4,IF(H131="EO",5,IF(H131="EQ",4,"")))))</f>
        <v/>
      </c>
      <c r="J131" s="18" t="inlineStr">
        <is>
          <t>低</t>
        </is>
      </c>
      <c r="K131" s="18">
        <f>IF(J131="高",0.33,IF(J131="中",0.67,IF(J131="低",1,"")))</f>
        <v/>
      </c>
      <c r="L131" s="18" t="inlineStr">
        <is>
          <t>新增</t>
        </is>
      </c>
      <c r="M131" s="18">
        <f>IF(L131="新增",1,IF(L131="修改",0.8,IF(L131="删除",0.2,"")))</f>
        <v/>
      </c>
      <c r="N131" s="18">
        <f>I131*K131*M131</f>
        <v/>
      </c>
    </row>
    <row r="132" ht="19" customHeight="1" s="1">
      <c r="B132" s="16" t="n">
        <v>127</v>
      </c>
      <c r="C132" s="16" t="inlineStr">
        <is>
          <t>采集策略多样化定制</t>
        </is>
      </c>
      <c r="D132" s="16" t="inlineStr">
        <is>
          <t>设备物模型配置</t>
        </is>
      </c>
      <c r="E132" s="16" t="inlineStr">
        <is>
          <t>G3~G8组</t>
        </is>
      </c>
      <c r="F132" s="16" t="inlineStr">
        <is>
          <t>G6报警诊断</t>
        </is>
      </c>
      <c r="G132" s="17" t="inlineStr">
        <is>
          <t xml:space="preserve"> 提供G6分组6个报警诊断参数物模型配置技术服务</t>
        </is>
      </c>
      <c r="H132" s="18" t="inlineStr">
        <is>
          <t>EI</t>
        </is>
      </c>
      <c r="I132" s="18">
        <f>IF(H132="ILF",10,IF(H132="EIF",7,IF(H132="EI",4,IF(H132="EO",5,IF(H132="EQ",4,"")))))</f>
        <v/>
      </c>
      <c r="J132" s="18" t="inlineStr">
        <is>
          <t>低</t>
        </is>
      </c>
      <c r="K132" s="18">
        <f>IF(J132="高",0.33,IF(J132="中",0.67,IF(J132="低",1,"")))</f>
        <v/>
      </c>
      <c r="L132" s="18" t="inlineStr">
        <is>
          <t>新增</t>
        </is>
      </c>
      <c r="M132" s="18">
        <f>IF(L132="新增",1,IF(L132="修改",0.8,IF(L132="删除",0.2,"")))</f>
        <v/>
      </c>
      <c r="N132" s="18">
        <f>I132*K132*M132</f>
        <v/>
      </c>
    </row>
    <row r="133" ht="19" customHeight="1" s="1">
      <c r="B133" s="16" t="n">
        <v>128</v>
      </c>
      <c r="C133" s="16" t="inlineStr">
        <is>
          <t>采集策略多样化定制</t>
        </is>
      </c>
      <c r="D133" s="16" t="inlineStr">
        <is>
          <t>设备物模型配置</t>
        </is>
      </c>
      <c r="E133" s="16" t="inlineStr">
        <is>
          <t>G3~G8组</t>
        </is>
      </c>
      <c r="F133" s="16" t="inlineStr">
        <is>
          <t>G7仪表扩展</t>
        </is>
      </c>
      <c r="G133" s="17" t="inlineStr">
        <is>
          <t xml:space="preserve"> 提供G7分组33个扩展仪表参数物模型配置技术服务</t>
        </is>
      </c>
      <c r="H133" s="18" t="inlineStr">
        <is>
          <t>EI</t>
        </is>
      </c>
      <c r="I133" s="18">
        <f>IF(H133="ILF",10,IF(H133="EIF",7,IF(H133="EI",4,IF(H133="EO",5,IF(H133="EQ",4,"")))))</f>
        <v/>
      </c>
      <c r="J133" s="18" t="inlineStr">
        <is>
          <t>低</t>
        </is>
      </c>
      <c r="K133" s="18">
        <f>IF(J133="高",0.33,IF(J133="中",0.67,IF(J133="低",1,"")))</f>
        <v/>
      </c>
      <c r="L133" s="18" t="inlineStr">
        <is>
          <t>新增</t>
        </is>
      </c>
      <c r="M133" s="18">
        <f>IF(L133="新增",1,IF(L133="修改",0.8,IF(L133="删除",0.2,"")))</f>
        <v/>
      </c>
      <c r="N133" s="18">
        <f>I133*K133*M133</f>
        <v/>
      </c>
    </row>
    <row r="134" ht="19" customHeight="1" s="1">
      <c r="B134" s="16" t="n">
        <v>129</v>
      </c>
      <c r="C134" s="16" t="inlineStr">
        <is>
          <t>采集策略多样化定制</t>
        </is>
      </c>
      <c r="D134" s="16" t="inlineStr">
        <is>
          <t>设备物模型配置</t>
        </is>
      </c>
      <c r="E134" s="16" t="inlineStr">
        <is>
          <t>G3~G8组</t>
        </is>
      </c>
      <c r="F134" s="16" t="inlineStr">
        <is>
          <t>G8变频扩展</t>
        </is>
      </c>
      <c r="G134" s="17" t="inlineStr">
        <is>
          <t xml:space="preserve"> 提供G8分组23个变频扩展参数物模型配置技术服务</t>
        </is>
      </c>
      <c r="H134" s="18" t="inlineStr">
        <is>
          <t>EI</t>
        </is>
      </c>
      <c r="I134" s="18">
        <f>IF(H134="ILF",10,IF(H134="EIF",7,IF(H134="EI",4,IF(H134="EO",5,IF(H134="EQ",4,"")))))</f>
        <v/>
      </c>
      <c r="J134" s="18" t="inlineStr">
        <is>
          <t>低</t>
        </is>
      </c>
      <c r="K134" s="18">
        <f>IF(J134="高",0.33,IF(J134="中",0.67,IF(J134="低",1,"")))</f>
        <v/>
      </c>
      <c r="L134" s="18" t="inlineStr">
        <is>
          <t>新增</t>
        </is>
      </c>
      <c r="M134" s="18">
        <f>IF(L134="新增",1,IF(L134="修改",0.8,IF(L134="删除",0.2,"")))</f>
        <v/>
      </c>
      <c r="N134" s="18">
        <f>I134*K134*M134</f>
        <v/>
      </c>
    </row>
    <row r="135" ht="19" customHeight="1" s="1">
      <c r="B135" s="16" t="n">
        <v>130</v>
      </c>
      <c r="C135" s="16" t="inlineStr">
        <is>
          <t>采集策略多样化定制</t>
        </is>
      </c>
      <c r="D135" s="16" t="inlineStr">
        <is>
          <t>设备物模型配置</t>
        </is>
      </c>
      <c r="E135" s="16" t="inlineStr">
        <is>
          <t>数据类型与字节序</t>
        </is>
      </c>
      <c r="F135" s="16" t="inlineStr">
        <is>
          <t>INT类型定义</t>
        </is>
      </c>
      <c r="G135" s="17" t="inlineStr">
        <is>
          <t xml:space="preserve"> 提供INT整数数据类型定义和校验技术服务</t>
        </is>
      </c>
      <c r="H135" s="18" t="inlineStr">
        <is>
          <t>EI</t>
        </is>
      </c>
      <c r="I135" s="18">
        <f>IF(H135="ILF",10,IF(H135="EIF",7,IF(H135="EI",4,IF(H135="EO",5,IF(H135="EQ",4,"")))))</f>
        <v/>
      </c>
      <c r="J135" s="18" t="inlineStr">
        <is>
          <t>低</t>
        </is>
      </c>
      <c r="K135" s="18">
        <f>IF(J135="高",0.33,IF(J135="中",0.67,IF(J135="低",1,"")))</f>
        <v/>
      </c>
      <c r="L135" s="18" t="inlineStr">
        <is>
          <t>新增</t>
        </is>
      </c>
      <c r="M135" s="18">
        <f>IF(L135="新增",1,IF(L135="修改",0.8,IF(L135="删除",0.2,"")))</f>
        <v/>
      </c>
      <c r="N135" s="18">
        <f>I135*K135*M135</f>
        <v/>
      </c>
    </row>
    <row r="136" ht="19" customHeight="1" s="1">
      <c r="B136" s="16" t="n">
        <v>131</v>
      </c>
      <c r="C136" s="16" t="inlineStr">
        <is>
          <t>采集策略多样化定制</t>
        </is>
      </c>
      <c r="D136" s="16" t="inlineStr">
        <is>
          <t>设备物模型配置</t>
        </is>
      </c>
      <c r="E136" s="16" t="inlineStr">
        <is>
          <t>数据类型与字节序</t>
        </is>
      </c>
      <c r="F136" s="16" t="inlineStr">
        <is>
          <t>FLOAT类型</t>
        </is>
      </c>
      <c r="G136" s="17" t="inlineStr">
        <is>
          <t xml:space="preserve"> 提供FLOAT浮点数数据类型定义和校验技术服务</t>
        </is>
      </c>
      <c r="H136" s="18" t="inlineStr">
        <is>
          <t>EI</t>
        </is>
      </c>
      <c r="I136" s="18">
        <f>IF(H136="ILF",10,IF(H136="EIF",7,IF(H136="EI",4,IF(H136="EO",5,IF(H136="EQ",4,"")))))</f>
        <v/>
      </c>
      <c r="J136" s="18" t="inlineStr">
        <is>
          <t>低</t>
        </is>
      </c>
      <c r="K136" s="18">
        <f>IF(J136="高",0.33,IF(J136="中",0.67,IF(J136="低",1,"")))</f>
        <v/>
      </c>
      <c r="L136" s="18" t="inlineStr">
        <is>
          <t>新增</t>
        </is>
      </c>
      <c r="M136" s="18">
        <f>IF(L136="新增",1,IF(L136="修改",0.8,IF(L136="删除",0.2,"")))</f>
        <v/>
      </c>
      <c r="N136" s="18">
        <f>I136*K136*M136</f>
        <v/>
      </c>
    </row>
    <row r="137" ht="19" customHeight="1" s="1">
      <c r="B137" s="16" t="n">
        <v>132</v>
      </c>
      <c r="C137" s="16" t="inlineStr">
        <is>
          <t>采集策略多样化定制</t>
        </is>
      </c>
      <c r="D137" s="16" t="inlineStr">
        <is>
          <t>设备物模型配置</t>
        </is>
      </c>
      <c r="E137" s="16" t="inlineStr">
        <is>
          <t>数据类型与字节序</t>
        </is>
      </c>
      <c r="F137" s="16" t="inlineStr">
        <is>
          <t>DOUBLE类型</t>
        </is>
      </c>
      <c r="G137" s="17" t="inlineStr">
        <is>
          <t xml:space="preserve"> 提供DOUBLE双精度数据类型定义和校验技术服务</t>
        </is>
      </c>
      <c r="H137" s="18" t="inlineStr">
        <is>
          <t>EI</t>
        </is>
      </c>
      <c r="I137" s="18">
        <f>IF(H137="ILF",10,IF(H137="EIF",7,IF(H137="EI",4,IF(H137="EO",5,IF(H137="EQ",4,"")))))</f>
        <v/>
      </c>
      <c r="J137" s="18" t="inlineStr">
        <is>
          <t>低</t>
        </is>
      </c>
      <c r="K137" s="18">
        <f>IF(J137="高",0.33,IF(J137="中",0.67,IF(J137="低",1,"")))</f>
        <v/>
      </c>
      <c r="L137" s="18" t="inlineStr">
        <is>
          <t>新增</t>
        </is>
      </c>
      <c r="M137" s="18">
        <f>IF(L137="新增",1,IF(L137="修改",0.8,IF(L137="删除",0.2,"")))</f>
        <v/>
      </c>
      <c r="N137" s="18">
        <f>I137*K137*M137</f>
        <v/>
      </c>
    </row>
    <row r="138" ht="19" customHeight="1" s="1">
      <c r="B138" s="16" t="n">
        <v>133</v>
      </c>
      <c r="C138" s="16" t="inlineStr">
        <is>
          <t>采集策略多样化定制</t>
        </is>
      </c>
      <c r="D138" s="16" t="inlineStr">
        <is>
          <t>设备物模型配置</t>
        </is>
      </c>
      <c r="E138" s="16" t="inlineStr">
        <is>
          <t>数据类型与字节序</t>
        </is>
      </c>
      <c r="F138" s="16" t="inlineStr">
        <is>
          <t>STRING类型</t>
        </is>
      </c>
      <c r="G138" s="17" t="inlineStr">
        <is>
          <t xml:space="preserve"> 提供STRING字符串数据类型定义和校验技术服务</t>
        </is>
      </c>
      <c r="H138" s="18" t="inlineStr">
        <is>
          <t>EI</t>
        </is>
      </c>
      <c r="I138" s="18">
        <f>IF(H138="ILF",10,IF(H138="EIF",7,IF(H138="EI",4,IF(H138="EO",5,IF(H138="EQ",4,"")))))</f>
        <v/>
      </c>
      <c r="J138" s="18" t="inlineStr">
        <is>
          <t>低</t>
        </is>
      </c>
      <c r="K138" s="18">
        <f>IF(J138="高",0.33,IF(J138="中",0.67,IF(J138="低",1,"")))</f>
        <v/>
      </c>
      <c r="L138" s="18" t="inlineStr">
        <is>
          <t>新增</t>
        </is>
      </c>
      <c r="M138" s="18">
        <f>IF(L138="新增",1,IF(L138="修改",0.8,IF(L138="删除",0.2,"")))</f>
        <v/>
      </c>
      <c r="N138" s="18">
        <f>I138*K138*M138</f>
        <v/>
      </c>
    </row>
    <row r="139" ht="19" customHeight="1" s="1">
      <c r="B139" s="16" t="n">
        <v>134</v>
      </c>
      <c r="C139" s="16" t="inlineStr">
        <is>
          <t>采集策略多样化定制</t>
        </is>
      </c>
      <c r="D139" s="16" t="inlineStr">
        <is>
          <t>设备物模型配置</t>
        </is>
      </c>
      <c r="E139" s="16" t="inlineStr">
        <is>
          <t>数据类型与字节序</t>
        </is>
      </c>
      <c r="F139" s="16" t="inlineStr">
        <is>
          <t>BOOL类型</t>
        </is>
      </c>
      <c r="G139" s="17" t="inlineStr">
        <is>
          <t xml:space="preserve"> 提供BOOL布尔数据类型定义和校验技术服务</t>
        </is>
      </c>
      <c r="H139" s="18" t="inlineStr">
        <is>
          <t>EI</t>
        </is>
      </c>
      <c r="I139" s="18">
        <f>IF(H139="ILF",10,IF(H139="EIF",7,IF(H139="EI",4,IF(H139="EO",5,IF(H139="EQ",4,"")))))</f>
        <v/>
      </c>
      <c r="J139" s="18" t="inlineStr">
        <is>
          <t>低</t>
        </is>
      </c>
      <c r="K139" s="18">
        <f>IF(J139="高",0.33,IF(J139="中",0.67,IF(J139="低",1,"")))</f>
        <v/>
      </c>
      <c r="L139" s="18" t="inlineStr">
        <is>
          <t>新增</t>
        </is>
      </c>
      <c r="M139" s="18">
        <f>IF(L139="新增",1,IF(L139="修改",0.8,IF(L139="删除",0.2,"")))</f>
        <v/>
      </c>
      <c r="N139" s="18">
        <f>I139*K139*M139</f>
        <v/>
      </c>
    </row>
    <row r="140" ht="19" customHeight="1" s="1">
      <c r="B140" s="16" t="n">
        <v>135</v>
      </c>
      <c r="C140" s="16" t="inlineStr">
        <is>
          <t>采集策略多样化定制</t>
        </is>
      </c>
      <c r="D140" s="16" t="inlineStr">
        <is>
          <t>设备物模型配置</t>
        </is>
      </c>
      <c r="E140" s="16" t="inlineStr">
        <is>
          <t>数据类型与字节序</t>
        </is>
      </c>
      <c r="F140" s="16" t="inlineStr">
        <is>
          <t>STRUCT类型</t>
        </is>
      </c>
      <c r="G140" s="17" t="inlineStr">
        <is>
          <t xml:space="preserve"> 提供STRUCT组合数据类型定义和校验技术服务</t>
        </is>
      </c>
      <c r="H140" s="18" t="inlineStr">
        <is>
          <t>EI</t>
        </is>
      </c>
      <c r="I140" s="18">
        <f>IF(H140="ILF",10,IF(H140="EIF",7,IF(H140="EI",4,IF(H140="EO",5,IF(H140="EQ",4,"")))))</f>
        <v/>
      </c>
      <c r="J140" s="18" t="inlineStr">
        <is>
          <t>低</t>
        </is>
      </c>
      <c r="K140" s="18">
        <f>IF(J140="高",0.33,IF(J140="中",0.67,IF(J140="低",1,"")))</f>
        <v/>
      </c>
      <c r="L140" s="18" t="inlineStr">
        <is>
          <t>新增</t>
        </is>
      </c>
      <c r="M140" s="18">
        <f>IF(L140="新增",1,IF(L140="修改",0.8,IF(L140="删除",0.2,"")))</f>
        <v/>
      </c>
      <c r="N140" s="18">
        <f>I140*K140*M140</f>
        <v/>
      </c>
    </row>
    <row r="141" ht="19" customHeight="1" s="1">
      <c r="B141" s="16" t="n">
        <v>136</v>
      </c>
      <c r="C141" s="16" t="inlineStr">
        <is>
          <t>采集策略多样化定制</t>
        </is>
      </c>
      <c r="D141" s="16" t="inlineStr">
        <is>
          <t>设备物模型配置</t>
        </is>
      </c>
      <c r="E141" s="16" t="inlineStr">
        <is>
          <t>数据类型与字节序</t>
        </is>
      </c>
      <c r="F141" s="16" t="inlineStr">
        <is>
          <t>大端字节序</t>
        </is>
      </c>
      <c r="G141" s="17" t="inlineStr">
        <is>
          <t xml:space="preserve"> 提供BigEndian大端字节序配置技术服务</t>
        </is>
      </c>
      <c r="H141" s="18" t="inlineStr">
        <is>
          <t>EI</t>
        </is>
      </c>
      <c r="I141" s="18">
        <f>IF(H141="ILF",10,IF(H141="EIF",7,IF(H141="EI",4,IF(H141="EO",5,IF(H141="EQ",4,"")))))</f>
        <v/>
      </c>
      <c r="J141" s="18" t="inlineStr">
        <is>
          <t>低</t>
        </is>
      </c>
      <c r="K141" s="18">
        <f>IF(J141="高",0.33,IF(J141="中",0.67,IF(J141="低",1,"")))</f>
        <v/>
      </c>
      <c r="L141" s="18" t="inlineStr">
        <is>
          <t>新增</t>
        </is>
      </c>
      <c r="M141" s="18">
        <f>IF(L141="新增",1,IF(L141="修改",0.8,IF(L141="删除",0.2,"")))</f>
        <v/>
      </c>
      <c r="N141" s="18">
        <f>I141*K141*M141</f>
        <v/>
      </c>
    </row>
    <row r="142" ht="19" customHeight="1" s="1">
      <c r="B142" s="16" t="n">
        <v>137</v>
      </c>
      <c r="C142" s="16" t="inlineStr">
        <is>
          <t>采集策略多样化定制</t>
        </is>
      </c>
      <c r="D142" s="16" t="inlineStr">
        <is>
          <t>设备物模型配置</t>
        </is>
      </c>
      <c r="E142" s="16" t="inlineStr">
        <is>
          <t>数据类型与字节序</t>
        </is>
      </c>
      <c r="F142" s="16" t="inlineStr">
        <is>
          <t>小端字节序</t>
        </is>
      </c>
      <c r="G142" s="17" t="inlineStr">
        <is>
          <t xml:space="preserve"> 提供LittleEndian小端字节序配置技术服务</t>
        </is>
      </c>
      <c r="H142" s="18" t="inlineStr">
        <is>
          <t>EI</t>
        </is>
      </c>
      <c r="I142" s="18">
        <f>IF(H142="ILF",10,IF(H142="EIF",7,IF(H142="EI",4,IF(H142="EO",5,IF(H142="EQ",4,"")))))</f>
        <v/>
      </c>
      <c r="J142" s="18" t="inlineStr">
        <is>
          <t>低</t>
        </is>
      </c>
      <c r="K142" s="18">
        <f>IF(J142="高",0.33,IF(J142="中",0.67,IF(J142="低",1,"")))</f>
        <v/>
      </c>
      <c r="L142" s="18" t="inlineStr">
        <is>
          <t>新增</t>
        </is>
      </c>
      <c r="M142" s="18">
        <f>IF(L142="新增",1,IF(L142="修改",0.8,IF(L142="删除",0.2,"")))</f>
        <v/>
      </c>
      <c r="N142" s="18">
        <f>I142*K142*M142</f>
        <v/>
      </c>
    </row>
    <row r="143" ht="19" customHeight="1" s="1">
      <c r="B143" s="16" t="n">
        <v>138</v>
      </c>
      <c r="C143" s="16" t="inlineStr">
        <is>
          <t>采集策略多样化定制</t>
        </is>
      </c>
      <c r="D143" s="16" t="inlineStr">
        <is>
          <t>设备物模型配置</t>
        </is>
      </c>
      <c r="E143" s="16" t="inlineStr">
        <is>
          <t>缩放系数</t>
        </is>
      </c>
      <c r="F143" s="16" t="inlineStr">
        <is>
          <t>油压缩放</t>
        </is>
      </c>
      <c r="G143" s="17" t="inlineStr">
        <is>
          <t xml:space="preserve"> 提供油压参数工程值转换缩放系数配置技术服务</t>
        </is>
      </c>
      <c r="H143" s="18" t="inlineStr">
        <is>
          <t>EI</t>
        </is>
      </c>
      <c r="I143" s="18">
        <f>IF(H143="ILF",10,IF(H143="EIF",7,IF(H143="EI",4,IF(H143="EO",5,IF(H143="EQ",4,"")))))</f>
        <v/>
      </c>
      <c r="J143" s="18" t="inlineStr">
        <is>
          <t>低</t>
        </is>
      </c>
      <c r="K143" s="18">
        <f>IF(J143="高",0.33,IF(J143="中",0.67,IF(J143="低",1,"")))</f>
        <v/>
      </c>
      <c r="L143" s="18" t="inlineStr">
        <is>
          <t>新增</t>
        </is>
      </c>
      <c r="M143" s="18">
        <f>IF(L143="新增",1,IF(L143="修改",0.8,IF(L143="删除",0.2,"")))</f>
        <v/>
      </c>
      <c r="N143" s="18">
        <f>I143*K143*M143</f>
        <v/>
      </c>
    </row>
    <row r="144" ht="19" customHeight="1" s="1">
      <c r="B144" s="16" t="n">
        <v>139</v>
      </c>
      <c r="C144" s="16" t="inlineStr">
        <is>
          <t>采集策略多样化定制</t>
        </is>
      </c>
      <c r="D144" s="16" t="inlineStr">
        <is>
          <t>设备物模型配置</t>
        </is>
      </c>
      <c r="E144" s="16" t="inlineStr">
        <is>
          <t>缩放系数</t>
        </is>
      </c>
      <c r="F144" s="16" t="inlineStr">
        <is>
          <t>温度缩放</t>
        </is>
      </c>
      <c r="G144" s="17" t="inlineStr">
        <is>
          <t xml:space="preserve"> 提供温度参数工程值转换缩放系数配置技术服务</t>
        </is>
      </c>
      <c r="H144" s="18" t="inlineStr">
        <is>
          <t>EI</t>
        </is>
      </c>
      <c r="I144" s="18">
        <f>IF(H144="ILF",10,IF(H144="EIF",7,IF(H144="EI",4,IF(H144="EO",5,IF(H144="EQ",4,"")))))</f>
        <v/>
      </c>
      <c r="J144" s="18" t="inlineStr">
        <is>
          <t>低</t>
        </is>
      </c>
      <c r="K144" s="18">
        <f>IF(J144="高",0.33,IF(J144="中",0.67,IF(J144="低",1,"")))</f>
        <v/>
      </c>
      <c r="L144" s="18" t="inlineStr">
        <is>
          <t>新增</t>
        </is>
      </c>
      <c r="M144" s="18">
        <f>IF(L144="新增",1,IF(L144="修改",0.8,IF(L144="删除",0.2,"")))</f>
        <v/>
      </c>
      <c r="N144" s="18">
        <f>I144*K144*M144</f>
        <v/>
      </c>
    </row>
    <row r="145" ht="19" customHeight="1" s="1">
      <c r="B145" s="16" t="n">
        <v>140</v>
      </c>
      <c r="C145" s="16" t="inlineStr">
        <is>
          <t>采集策略多样化定制</t>
        </is>
      </c>
      <c r="D145" s="16" t="inlineStr">
        <is>
          <t>设备物模型配置</t>
        </is>
      </c>
      <c r="E145" s="16" t="inlineStr">
        <is>
          <t>缩放系数</t>
        </is>
      </c>
      <c r="F145" s="16" t="inlineStr">
        <is>
          <t>电流缩放</t>
        </is>
      </c>
      <c r="G145" s="17" t="inlineStr">
        <is>
          <t xml:space="preserve"> 提供电流参数工程值转换缩放系数配置技术服务</t>
        </is>
      </c>
      <c r="H145" s="18" t="inlineStr">
        <is>
          <t>EI</t>
        </is>
      </c>
      <c r="I145" s="18">
        <f>IF(H145="ILF",10,IF(H145="EIF",7,IF(H145="EI",4,IF(H145="EO",5,IF(H145="EQ",4,"")))))</f>
        <v/>
      </c>
      <c r="J145" s="18" t="inlineStr">
        <is>
          <t>低</t>
        </is>
      </c>
      <c r="K145" s="18">
        <f>IF(J145="高",0.33,IF(J145="中",0.67,IF(J145="低",1,"")))</f>
        <v/>
      </c>
      <c r="L145" s="18" t="inlineStr">
        <is>
          <t>新增</t>
        </is>
      </c>
      <c r="M145" s="18">
        <f>IF(L145="新增",1,IF(L145="修改",0.8,IF(L145="删除",0.2,"")))</f>
        <v/>
      </c>
      <c r="N145" s="18">
        <f>I145*K145*M145</f>
        <v/>
      </c>
    </row>
    <row r="146" ht="19" customHeight="1" s="1">
      <c r="B146" s="16" t="n">
        <v>141</v>
      </c>
      <c r="C146" s="16" t="inlineStr">
        <is>
          <t>采集策略多样化定制</t>
        </is>
      </c>
      <c r="D146" s="16" t="inlineStr">
        <is>
          <t>设备物模型配置</t>
        </is>
      </c>
      <c r="E146" s="16" t="inlineStr">
        <is>
          <t>缩放系数</t>
        </is>
      </c>
      <c r="F146" s="16" t="inlineStr">
        <is>
          <t>电压缩放</t>
        </is>
      </c>
      <c r="G146" s="17" t="inlineStr">
        <is>
          <t xml:space="preserve"> 提供电压参数工程值转换缩放系数配置技术服务</t>
        </is>
      </c>
      <c r="H146" s="18" t="inlineStr">
        <is>
          <t>EI</t>
        </is>
      </c>
      <c r="I146" s="18">
        <f>IF(H146="ILF",10,IF(H146="EIF",7,IF(H146="EI",4,IF(H146="EO",5,IF(H146="EQ",4,"")))))</f>
        <v/>
      </c>
      <c r="J146" s="18" t="inlineStr">
        <is>
          <t>低</t>
        </is>
      </c>
      <c r="K146" s="18">
        <f>IF(J146="高",0.33,IF(J146="中",0.67,IF(J146="低",1,"")))</f>
        <v/>
      </c>
      <c r="L146" s="18" t="inlineStr">
        <is>
          <t>新增</t>
        </is>
      </c>
      <c r="M146" s="18">
        <f>IF(L146="新增",1,IF(L146="修改",0.8,IF(L146="删除",0.2,"")))</f>
        <v/>
      </c>
      <c r="N146" s="18">
        <f>I146*K146*M146</f>
        <v/>
      </c>
    </row>
    <row r="147" ht="19" customHeight="1" s="1">
      <c r="B147" s="16" t="n">
        <v>142</v>
      </c>
      <c r="C147" s="16" t="inlineStr">
        <is>
          <t>采集策略多样化定制</t>
        </is>
      </c>
      <c r="D147" s="16" t="inlineStr">
        <is>
          <t>设备物模型配置</t>
        </is>
      </c>
      <c r="E147" s="16" t="inlineStr">
        <is>
          <t>缩放系数</t>
        </is>
      </c>
      <c r="F147" s="16" t="inlineStr">
        <is>
          <t>功率缩放</t>
        </is>
      </c>
      <c r="G147" s="17" t="inlineStr">
        <is>
          <t xml:space="preserve"> 提供功率参数工程值转换缩放系数配置技术服务</t>
        </is>
      </c>
      <c r="H147" s="18" t="inlineStr">
        <is>
          <t>EI</t>
        </is>
      </c>
      <c r="I147" s="18">
        <f>IF(H147="ILF",10,IF(H147="EIF",7,IF(H147="EI",4,IF(H147="EO",5,IF(H147="EQ",4,"")))))</f>
        <v/>
      </c>
      <c r="J147" s="18" t="inlineStr">
        <is>
          <t>低</t>
        </is>
      </c>
      <c r="K147" s="18">
        <f>IF(J147="高",0.33,IF(J147="中",0.67,IF(J147="低",1,"")))</f>
        <v/>
      </c>
      <c r="L147" s="18" t="inlineStr">
        <is>
          <t>新增</t>
        </is>
      </c>
      <c r="M147" s="18">
        <f>IF(L147="新增",1,IF(L147="修改",0.8,IF(L147="删除",0.2,"")))</f>
        <v/>
      </c>
      <c r="N147" s="18">
        <f>I147*K147*M147</f>
        <v/>
      </c>
    </row>
    <row r="148" ht="19" customHeight="1" s="1">
      <c r="B148" s="16" t="n">
        <v>143</v>
      </c>
      <c r="C148" s="16" t="inlineStr">
        <is>
          <t>采集策略多样化定制</t>
        </is>
      </c>
      <c r="D148" s="16" t="inlineStr">
        <is>
          <t>设备物模型配置</t>
        </is>
      </c>
      <c r="E148" s="16" t="inlineStr">
        <is>
          <t>缩放系数</t>
        </is>
      </c>
      <c r="F148" s="16" t="inlineStr">
        <is>
          <t>载荷缩放</t>
        </is>
      </c>
      <c r="G148" s="17" t="inlineStr">
        <is>
          <t xml:space="preserve"> 提供载荷参数工程值转换缩放系数配置技术服务</t>
        </is>
      </c>
      <c r="H148" s="18" t="inlineStr">
        <is>
          <t>EI</t>
        </is>
      </c>
      <c r="I148" s="18">
        <f>IF(H148="ILF",10,IF(H148="EIF",7,IF(H148="EI",4,IF(H148="EO",5,IF(H148="EQ",4,"")))))</f>
        <v/>
      </c>
      <c r="J148" s="18" t="inlineStr">
        <is>
          <t>低</t>
        </is>
      </c>
      <c r="K148" s="18">
        <f>IF(J148="高",0.33,IF(J148="中",0.67,IF(J148="低",1,"")))</f>
        <v/>
      </c>
      <c r="L148" s="18" t="inlineStr">
        <is>
          <t>新增</t>
        </is>
      </c>
      <c r="M148" s="18">
        <f>IF(L148="新增",1,IF(L148="修改",0.8,IF(L148="删除",0.2,"")))</f>
        <v/>
      </c>
      <c r="N148" s="18">
        <f>I148*K148*M148</f>
        <v/>
      </c>
    </row>
    <row r="149" ht="19" customHeight="1" s="1">
      <c r="B149" s="16" t="n">
        <v>144</v>
      </c>
      <c r="C149" s="16" t="inlineStr">
        <is>
          <t>采集策略多样化定制</t>
        </is>
      </c>
      <c r="D149" s="16" t="inlineStr">
        <is>
          <t>设备物模型配置</t>
        </is>
      </c>
      <c r="E149" s="16" t="inlineStr">
        <is>
          <t>缩放系数</t>
        </is>
      </c>
      <c r="F149" s="16" t="inlineStr">
        <is>
          <t>位移缩放</t>
        </is>
      </c>
      <c r="G149" s="17" t="inlineStr">
        <is>
          <t xml:space="preserve"> 提供位移参数工程值转换缩放系数配置技术服务</t>
        </is>
      </c>
      <c r="H149" s="18" t="inlineStr">
        <is>
          <t>EI</t>
        </is>
      </c>
      <c r="I149" s="18">
        <f>IF(H149="ILF",10,IF(H149="EIF",7,IF(H149="EI",4,IF(H149="EO",5,IF(H149="EQ",4,"")))))</f>
        <v/>
      </c>
      <c r="J149" s="18" t="inlineStr">
        <is>
          <t>低</t>
        </is>
      </c>
      <c r="K149" s="18">
        <f>IF(J149="高",0.33,IF(J149="中",0.67,IF(J149="低",1,"")))</f>
        <v/>
      </c>
      <c r="L149" s="18" t="inlineStr">
        <is>
          <t>新增</t>
        </is>
      </c>
      <c r="M149" s="18">
        <f>IF(L149="新增",1,IF(L149="修改",0.8,IF(L149="删除",0.2,"")))</f>
        <v/>
      </c>
      <c r="N149" s="18">
        <f>I149*K149*M149</f>
        <v/>
      </c>
    </row>
    <row r="150" ht="19" customHeight="1" s="1">
      <c r="B150" s="16" t="n">
        <v>145</v>
      </c>
      <c r="C150" s="16" t="inlineStr">
        <is>
          <t>采集策略多样化定制</t>
        </is>
      </c>
      <c r="D150" s="16" t="inlineStr">
        <is>
          <t>设备物模型配置</t>
        </is>
      </c>
      <c r="E150" s="16" t="inlineStr">
        <is>
          <t>缩放系数</t>
        </is>
      </c>
      <c r="F150" s="16" t="inlineStr">
        <is>
          <t>偏移量配置</t>
        </is>
      </c>
      <c r="G150" s="17" t="inlineStr">
        <is>
          <t xml:space="preserve"> 提供工程值转换偏移量offset参数配置技术服务</t>
        </is>
      </c>
      <c r="H150" s="18" t="inlineStr">
        <is>
          <t>EI</t>
        </is>
      </c>
      <c r="I150" s="18">
        <f>IF(H150="ILF",10,IF(H150="EIF",7,IF(H150="EI",4,IF(H150="EO",5,IF(H150="EQ",4,"")))))</f>
        <v/>
      </c>
      <c r="J150" s="18" t="inlineStr">
        <is>
          <t>低</t>
        </is>
      </c>
      <c r="K150" s="18">
        <f>IF(J150="高",0.33,IF(J150="中",0.67,IF(J150="低",1,"")))</f>
        <v/>
      </c>
      <c r="L150" s="18" t="inlineStr">
        <is>
          <t>新增</t>
        </is>
      </c>
      <c r="M150" s="18">
        <f>IF(L150="新增",1,IF(L150="修改",0.8,IF(L150="删除",0.2,"")))</f>
        <v/>
      </c>
      <c r="N150" s="18">
        <f>I150*K150*M150</f>
        <v/>
      </c>
    </row>
    <row r="151" ht="19" customHeight="1" s="1">
      <c r="B151" s="16" t="n">
        <v>146</v>
      </c>
      <c r="C151" s="16" t="inlineStr">
        <is>
          <t>采集策略多样化定制</t>
        </is>
      </c>
      <c r="D151" s="16" t="inlineStr">
        <is>
          <t>设备物模型配置</t>
        </is>
      </c>
      <c r="E151" s="16" t="inlineStr">
        <is>
          <t>厂家映射</t>
        </is>
      </c>
      <c r="F151" s="16" t="inlineStr">
        <is>
          <t>中科映射</t>
        </is>
      </c>
      <c r="G151" s="17" t="inlineStr">
        <is>
          <t xml:space="preserve"> 提供中科RTU设备Modbus寄存器地址映射配置技术服务</t>
        </is>
      </c>
      <c r="H151" s="18" t="inlineStr">
        <is>
          <t>EI</t>
        </is>
      </c>
      <c r="I151" s="18">
        <f>IF(H151="ILF",10,IF(H151="EIF",7,IF(H151="EI",4,IF(H151="EO",5,IF(H151="EQ",4,"")))))</f>
        <v/>
      </c>
      <c r="J151" s="18" t="inlineStr">
        <is>
          <t>低</t>
        </is>
      </c>
      <c r="K151" s="18">
        <f>IF(J151="高",0.33,IF(J151="中",0.67,IF(J151="低",1,"")))</f>
        <v/>
      </c>
      <c r="L151" s="18" t="inlineStr">
        <is>
          <t>新增</t>
        </is>
      </c>
      <c r="M151" s="18">
        <f>IF(L151="新增",1,IF(L151="修改",0.8,IF(L151="删除",0.2,"")))</f>
        <v/>
      </c>
      <c r="N151" s="18">
        <f>I151*K151*M151</f>
        <v/>
      </c>
    </row>
    <row r="152" ht="19" customHeight="1" s="1">
      <c r="B152" s="16" t="n">
        <v>147</v>
      </c>
      <c r="C152" s="16" t="inlineStr">
        <is>
          <t>采集策略多样化定制</t>
        </is>
      </c>
      <c r="D152" s="16" t="inlineStr">
        <is>
          <t>设备物模型配置</t>
        </is>
      </c>
      <c r="E152" s="16" t="inlineStr">
        <is>
          <t>厂家映射</t>
        </is>
      </c>
      <c r="F152" s="16" t="inlineStr">
        <is>
          <t>庆怡映射</t>
        </is>
      </c>
      <c r="G152" s="17" t="inlineStr">
        <is>
          <t xml:space="preserve"> 提供庆怡RTU设备Modbus寄存器地址映射配置技术服务</t>
        </is>
      </c>
      <c r="H152" s="18" t="inlineStr">
        <is>
          <t>EI</t>
        </is>
      </c>
      <c r="I152" s="18">
        <f>IF(H152="ILF",10,IF(H152="EIF",7,IF(H152="EI",4,IF(H152="EO",5,IF(H152="EQ",4,"")))))</f>
        <v/>
      </c>
      <c r="J152" s="18" t="inlineStr">
        <is>
          <t>低</t>
        </is>
      </c>
      <c r="K152" s="18">
        <f>IF(J152="高",0.33,IF(J152="中",0.67,IF(J152="低",1,"")))</f>
        <v/>
      </c>
      <c r="L152" s="18" t="inlineStr">
        <is>
          <t>新增</t>
        </is>
      </c>
      <c r="M152" s="18">
        <f>IF(L152="新增",1,IF(L152="修改",0.8,IF(L152="删除",0.2,"")))</f>
        <v/>
      </c>
      <c r="N152" s="18">
        <f>I152*K152*M152</f>
        <v/>
      </c>
    </row>
    <row r="153" ht="19" customHeight="1" s="1">
      <c r="B153" s="16" t="n">
        <v>148</v>
      </c>
      <c r="C153" s="16" t="inlineStr">
        <is>
          <t>采集策略多样化定制</t>
        </is>
      </c>
      <c r="D153" s="16" t="inlineStr">
        <is>
          <t>设备物模型配置</t>
        </is>
      </c>
      <c r="E153" s="16" t="inlineStr">
        <is>
          <t>厂家映射</t>
        </is>
      </c>
      <c r="F153" s="16" t="inlineStr">
        <is>
          <t>西门子映射</t>
        </is>
      </c>
      <c r="G153" s="17" t="inlineStr">
        <is>
          <t xml:space="preserve"> 提供西门子PLC设备寄存器地址映射配置技术服务</t>
        </is>
      </c>
      <c r="H153" s="18" t="inlineStr">
        <is>
          <t>EI</t>
        </is>
      </c>
      <c r="I153" s="18">
        <f>IF(H153="ILF",10,IF(H153="EIF",7,IF(H153="EI",4,IF(H153="EO",5,IF(H153="EQ",4,"")))))</f>
        <v/>
      </c>
      <c r="J153" s="18" t="inlineStr">
        <is>
          <t>低</t>
        </is>
      </c>
      <c r="K153" s="18">
        <f>IF(J153="高",0.33,IF(J153="中",0.67,IF(J153="低",1,"")))</f>
        <v/>
      </c>
      <c r="L153" s="18" t="inlineStr">
        <is>
          <t>新增</t>
        </is>
      </c>
      <c r="M153" s="18">
        <f>IF(L153="新增",1,IF(L153="修改",0.8,IF(L153="删除",0.2,"")))</f>
        <v/>
      </c>
      <c r="N153" s="18">
        <f>I153*K153*M153</f>
        <v/>
      </c>
    </row>
    <row r="154" ht="19" customHeight="1" s="1">
      <c r="B154" s="16" t="n">
        <v>149</v>
      </c>
      <c r="C154" s="16" t="inlineStr">
        <is>
          <t>采集策略多样化定制</t>
        </is>
      </c>
      <c r="D154" s="16" t="inlineStr">
        <is>
          <t>设备物模型配置</t>
        </is>
      </c>
      <c r="E154" s="16" t="inlineStr">
        <is>
          <t>厂家映射</t>
        </is>
      </c>
      <c r="F154" s="16" t="inlineStr">
        <is>
          <t>ABB映射</t>
        </is>
      </c>
      <c r="G154" s="17" t="inlineStr">
        <is>
          <t xml:space="preserve"> 提供ABB设备寄存器地址映射配置技术服务</t>
        </is>
      </c>
      <c r="H154" s="18" t="inlineStr">
        <is>
          <t>EI</t>
        </is>
      </c>
      <c r="I154" s="18">
        <f>IF(H154="ILF",10,IF(H154="EIF",7,IF(H154="EI",4,IF(H154="EO",5,IF(H154="EQ",4,"")))))</f>
        <v/>
      </c>
      <c r="J154" s="18" t="inlineStr">
        <is>
          <t>低</t>
        </is>
      </c>
      <c r="K154" s="18">
        <f>IF(J154="高",0.33,IF(J154="中",0.67,IF(J154="低",1,"")))</f>
        <v/>
      </c>
      <c r="L154" s="18" t="inlineStr">
        <is>
          <t>新增</t>
        </is>
      </c>
      <c r="M154" s="18">
        <f>IF(L154="新增",1,IF(L154="修改",0.8,IF(L154="删除",0.2,"")))</f>
        <v/>
      </c>
      <c r="N154" s="18">
        <f>I154*K154*M154</f>
        <v/>
      </c>
    </row>
    <row r="155" ht="19" customHeight="1" s="1">
      <c r="B155" s="16" t="n">
        <v>150</v>
      </c>
      <c r="C155" s="16" t="inlineStr">
        <is>
          <t>采集策略多样化定制</t>
        </is>
      </c>
      <c r="D155" s="16" t="inlineStr">
        <is>
          <t>设备物模型配置</t>
        </is>
      </c>
      <c r="E155" s="16" t="inlineStr">
        <is>
          <t>厂家映射</t>
        </is>
      </c>
      <c r="F155" s="16" t="inlineStr">
        <is>
          <t>施耐德映射</t>
        </is>
      </c>
      <c r="G155" s="17" t="inlineStr">
        <is>
          <t xml:space="preserve"> 提供施耐德设备寄存器地址映射配置技术服务</t>
        </is>
      </c>
      <c r="H155" s="18" t="inlineStr">
        <is>
          <t>EI</t>
        </is>
      </c>
      <c r="I155" s="18">
        <f>IF(H155="ILF",10,IF(H155="EIF",7,IF(H155="EI",4,IF(H155="EO",5,IF(H155="EQ",4,"")))))</f>
        <v/>
      </c>
      <c r="J155" s="18" t="inlineStr">
        <is>
          <t>中</t>
        </is>
      </c>
      <c r="K155" s="18">
        <f>IF(J155="高",0.33,IF(J155="中",0.67,IF(J155="低",1,"")))</f>
        <v/>
      </c>
      <c r="L155" s="18" t="inlineStr">
        <is>
          <t>新增</t>
        </is>
      </c>
      <c r="M155" s="18">
        <f>IF(L155="新增",1,IF(L155="修改",0.8,IF(L155="删除",0.2,"")))</f>
        <v/>
      </c>
      <c r="N155" s="18">
        <f>I155*K155*M155</f>
        <v/>
      </c>
    </row>
    <row r="156" ht="19" customHeight="1" s="1">
      <c r="B156" s="16" t="n">
        <v>151</v>
      </c>
      <c r="C156" s="16" t="inlineStr">
        <is>
          <t>采集策略多样化定制</t>
        </is>
      </c>
      <c r="D156" s="16" t="inlineStr">
        <is>
          <t>设备物模型配置</t>
        </is>
      </c>
      <c r="E156" s="16" t="inlineStr">
        <is>
          <t>厂家映射</t>
        </is>
      </c>
      <c r="F156" s="16" t="inlineStr">
        <is>
          <t>横河映射</t>
        </is>
      </c>
      <c r="G156" s="17" t="inlineStr">
        <is>
          <t xml:space="preserve"> 提供横河设备寄存器地址映射配置技术服务</t>
        </is>
      </c>
      <c r="H156" s="18" t="inlineStr">
        <is>
          <t>EI</t>
        </is>
      </c>
      <c r="I156" s="18">
        <f>IF(H156="ILF",10,IF(H156="EIF",7,IF(H156="EI",4,IF(H156="EO",5,IF(H156="EQ",4,"")))))</f>
        <v/>
      </c>
      <c r="J156" s="18" t="inlineStr">
        <is>
          <t>中</t>
        </is>
      </c>
      <c r="K156" s="18">
        <f>IF(J156="高",0.33,IF(J156="中",0.67,IF(J156="低",1,"")))</f>
        <v/>
      </c>
      <c r="L156" s="18" t="inlineStr">
        <is>
          <t>新增</t>
        </is>
      </c>
      <c r="M156" s="18">
        <f>IF(L156="新增",1,IF(L156="修改",0.8,IF(L156="删除",0.2,"")))</f>
        <v/>
      </c>
      <c r="N156" s="18">
        <f>I156*K156*M156</f>
        <v/>
      </c>
    </row>
    <row r="157" ht="19" customHeight="1" s="1">
      <c r="B157" s="16" t="n">
        <v>152</v>
      </c>
      <c r="C157" s="16" t="inlineStr">
        <is>
          <t>采集策略多样化定制</t>
        </is>
      </c>
      <c r="D157" s="16" t="inlineStr">
        <is>
          <t>设备物模型配置</t>
        </is>
      </c>
      <c r="E157" s="16" t="inlineStr">
        <is>
          <t>厂家映射</t>
        </is>
      </c>
      <c r="F157" s="16" t="inlineStr">
        <is>
          <t>可视化映射</t>
        </is>
      </c>
      <c r="G157" s="17" t="inlineStr">
        <is>
          <t xml:space="preserve"> 提供多厂家间寄存器地址可视化映射对齐技术服务</t>
        </is>
      </c>
      <c r="H157" s="18" t="inlineStr">
        <is>
          <t>EI</t>
        </is>
      </c>
      <c r="I157" s="18">
        <f>IF(H157="ILF",10,IF(H157="EIF",7,IF(H157="EI",4,IF(H157="EO",5,IF(H157="EQ",4,"")))))</f>
        <v/>
      </c>
      <c r="J157" s="18" t="inlineStr">
        <is>
          <t>中</t>
        </is>
      </c>
      <c r="K157" s="18">
        <f>IF(J157="高",0.33,IF(J157="中",0.67,IF(J157="低",1,"")))</f>
        <v/>
      </c>
      <c r="L157" s="18" t="inlineStr">
        <is>
          <t>新增</t>
        </is>
      </c>
      <c r="M157" s="18">
        <f>IF(L157="新增",1,IF(L157="修改",0.8,IF(L157="删除",0.2,"")))</f>
        <v/>
      </c>
      <c r="N157" s="18">
        <f>I157*K157*M157</f>
        <v/>
      </c>
    </row>
    <row r="158" ht="19" customHeight="1" s="1">
      <c r="B158" s="16" t="n">
        <v>153</v>
      </c>
      <c r="C158" s="16" t="inlineStr">
        <is>
          <t>采集策略多样化定制</t>
        </is>
      </c>
      <c r="D158" s="16" t="inlineStr">
        <is>
          <t>设备物模型配置</t>
        </is>
      </c>
      <c r="E158" s="16" t="inlineStr">
        <is>
          <t>厂家映射</t>
        </is>
      </c>
      <c r="F158" s="16" t="inlineStr">
        <is>
          <t>映射验证</t>
        </is>
      </c>
      <c r="G158" s="17" t="inlineStr">
        <is>
          <t xml:space="preserve"> 提供映射表准确性批量验证技术服务</t>
        </is>
      </c>
      <c r="H158" s="18" t="inlineStr">
        <is>
          <t>EI</t>
        </is>
      </c>
      <c r="I158" s="18">
        <f>IF(H158="ILF",10,IF(H158="EIF",7,IF(H158="EI",4,IF(H158="EO",5,IF(H158="EQ",4,"")))))</f>
        <v/>
      </c>
      <c r="J158" s="18" t="inlineStr">
        <is>
          <t>中</t>
        </is>
      </c>
      <c r="K158" s="18">
        <f>IF(J158="高",0.33,IF(J158="中",0.67,IF(J158="低",1,"")))</f>
        <v/>
      </c>
      <c r="L158" s="18" t="inlineStr">
        <is>
          <t>新增</t>
        </is>
      </c>
      <c r="M158" s="18">
        <f>IF(L158="新增",1,IF(L158="修改",0.8,IF(L158="删除",0.2,"")))</f>
        <v/>
      </c>
      <c r="N158" s="18">
        <f>I158*K158*M158</f>
        <v/>
      </c>
    </row>
    <row r="159" ht="19" customHeight="1" s="1">
      <c r="B159" s="16" t="n">
        <v>154</v>
      </c>
      <c r="C159" s="16" t="inlineStr">
        <is>
          <t>采集策略多样化定制</t>
        </is>
      </c>
      <c r="D159" s="16" t="inlineStr">
        <is>
          <t>设备物模型配置</t>
        </is>
      </c>
      <c r="E159" s="16" t="inlineStr">
        <is>
          <t>厂家映射</t>
        </is>
      </c>
      <c r="F159" s="16" t="inlineStr">
        <is>
          <t>模板管理</t>
        </is>
      </c>
      <c r="G159" s="17" t="inlineStr">
        <is>
          <t xml:space="preserve"> 提供厂家映射模板的创建/保存/复用技术服务</t>
        </is>
      </c>
      <c r="H159" s="18" t="inlineStr">
        <is>
          <t>EI</t>
        </is>
      </c>
      <c r="I159" s="18">
        <f>IF(H159="ILF",10,IF(H159="EIF",7,IF(H159="EI",4,IF(H159="EO",5,IF(H159="EQ",4,"")))))</f>
        <v/>
      </c>
      <c r="J159" s="18" t="inlineStr">
        <is>
          <t>中</t>
        </is>
      </c>
      <c r="K159" s="18">
        <f>IF(J159="高",0.33,IF(J159="中",0.67,IF(J159="低",1,"")))</f>
        <v/>
      </c>
      <c r="L159" s="18" t="inlineStr">
        <is>
          <t>新增</t>
        </is>
      </c>
      <c r="M159" s="18">
        <f>IF(L159="新增",1,IF(L159="修改",0.8,IF(L159="删除",0.2,"")))</f>
        <v/>
      </c>
      <c r="N159" s="18">
        <f>I159*K159*M159</f>
        <v/>
      </c>
    </row>
    <row r="160" ht="19" customHeight="1" s="1">
      <c r="B160" s="16" t="n">
        <v>155</v>
      </c>
      <c r="C160" s="16" t="inlineStr">
        <is>
          <t>采集策略多样化定制</t>
        </is>
      </c>
      <c r="D160" s="16" t="inlineStr">
        <is>
          <t>设备物模型配置</t>
        </is>
      </c>
      <c r="E160" s="16" t="inlineStr">
        <is>
          <t>厂家映射</t>
        </is>
      </c>
      <c r="F160" s="16" t="inlineStr">
        <is>
          <t>映射追溯</t>
        </is>
      </c>
      <c r="G160" s="17" t="inlineStr">
        <is>
          <t xml:space="preserve"> 提供映射表变更的历史记录和追溯技术服务</t>
        </is>
      </c>
      <c r="H160" s="18" t="inlineStr">
        <is>
          <t>EI</t>
        </is>
      </c>
      <c r="I160" s="18">
        <f>IF(H160="ILF",10,IF(H160="EIF",7,IF(H160="EI",4,IF(H160="EO",5,IF(H160="EQ",4,"")))))</f>
        <v/>
      </c>
      <c r="J160" s="18" t="inlineStr">
        <is>
          <t>中</t>
        </is>
      </c>
      <c r="K160" s="18">
        <f>IF(J160="高",0.33,IF(J160="中",0.67,IF(J160="低",1,"")))</f>
        <v/>
      </c>
      <c r="L160" s="18" t="inlineStr">
        <is>
          <t>新增</t>
        </is>
      </c>
      <c r="M160" s="18">
        <f>IF(L160="新增",1,IF(L160="修改",0.8,IF(L160="删除",0.2,"")))</f>
        <v/>
      </c>
      <c r="N160" s="18">
        <f>I160*K160*M160</f>
        <v/>
      </c>
    </row>
    <row r="161" ht="19" customHeight="1" s="1">
      <c r="B161" s="16" t="n">
        <v>156</v>
      </c>
      <c r="C161" s="16" t="inlineStr">
        <is>
          <t>采集策略多样化定制</t>
        </is>
      </c>
      <c r="D161" s="16" t="inlineStr">
        <is>
          <t>参数阈值管理</t>
        </is>
      </c>
      <c r="E161" s="16" t="inlineStr">
        <is>
          <t>动态基线</t>
        </is>
      </c>
      <c r="F161" s="16" t="inlineStr">
        <is>
          <t>14天数据采集</t>
        </is>
      </c>
      <c r="G161" s="17" t="inlineStr">
        <is>
          <t xml:space="preserve"> 提供14天历史运行数据采集用于基线计算的技术服务</t>
        </is>
      </c>
      <c r="H161" s="18" t="inlineStr">
        <is>
          <t>EI</t>
        </is>
      </c>
      <c r="I161" s="18">
        <f>IF(H161="ILF",10,IF(H161="EIF",7,IF(H161="EI",4,IF(H161="EO",5,IF(H161="EQ",4,"")))))</f>
        <v/>
      </c>
      <c r="J161" s="18" t="inlineStr">
        <is>
          <t>中</t>
        </is>
      </c>
      <c r="K161" s="18">
        <f>IF(J161="高",0.33,IF(J161="中",0.67,IF(J161="低",1,"")))</f>
        <v/>
      </c>
      <c r="L161" s="18" t="inlineStr">
        <is>
          <t>新增</t>
        </is>
      </c>
      <c r="M161" s="18">
        <f>IF(L161="新增",1,IF(L161="修改",0.8,IF(L161="删除",0.2,"")))</f>
        <v/>
      </c>
      <c r="N161" s="18">
        <f>I161*K161*M161</f>
        <v/>
      </c>
    </row>
    <row r="162" ht="19" customHeight="1" s="1">
      <c r="B162" s="16" t="n">
        <v>157</v>
      </c>
      <c r="C162" s="16" t="inlineStr">
        <is>
          <t>采集策略多样化定制</t>
        </is>
      </c>
      <c r="D162" s="16" t="inlineStr">
        <is>
          <t>参数阈值管理</t>
        </is>
      </c>
      <c r="E162" s="16" t="inlineStr">
        <is>
          <t>动态基线</t>
        </is>
      </c>
      <c r="F162" s="16" t="inlineStr">
        <is>
          <t>周期性基线计算</t>
        </is>
      </c>
      <c r="G162" s="17" t="inlineStr">
        <is>
          <t xml:space="preserve"> 提供基于14天历史的动态基线周期性计算技术服务</t>
        </is>
      </c>
      <c r="H162" s="18" t="inlineStr">
        <is>
          <t>EI</t>
        </is>
      </c>
      <c r="I162" s="18">
        <f>IF(H162="ILF",10,IF(H162="EIF",7,IF(H162="EI",4,IF(H162="EO",5,IF(H162="EQ",4,"")))))</f>
        <v/>
      </c>
      <c r="J162" s="18" t="inlineStr">
        <is>
          <t>中</t>
        </is>
      </c>
      <c r="K162" s="18">
        <f>IF(J162="高",0.33,IF(J162="中",0.67,IF(J162="低",1,"")))</f>
        <v/>
      </c>
      <c r="L162" s="18" t="inlineStr">
        <is>
          <t>新增</t>
        </is>
      </c>
      <c r="M162" s="18">
        <f>IF(L162="新增",1,IF(L162="修改",0.8,IF(L162="删除",0.2,"")))</f>
        <v/>
      </c>
      <c r="N162" s="18">
        <f>I162*K162*M162</f>
        <v/>
      </c>
    </row>
    <row r="163" ht="19" customHeight="1" s="1">
      <c r="B163" s="16" t="n">
        <v>158</v>
      </c>
      <c r="C163" s="16" t="inlineStr">
        <is>
          <t>采集策略多样化定制</t>
        </is>
      </c>
      <c r="D163" s="16" t="inlineStr">
        <is>
          <t>参数阈值管理</t>
        </is>
      </c>
      <c r="E163" s="16" t="inlineStr">
        <is>
          <t>动态基线</t>
        </is>
      </c>
      <c r="F163" s="16" t="inlineStr">
        <is>
          <t>基线自动更新</t>
        </is>
      </c>
      <c r="G163" s="17" t="inlineStr">
        <is>
          <t xml:space="preserve"> 提供基线参数定期自动更新技术服务</t>
        </is>
      </c>
      <c r="H163" s="18" t="inlineStr">
        <is>
          <t>EI</t>
        </is>
      </c>
      <c r="I163" s="18">
        <f>IF(H163="ILF",10,IF(H163="EIF",7,IF(H163="EI",4,IF(H163="EO",5,IF(H163="EQ",4,"")))))</f>
        <v/>
      </c>
      <c r="J163" s="18" t="inlineStr">
        <is>
          <t>中</t>
        </is>
      </c>
      <c r="K163" s="18">
        <f>IF(J163="高",0.33,IF(J163="中",0.67,IF(J163="低",1,"")))</f>
        <v/>
      </c>
      <c r="L163" s="18" t="inlineStr">
        <is>
          <t>新增</t>
        </is>
      </c>
      <c r="M163" s="18">
        <f>IF(L163="新增",1,IF(L163="修改",0.8,IF(L163="删除",0.2,"")))</f>
        <v/>
      </c>
      <c r="N163" s="18">
        <f>I163*K163*M163</f>
        <v/>
      </c>
    </row>
    <row r="164" ht="19" customHeight="1" s="1">
      <c r="B164" s="16" t="n">
        <v>159</v>
      </c>
      <c r="C164" s="16" t="inlineStr">
        <is>
          <t>采集策略多样化定制</t>
        </is>
      </c>
      <c r="D164" s="16" t="inlineStr">
        <is>
          <t>参数阈值管理</t>
        </is>
      </c>
      <c r="E164" s="16" t="inlineStr">
        <is>
          <t>动态基线</t>
        </is>
      </c>
      <c r="F164" s="16" t="inlineStr">
        <is>
          <t>基线验证</t>
        </is>
      </c>
      <c r="G164" s="17" t="inlineStr">
        <is>
          <t xml:space="preserve"> 提供基线计算结果与实际数据的比对验证技术服务</t>
        </is>
      </c>
      <c r="H164" s="18" t="inlineStr">
        <is>
          <t>EI</t>
        </is>
      </c>
      <c r="I164" s="18">
        <f>IF(H164="ILF",10,IF(H164="EIF",7,IF(H164="EI",4,IF(H164="EO",5,IF(H164="EQ",4,"")))))</f>
        <v/>
      </c>
      <c r="J164" s="18" t="inlineStr">
        <is>
          <t>中</t>
        </is>
      </c>
      <c r="K164" s="18">
        <f>IF(J164="高",0.33,IF(J164="中",0.67,IF(J164="低",1,"")))</f>
        <v/>
      </c>
      <c r="L164" s="18" t="inlineStr">
        <is>
          <t>新增</t>
        </is>
      </c>
      <c r="M164" s="18">
        <f>IF(L164="新增",1,IF(L164="修改",0.8,IF(L164="删除",0.2,"")))</f>
        <v/>
      </c>
      <c r="N164" s="18">
        <f>I164*K164*M164</f>
        <v/>
      </c>
    </row>
    <row r="165" ht="19" customHeight="1" s="1">
      <c r="B165" s="16" t="n">
        <v>160</v>
      </c>
      <c r="C165" s="16" t="inlineStr">
        <is>
          <t>采集策略多样化定制</t>
        </is>
      </c>
      <c r="D165" s="16" t="inlineStr">
        <is>
          <t>参数阈值管理</t>
        </is>
      </c>
      <c r="E165" s="16" t="inlineStr">
        <is>
          <t>动态基线</t>
        </is>
      </c>
      <c r="F165" s="16" t="inlineStr">
        <is>
          <t>漂移检测</t>
        </is>
      </c>
      <c r="G165" s="17" t="inlineStr">
        <is>
          <t xml:space="preserve"> 提供基线参数异常漂移检测技术服务</t>
        </is>
      </c>
      <c r="H165" s="18" t="inlineStr">
        <is>
          <t>EI</t>
        </is>
      </c>
      <c r="I165" s="18">
        <f>IF(H165="ILF",10,IF(H165="EIF",7,IF(H165="EI",4,IF(H165="EO",5,IF(H165="EQ",4,"")))))</f>
        <v/>
      </c>
      <c r="J165" s="18" t="inlineStr">
        <is>
          <t>中</t>
        </is>
      </c>
      <c r="K165" s="18">
        <f>IF(J165="高",0.33,IF(J165="中",0.67,IF(J165="低",1,"")))</f>
        <v/>
      </c>
      <c r="L165" s="18" t="inlineStr">
        <is>
          <t>新增</t>
        </is>
      </c>
      <c r="M165" s="18">
        <f>IF(L165="新增",1,IF(L165="修改",0.8,IF(L165="删除",0.2,"")))</f>
        <v/>
      </c>
      <c r="N165" s="18">
        <f>I165*K165*M165</f>
        <v/>
      </c>
    </row>
    <row r="166" ht="19" customHeight="1" s="1">
      <c r="B166" s="16" t="n">
        <v>161</v>
      </c>
      <c r="C166" s="16" t="inlineStr">
        <is>
          <t>采集策略多样化定制</t>
        </is>
      </c>
      <c r="D166" s="16" t="inlineStr">
        <is>
          <t>参数阈值管理</t>
        </is>
      </c>
      <c r="E166" s="16" t="inlineStr">
        <is>
          <t>动态基线</t>
        </is>
      </c>
      <c r="F166" s="16" t="inlineStr">
        <is>
          <t>洗井自适应</t>
        </is>
      </c>
      <c r="G166" s="17" t="inlineStr">
        <is>
          <t xml:space="preserve"> 提供洗井工况下告警阈值动态调整技术服务</t>
        </is>
      </c>
      <c r="H166" s="18" t="inlineStr">
        <is>
          <t>EI</t>
        </is>
      </c>
      <c r="I166" s="18">
        <f>IF(H166="ILF",10,IF(H166="EIF",7,IF(H166="EI",4,IF(H166="EO",5,IF(H166="EQ",4,"")))))</f>
        <v/>
      </c>
      <c r="J166" s="18" t="inlineStr">
        <is>
          <t>中</t>
        </is>
      </c>
      <c r="K166" s="18">
        <f>IF(J166="高",0.33,IF(J166="中",0.67,IF(J166="低",1,"")))</f>
        <v/>
      </c>
      <c r="L166" s="18" t="inlineStr">
        <is>
          <t>新增</t>
        </is>
      </c>
      <c r="M166" s="18">
        <f>IF(L166="新增",1,IF(L166="修改",0.8,IF(L166="删除",0.2,"")))</f>
        <v/>
      </c>
      <c r="N166" s="18">
        <f>I166*K166*M166</f>
        <v/>
      </c>
    </row>
    <row r="167" ht="19" customHeight="1" s="1">
      <c r="B167" s="16" t="n">
        <v>162</v>
      </c>
      <c r="C167" s="16" t="inlineStr">
        <is>
          <t>采集策略多样化定制</t>
        </is>
      </c>
      <c r="D167" s="16" t="inlineStr">
        <is>
          <t>参数阈值管理</t>
        </is>
      </c>
      <c r="E167" s="16" t="inlineStr">
        <is>
          <t>动态基线</t>
        </is>
      </c>
      <c r="F167" s="16" t="inlineStr">
        <is>
          <t>检修自适应</t>
        </is>
      </c>
      <c r="G167" s="17" t="inlineStr">
        <is>
          <t xml:space="preserve"> 提供检修工况下告警阈值动态调整技术服务</t>
        </is>
      </c>
      <c r="H167" s="18" t="inlineStr">
        <is>
          <t>EI</t>
        </is>
      </c>
      <c r="I167" s="18">
        <f>IF(H167="ILF",10,IF(H167="EIF",7,IF(H167="EI",4,IF(H167="EO",5,IF(H167="EQ",4,"")))))</f>
        <v/>
      </c>
      <c r="J167" s="18" t="inlineStr">
        <is>
          <t>中</t>
        </is>
      </c>
      <c r="K167" s="18">
        <f>IF(J167="高",0.33,IF(J167="中",0.67,IF(J167="低",1,"")))</f>
        <v/>
      </c>
      <c r="L167" s="18" t="inlineStr">
        <is>
          <t>新增</t>
        </is>
      </c>
      <c r="M167" s="18">
        <f>IF(L167="新增",1,IF(L167="修改",0.8,IF(L167="删除",0.2,"")))</f>
        <v/>
      </c>
      <c r="N167" s="18">
        <f>I167*K167*M167</f>
        <v/>
      </c>
    </row>
    <row r="168" ht="19" customHeight="1" s="1">
      <c r="B168" s="16" t="n">
        <v>163</v>
      </c>
      <c r="C168" s="16" t="inlineStr">
        <is>
          <t>采集策略多样化定制</t>
        </is>
      </c>
      <c r="D168" s="16" t="inlineStr">
        <is>
          <t>参数阈值管理</t>
        </is>
      </c>
      <c r="E168" s="16" t="inlineStr">
        <is>
          <t>动态基线</t>
        </is>
      </c>
      <c r="F168" s="16" t="inlineStr">
        <is>
          <t>停机自适应</t>
        </is>
      </c>
      <c r="G168" s="17" t="inlineStr">
        <is>
          <t xml:space="preserve"> 提供停机工况下告警阈值动态调整技术服务</t>
        </is>
      </c>
      <c r="H168" s="18" t="inlineStr">
        <is>
          <t>EI</t>
        </is>
      </c>
      <c r="I168" s="18">
        <f>IF(H168="ILF",10,IF(H168="EIF",7,IF(H168="EI",4,IF(H168="EO",5,IF(H168="EQ",4,"")))))</f>
        <v/>
      </c>
      <c r="J168" s="18" t="inlineStr">
        <is>
          <t>中</t>
        </is>
      </c>
      <c r="K168" s="18">
        <f>IF(J168="高",0.33,IF(J168="中",0.67,IF(J168="低",1,"")))</f>
        <v/>
      </c>
      <c r="L168" s="18" t="inlineStr">
        <is>
          <t>新增</t>
        </is>
      </c>
      <c r="M168" s="18">
        <f>IF(L168="新增",1,IF(L168="修改",0.8,IF(L168="删除",0.2,"")))</f>
        <v/>
      </c>
      <c r="N168" s="18">
        <f>I168*K168*M168</f>
        <v/>
      </c>
    </row>
    <row r="169" ht="19" customHeight="1" s="1">
      <c r="B169" s="16" t="n">
        <v>164</v>
      </c>
      <c r="C169" s="16" t="inlineStr">
        <is>
          <t>采集策略多样化定制</t>
        </is>
      </c>
      <c r="D169" s="16" t="inlineStr">
        <is>
          <t>参数阈值管理</t>
        </is>
      </c>
      <c r="E169" s="16" t="inlineStr">
        <is>
          <t>动态基线</t>
        </is>
      </c>
      <c r="F169" s="16" t="inlineStr">
        <is>
          <t>复产自适应</t>
        </is>
      </c>
      <c r="G169" s="17" t="inlineStr">
        <is>
          <t xml:space="preserve"> 提供复产工况下阈值恢复正常的技术服务</t>
        </is>
      </c>
      <c r="H169" s="18" t="inlineStr">
        <is>
          <t>EI</t>
        </is>
      </c>
      <c r="I169" s="18">
        <f>IF(H169="ILF",10,IF(H169="EIF",7,IF(H169="EI",4,IF(H169="EO",5,IF(H169="EQ",4,"")))))</f>
        <v/>
      </c>
      <c r="J169" s="18" t="inlineStr">
        <is>
          <t>中</t>
        </is>
      </c>
      <c r="K169" s="18">
        <f>IF(J169="高",0.33,IF(J169="中",0.67,IF(J169="低",1,"")))</f>
        <v/>
      </c>
      <c r="L169" s="18" t="inlineStr">
        <is>
          <t>新增</t>
        </is>
      </c>
      <c r="M169" s="18">
        <f>IF(L169="新增",1,IF(L169="修改",0.8,IF(L169="删除",0.2,"")))</f>
        <v/>
      </c>
      <c r="N169" s="18">
        <f>I169*K169*M169</f>
        <v/>
      </c>
    </row>
    <row r="170" ht="19" customHeight="1" s="1">
      <c r="B170" s="16" t="n">
        <v>165</v>
      </c>
      <c r="C170" s="16" t="inlineStr">
        <is>
          <t>采集策略多样化定制</t>
        </is>
      </c>
      <c r="D170" s="16" t="inlineStr">
        <is>
          <t>参数阈值管理</t>
        </is>
      </c>
      <c r="E170" s="16" t="inlineStr">
        <is>
          <t>动态基线</t>
        </is>
      </c>
      <c r="F170" s="16" t="inlineStr">
        <is>
          <t>夜间调整</t>
        </is>
      </c>
      <c r="G170" s="17" t="inlineStr">
        <is>
          <t xml:space="preserve"> 提供夜间低产时段告警阈值自动放宽技术服务</t>
        </is>
      </c>
      <c r="H170" s="18" t="inlineStr">
        <is>
          <t>EI</t>
        </is>
      </c>
      <c r="I170" s="18">
        <f>IF(H170="ILF",10,IF(H170="EIF",7,IF(H170="EI",4,IF(H170="EO",5,IF(H170="EQ",4,"")))))</f>
        <v/>
      </c>
      <c r="J170" s="18" t="inlineStr">
        <is>
          <t>中</t>
        </is>
      </c>
      <c r="K170" s="18">
        <f>IF(J170="高",0.33,IF(J170="中",0.67,IF(J170="低",1,"")))</f>
        <v/>
      </c>
      <c r="L170" s="18" t="inlineStr">
        <is>
          <t>新增</t>
        </is>
      </c>
      <c r="M170" s="18">
        <f>IF(L170="新增",1,IF(L170="修改",0.8,IF(L170="删除",0.2,"")))</f>
        <v/>
      </c>
      <c r="N170" s="18">
        <f>I170*K170*M170</f>
        <v/>
      </c>
    </row>
    <row r="171" ht="19" customHeight="1" s="1">
      <c r="B171" s="16" t="n">
        <v>166</v>
      </c>
      <c r="C171" s="16" t="inlineStr">
        <is>
          <t>采集策略多样化定制</t>
        </is>
      </c>
      <c r="D171" s="16" t="inlineStr">
        <is>
          <t>参数阈值管理</t>
        </is>
      </c>
      <c r="E171" s="16" t="inlineStr">
        <is>
          <t>告警级别</t>
        </is>
      </c>
      <c r="F171" s="16" t="inlineStr">
        <is>
          <t>critical级</t>
        </is>
      </c>
      <c r="G171" s="17" t="inlineStr">
        <is>
          <t xml:space="preserve"> 提供critical严重告警5分钟响应配置技术服务</t>
        </is>
      </c>
      <c r="H171" s="18" t="inlineStr">
        <is>
          <t>EI</t>
        </is>
      </c>
      <c r="I171" s="18">
        <f>IF(H171="ILF",10,IF(H171="EIF",7,IF(H171="EI",4,IF(H171="EO",5,IF(H171="EQ",4,"")))))</f>
        <v/>
      </c>
      <c r="J171" s="18" t="inlineStr">
        <is>
          <t>中</t>
        </is>
      </c>
      <c r="K171" s="18">
        <f>IF(J171="高",0.33,IF(J171="中",0.67,IF(J171="低",1,"")))</f>
        <v/>
      </c>
      <c r="L171" s="18" t="inlineStr">
        <is>
          <t>新增</t>
        </is>
      </c>
      <c r="M171" s="18">
        <f>IF(L171="新增",1,IF(L171="修改",0.8,IF(L171="删除",0.2,"")))</f>
        <v/>
      </c>
      <c r="N171" s="18">
        <f>I171*K171*M171</f>
        <v/>
      </c>
    </row>
    <row r="172" ht="19" customHeight="1" s="1">
      <c r="B172" s="16" t="n">
        <v>167</v>
      </c>
      <c r="C172" s="16" t="inlineStr">
        <is>
          <t>采集策略多样化定制</t>
        </is>
      </c>
      <c r="D172" s="16" t="inlineStr">
        <is>
          <t>参数阈值管理</t>
        </is>
      </c>
      <c r="E172" s="16" t="inlineStr">
        <is>
          <t>告警级别</t>
        </is>
      </c>
      <c r="F172" s="16" t="inlineStr">
        <is>
          <t>error级</t>
        </is>
      </c>
      <c r="G172" s="17" t="inlineStr">
        <is>
          <t xml:space="preserve"> 提供error错误告警30分钟响应配置技术服务</t>
        </is>
      </c>
      <c r="H172" s="18" t="inlineStr">
        <is>
          <t>EI</t>
        </is>
      </c>
      <c r="I172" s="18">
        <f>IF(H172="ILF",10,IF(H172="EIF",7,IF(H172="EI",4,IF(H172="EO",5,IF(H172="EQ",4,"")))))</f>
        <v/>
      </c>
      <c r="J172" s="18" t="inlineStr">
        <is>
          <t>中</t>
        </is>
      </c>
      <c r="K172" s="18">
        <f>IF(J172="高",0.33,IF(J172="中",0.67,IF(J172="低",1,"")))</f>
        <v/>
      </c>
      <c r="L172" s="18" t="inlineStr">
        <is>
          <t>新增</t>
        </is>
      </c>
      <c r="M172" s="18">
        <f>IF(L172="新增",1,IF(L172="修改",0.8,IF(L172="删除",0.2,"")))</f>
        <v/>
      </c>
      <c r="N172" s="18">
        <f>I172*K172*M172</f>
        <v/>
      </c>
    </row>
    <row r="173" ht="19" customHeight="1" s="1">
      <c r="B173" s="16" t="n">
        <v>168</v>
      </c>
      <c r="C173" s="16" t="inlineStr">
        <is>
          <t>采集策略多样化定制</t>
        </is>
      </c>
      <c r="D173" s="16" t="inlineStr">
        <is>
          <t>参数阈值管理</t>
        </is>
      </c>
      <c r="E173" s="16" t="inlineStr">
        <is>
          <t>告警级别</t>
        </is>
      </c>
      <c r="F173" s="16" t="inlineStr">
        <is>
          <t>warning级</t>
        </is>
      </c>
      <c r="G173" s="17" t="inlineStr">
        <is>
          <t xml:space="preserve"> 提供warning警告告警2小时响应配置技术服务</t>
        </is>
      </c>
      <c r="H173" s="18" t="inlineStr">
        <is>
          <t>EI</t>
        </is>
      </c>
      <c r="I173" s="18">
        <f>IF(H173="ILF",10,IF(H173="EIF",7,IF(H173="EI",4,IF(H173="EO",5,IF(H173="EQ",4,"")))))</f>
        <v/>
      </c>
      <c r="J173" s="18" t="inlineStr">
        <is>
          <t>中</t>
        </is>
      </c>
      <c r="K173" s="18">
        <f>IF(J173="高",0.33,IF(J173="中",0.67,IF(J173="低",1,"")))</f>
        <v/>
      </c>
      <c r="L173" s="18" t="inlineStr">
        <is>
          <t>新增</t>
        </is>
      </c>
      <c r="M173" s="18">
        <f>IF(L173="新增",1,IF(L173="修改",0.8,IF(L173="删除",0.2,"")))</f>
        <v/>
      </c>
      <c r="N173" s="18">
        <f>I173*K173*M173</f>
        <v/>
      </c>
    </row>
    <row r="174" ht="19" customHeight="1" s="1">
      <c r="B174" s="16" t="n">
        <v>169</v>
      </c>
      <c r="C174" s="16" t="inlineStr">
        <is>
          <t>采集策略多样化定制</t>
        </is>
      </c>
      <c r="D174" s="16" t="inlineStr">
        <is>
          <t>参数阈值管理</t>
        </is>
      </c>
      <c r="E174" s="16" t="inlineStr">
        <is>
          <t>告警级别</t>
        </is>
      </c>
      <c r="F174" s="16" t="inlineStr">
        <is>
          <t>info级</t>
        </is>
      </c>
      <c r="G174" s="17" t="inlineStr">
        <is>
          <t xml:space="preserve"> 提供info提示告警24小时响应配置技术服务</t>
        </is>
      </c>
      <c r="H174" s="18" t="inlineStr">
        <is>
          <t>EI</t>
        </is>
      </c>
      <c r="I174" s="18">
        <f>IF(H174="ILF",10,IF(H174="EIF",7,IF(H174="EI",4,IF(H174="EO",5,IF(H174="EQ",4,"")))))</f>
        <v/>
      </c>
      <c r="J174" s="18" t="inlineStr">
        <is>
          <t>中</t>
        </is>
      </c>
      <c r="K174" s="18">
        <f>IF(J174="高",0.33,IF(J174="中",0.67,IF(J174="低",1,"")))</f>
        <v/>
      </c>
      <c r="L174" s="18" t="inlineStr">
        <is>
          <t>新增</t>
        </is>
      </c>
      <c r="M174" s="18">
        <f>IF(L174="新增",1,IF(L174="修改",0.8,IF(L174="删除",0.2,"")))</f>
        <v/>
      </c>
      <c r="N174" s="18">
        <f>I174*K174*M174</f>
        <v/>
      </c>
    </row>
    <row r="175" ht="19" customHeight="1" s="1">
      <c r="B175" s="16" t="n">
        <v>170</v>
      </c>
      <c r="C175" s="16" t="inlineStr">
        <is>
          <t>采集策略多样化定制</t>
        </is>
      </c>
      <c r="D175" s="16" t="inlineStr">
        <is>
          <t>参数阈值管理</t>
        </is>
      </c>
      <c r="E175" s="16" t="inlineStr">
        <is>
          <t>告警级别</t>
        </is>
      </c>
      <c r="F175" s="16" t="inlineStr">
        <is>
          <t>升级策略</t>
        </is>
      </c>
      <c r="G175" s="17" t="inlineStr">
        <is>
          <t xml:space="preserve"> 提供告警长时间未响应自动升级策略配置技术服务</t>
        </is>
      </c>
      <c r="H175" s="18" t="inlineStr">
        <is>
          <t>EI</t>
        </is>
      </c>
      <c r="I175" s="18">
        <f>IF(H175="ILF",10,IF(H175="EIF",7,IF(H175="EI",4,IF(H175="EO",5,IF(H175="EQ",4,"")))))</f>
        <v/>
      </c>
      <c r="J175" s="18" t="inlineStr">
        <is>
          <t>中</t>
        </is>
      </c>
      <c r="K175" s="18">
        <f>IF(J175="高",0.33,IF(J175="中",0.67,IF(J175="低",1,"")))</f>
        <v/>
      </c>
      <c r="L175" s="18" t="inlineStr">
        <is>
          <t>新增</t>
        </is>
      </c>
      <c r="M175" s="18">
        <f>IF(L175="新增",1,IF(L175="修改",0.8,IF(L175="删除",0.2,"")))</f>
        <v/>
      </c>
      <c r="N175" s="18">
        <f>I175*K175*M175</f>
        <v/>
      </c>
    </row>
    <row r="176" ht="19" customHeight="1" s="1">
      <c r="B176" s="16" t="n">
        <v>171</v>
      </c>
      <c r="C176" s="16" t="inlineStr">
        <is>
          <t>采集策略多样化定制</t>
        </is>
      </c>
      <c r="D176" s="16" t="inlineStr">
        <is>
          <t>参数阈值管理</t>
        </is>
      </c>
      <c r="E176" s="16" t="inlineStr">
        <is>
          <t>告警级别</t>
        </is>
      </c>
      <c r="F176" s="16" t="inlineStr">
        <is>
          <t>电话通知</t>
        </is>
      </c>
      <c r="G176" s="17" t="inlineStr">
        <is>
          <t xml:space="preserve"> 提供critical级告警电话语音通知配置技术服务</t>
        </is>
      </c>
      <c r="H176" s="18" t="inlineStr">
        <is>
          <t>EI</t>
        </is>
      </c>
      <c r="I176" s="18">
        <f>IF(H176="ILF",10,IF(H176="EIF",7,IF(H176="EI",4,IF(H176="EO",5,IF(H176="EQ",4,"")))))</f>
        <v/>
      </c>
      <c r="J176" s="18" t="inlineStr">
        <is>
          <t>中</t>
        </is>
      </c>
      <c r="K176" s="18">
        <f>IF(J176="高",0.33,IF(J176="中",0.67,IF(J176="低",1,"")))</f>
        <v/>
      </c>
      <c r="L176" s="18" t="inlineStr">
        <is>
          <t>新增</t>
        </is>
      </c>
      <c r="M176" s="18">
        <f>IF(L176="新增",1,IF(L176="修改",0.8,IF(L176="删除",0.2,"")))</f>
        <v/>
      </c>
      <c r="N176" s="18">
        <f>I176*K176*M176</f>
        <v/>
      </c>
    </row>
    <row r="177" ht="19" customHeight="1" s="1">
      <c r="B177" s="16" t="n">
        <v>172</v>
      </c>
      <c r="C177" s="16" t="inlineStr">
        <is>
          <t>采集策略多样化定制</t>
        </is>
      </c>
      <c r="D177" s="16" t="inlineStr">
        <is>
          <t>参数阈值管理</t>
        </is>
      </c>
      <c r="E177" s="16" t="inlineStr">
        <is>
          <t>告警级别</t>
        </is>
      </c>
      <c r="F177" s="16" t="inlineStr">
        <is>
          <t>短信通知</t>
        </is>
      </c>
      <c r="G177" s="17" t="inlineStr">
        <is>
          <t xml:space="preserve"> 提供error级告警短信通知配置技术服务</t>
        </is>
      </c>
      <c r="H177" s="18" t="inlineStr">
        <is>
          <t>EI</t>
        </is>
      </c>
      <c r="I177" s="18">
        <f>IF(H177="ILF",10,IF(H177="EIF",7,IF(H177="EI",4,IF(H177="EO",5,IF(H177="EQ",4,"")))))</f>
        <v/>
      </c>
      <c r="J177" s="18" t="inlineStr">
        <is>
          <t>中</t>
        </is>
      </c>
      <c r="K177" s="18">
        <f>IF(J177="高",0.33,IF(J177="中",0.67,IF(J177="低",1,"")))</f>
        <v/>
      </c>
      <c r="L177" s="18" t="inlineStr">
        <is>
          <t>新增</t>
        </is>
      </c>
      <c r="M177" s="18">
        <f>IF(L177="新增",1,IF(L177="修改",0.8,IF(L177="删除",0.2,"")))</f>
        <v/>
      </c>
      <c r="N177" s="18">
        <f>I177*K177*M177</f>
        <v/>
      </c>
    </row>
    <row r="178" ht="19" customHeight="1" s="1">
      <c r="B178" s="16" t="n">
        <v>173</v>
      </c>
      <c r="C178" s="16" t="inlineStr">
        <is>
          <t>采集策略多样化定制</t>
        </is>
      </c>
      <c r="D178" s="16" t="inlineStr">
        <is>
          <t>参数阈值管理</t>
        </is>
      </c>
      <c r="E178" s="16" t="inlineStr">
        <is>
          <t>告警级别</t>
        </is>
      </c>
      <c r="F178" s="16" t="inlineStr">
        <is>
          <t>APP推送</t>
        </is>
      </c>
      <c r="G178" s="17" t="inlineStr">
        <is>
          <t xml:space="preserve"> 提供warning/info级告警APP推送配置技术服务</t>
        </is>
      </c>
      <c r="H178" s="18" t="inlineStr">
        <is>
          <t>EI</t>
        </is>
      </c>
      <c r="I178" s="18">
        <f>IF(H178="ILF",10,IF(H178="EIF",7,IF(H178="EI",4,IF(H178="EO",5,IF(H178="EQ",4,"")))))</f>
        <v/>
      </c>
      <c r="J178" s="18" t="inlineStr">
        <is>
          <t>中</t>
        </is>
      </c>
      <c r="K178" s="18">
        <f>IF(J178="高",0.33,IF(J178="中",0.67,IF(J178="低",1,"")))</f>
        <v/>
      </c>
      <c r="L178" s="18" t="inlineStr">
        <is>
          <t>新增</t>
        </is>
      </c>
      <c r="M178" s="18">
        <f>IF(L178="新增",1,IF(L178="修改",0.8,IF(L178="删除",0.2,"")))</f>
        <v/>
      </c>
      <c r="N178" s="18">
        <f>I178*K178*M178</f>
        <v/>
      </c>
    </row>
    <row r="179" ht="19" customHeight="1" s="1">
      <c r="B179" s="16" t="n">
        <v>174</v>
      </c>
      <c r="C179" s="16" t="inlineStr">
        <is>
          <t>采集策略多样化定制</t>
        </is>
      </c>
      <c r="D179" s="16" t="inlineStr">
        <is>
          <t>参数阈值管理</t>
        </is>
      </c>
      <c r="E179" s="16" t="inlineStr">
        <is>
          <t>告警级别</t>
        </is>
      </c>
      <c r="F179" s="16" t="inlineStr">
        <is>
          <t>级别自定义</t>
        </is>
      </c>
      <c r="G179" s="17" t="inlineStr">
        <is>
          <t xml:space="preserve"> 提供自定义告警级别创建和管理技术服务</t>
        </is>
      </c>
      <c r="H179" s="18" t="inlineStr">
        <is>
          <t>EI</t>
        </is>
      </c>
      <c r="I179" s="18">
        <f>IF(H179="ILF",10,IF(H179="EIF",7,IF(H179="EI",4,IF(H179="EO",5,IF(H179="EQ",4,"")))))</f>
        <v/>
      </c>
      <c r="J179" s="18" t="inlineStr">
        <is>
          <t>中</t>
        </is>
      </c>
      <c r="K179" s="18">
        <f>IF(J179="高",0.33,IF(J179="中",0.67,IF(J179="低",1,"")))</f>
        <v/>
      </c>
      <c r="L179" s="18" t="inlineStr">
        <is>
          <t>新增</t>
        </is>
      </c>
      <c r="M179" s="18">
        <f>IF(L179="新增",1,IF(L179="修改",0.8,IF(L179="删除",0.2,"")))</f>
        <v/>
      </c>
      <c r="N179" s="18">
        <f>I179*K179*M179</f>
        <v/>
      </c>
    </row>
    <row r="180" ht="19" customHeight="1" s="1">
      <c r="B180" s="16" t="n">
        <v>175</v>
      </c>
      <c r="C180" s="16" t="inlineStr">
        <is>
          <t>采集策略多样化定制</t>
        </is>
      </c>
      <c r="D180" s="16" t="inlineStr">
        <is>
          <t>数据质量校验</t>
        </is>
      </c>
      <c r="E180" s="16" t="inlineStr">
        <is>
          <t>校验规则</t>
        </is>
      </c>
      <c r="F180" s="16" t="inlineStr">
        <is>
          <t>范围校验</t>
        </is>
      </c>
      <c r="G180" s="17" t="inlineStr">
        <is>
          <t xml:space="preserve"> 提供min≤value≤max范围校验规则配置技术服务</t>
        </is>
      </c>
      <c r="H180" s="18" t="inlineStr">
        <is>
          <t>EI</t>
        </is>
      </c>
      <c r="I180" s="18">
        <f>IF(H180="ILF",10,IF(H180="EIF",7,IF(H180="EI",4,IF(H180="EO",5,IF(H180="EQ",4,"")))))</f>
        <v/>
      </c>
      <c r="J180" s="18" t="inlineStr">
        <is>
          <t>中</t>
        </is>
      </c>
      <c r="K180" s="18">
        <f>IF(J180="高",0.33,IF(J180="中",0.67,IF(J180="低",1,"")))</f>
        <v/>
      </c>
      <c r="L180" s="18" t="inlineStr">
        <is>
          <t>新增</t>
        </is>
      </c>
      <c r="M180" s="18">
        <f>IF(L180="新增",1,IF(L180="修改",0.8,IF(L180="删除",0.2,"")))</f>
        <v/>
      </c>
      <c r="N180" s="18">
        <f>I180*K180*M180</f>
        <v/>
      </c>
    </row>
    <row r="181" ht="19" customHeight="1" s="1">
      <c r="B181" s="16" t="n">
        <v>176</v>
      </c>
      <c r="C181" s="16" t="inlineStr">
        <is>
          <t>采集策略多样化定制</t>
        </is>
      </c>
      <c r="D181" s="16" t="inlineStr">
        <is>
          <t>数据质量校验</t>
        </is>
      </c>
      <c r="E181" s="16" t="inlineStr">
        <is>
          <t>校验规则</t>
        </is>
      </c>
      <c r="F181" s="16" t="inlineStr">
        <is>
          <t>跳变校验</t>
        </is>
      </c>
      <c r="G181" s="17" t="inlineStr">
        <is>
          <t xml:space="preserve"> 提供相邻值差异超阈值的跳变校验规则配置技术服务</t>
        </is>
      </c>
      <c r="H181" s="18" t="inlineStr">
        <is>
          <t>EI</t>
        </is>
      </c>
      <c r="I181" s="18">
        <f>IF(H181="ILF",10,IF(H181="EIF",7,IF(H181="EI",4,IF(H181="EO",5,IF(H181="EQ",4,"")))))</f>
        <v/>
      </c>
      <c r="J181" s="18" t="inlineStr">
        <is>
          <t>中</t>
        </is>
      </c>
      <c r="K181" s="18">
        <f>IF(J181="高",0.33,IF(J181="中",0.67,IF(J181="低",1,"")))</f>
        <v/>
      </c>
      <c r="L181" s="18" t="inlineStr">
        <is>
          <t>新增</t>
        </is>
      </c>
      <c r="M181" s="18">
        <f>IF(L181="新增",1,IF(L181="修改",0.8,IF(L181="删除",0.2,"")))</f>
        <v/>
      </c>
      <c r="N181" s="18">
        <f>I181*K181*M181</f>
        <v/>
      </c>
    </row>
    <row r="182" ht="19" customHeight="1" s="1">
      <c r="B182" s="16" t="n">
        <v>177</v>
      </c>
      <c r="C182" s="16" t="inlineStr">
        <is>
          <t>采集策略多样化定制</t>
        </is>
      </c>
      <c r="D182" s="16" t="inlineStr">
        <is>
          <t>数据质量校验</t>
        </is>
      </c>
      <c r="E182" s="16" t="inlineStr">
        <is>
          <t>校验规则</t>
        </is>
      </c>
      <c r="F182" s="16" t="inlineStr">
        <is>
          <t>完整性校验</t>
        </is>
      </c>
      <c r="G182" s="17" t="inlineStr">
        <is>
          <t xml:space="preserve"> 提供采集率≥99%完整性校验规则配置技术服务</t>
        </is>
      </c>
      <c r="H182" s="18" t="inlineStr">
        <is>
          <t>EI</t>
        </is>
      </c>
      <c r="I182" s="18">
        <f>IF(H182="ILF",10,IF(H182="EIF",7,IF(H182="EI",4,IF(H182="EO",5,IF(H182="EQ",4,"")))))</f>
        <v/>
      </c>
      <c r="J182" s="18" t="inlineStr">
        <is>
          <t>中</t>
        </is>
      </c>
      <c r="K182" s="18">
        <f>IF(J182="高",0.33,IF(J182="中",0.67,IF(J182="低",1,"")))</f>
        <v/>
      </c>
      <c r="L182" s="18" t="inlineStr">
        <is>
          <t>新增</t>
        </is>
      </c>
      <c r="M182" s="18">
        <f>IF(L182="新增",1,IF(L182="修改",0.8,IF(L182="删除",0.2,"")))</f>
        <v/>
      </c>
      <c r="N182" s="18">
        <f>I182*K182*M182</f>
        <v/>
      </c>
    </row>
    <row r="183" ht="19" customHeight="1" s="1">
      <c r="B183" s="16" t="n">
        <v>178</v>
      </c>
      <c r="C183" s="16" t="inlineStr">
        <is>
          <t>采集策略多样化定制</t>
        </is>
      </c>
      <c r="D183" s="16" t="inlineStr">
        <is>
          <t>数据质量校验</t>
        </is>
      </c>
      <c r="E183" s="16" t="inlineStr">
        <is>
          <t>校验规则</t>
        </is>
      </c>
      <c r="F183" s="16" t="inlineStr">
        <is>
          <t>时效性校验</t>
        </is>
      </c>
      <c r="G183" s="17" t="inlineStr">
        <is>
          <t xml:space="preserve"> 提供时间戳在预期窗口±60秒内校验规则配置技术服务</t>
        </is>
      </c>
      <c r="H183" s="18" t="inlineStr">
        <is>
          <t>EI</t>
        </is>
      </c>
      <c r="I183" s="18">
        <f>IF(H183="ILF",10,IF(H183="EIF",7,IF(H183="EI",4,IF(H183="EO",5,IF(H183="EQ",4,"")))))</f>
        <v/>
      </c>
      <c r="J183" s="18" t="inlineStr">
        <is>
          <t>中</t>
        </is>
      </c>
      <c r="K183" s="18">
        <f>IF(J183="高",0.33,IF(J183="中",0.67,IF(J183="低",1,"")))</f>
        <v/>
      </c>
      <c r="L183" s="18" t="inlineStr">
        <is>
          <t>新增</t>
        </is>
      </c>
      <c r="M183" s="18">
        <f>IF(L183="新增",1,IF(L183="修改",0.8,IF(L183="删除",0.2,"")))</f>
        <v/>
      </c>
      <c r="N183" s="18">
        <f>I183*K183*M183</f>
        <v/>
      </c>
    </row>
    <row r="184" ht="19" customHeight="1" s="1">
      <c r="B184" s="16" t="n">
        <v>179</v>
      </c>
      <c r="C184" s="16" t="inlineStr">
        <is>
          <t>采集策略多样化定制</t>
        </is>
      </c>
      <c r="D184" s="16" t="inlineStr">
        <is>
          <t>数据质量校验</t>
        </is>
      </c>
      <c r="E184" s="16" t="inlineStr">
        <is>
          <t>校验规则</t>
        </is>
      </c>
      <c r="F184" s="16" t="inlineStr">
        <is>
          <t>一致性校验</t>
        </is>
      </c>
      <c r="G184" s="17" t="inlineStr">
        <is>
          <t xml:space="preserve"> 提供关联数据逻辑一致性校验规则配置技术服务</t>
        </is>
      </c>
      <c r="H184" s="18" t="inlineStr">
        <is>
          <t>EI</t>
        </is>
      </c>
      <c r="I184" s="18">
        <f>IF(H184="ILF",10,IF(H184="EIF",7,IF(H184="EI",4,IF(H184="EO",5,IF(H184="EQ",4,"")))))</f>
        <v/>
      </c>
      <c r="J184" s="18" t="inlineStr">
        <is>
          <t>中</t>
        </is>
      </c>
      <c r="K184" s="18">
        <f>IF(J184="高",0.33,IF(J184="中",0.67,IF(J184="低",1,"")))</f>
        <v/>
      </c>
      <c r="L184" s="18" t="inlineStr">
        <is>
          <t>新增</t>
        </is>
      </c>
      <c r="M184" s="18">
        <f>IF(L184="新增",1,IF(L184="修改",0.8,IF(L184="删除",0.2,"")))</f>
        <v/>
      </c>
      <c r="N184" s="18">
        <f>I184*K184*M184</f>
        <v/>
      </c>
    </row>
    <row r="185" ht="19" customHeight="1" s="1">
      <c r="B185" s="16" t="n">
        <v>180</v>
      </c>
      <c r="C185" s="16" t="inlineStr">
        <is>
          <t>采集策略多样化定制</t>
        </is>
      </c>
      <c r="D185" s="16" t="inlineStr">
        <is>
          <t>数据质量校验</t>
        </is>
      </c>
      <c r="E185" s="16" t="inlineStr">
        <is>
          <t>校验规则</t>
        </is>
      </c>
      <c r="F185" s="16" t="inlineStr">
        <is>
          <t>规则热加载</t>
        </is>
      </c>
      <c r="G185" s="17" t="inlineStr">
        <is>
          <t xml:space="preserve"> 提供校验规则变更后热加载生效的技术服务</t>
        </is>
      </c>
      <c r="H185" s="18" t="inlineStr">
        <is>
          <t>EI</t>
        </is>
      </c>
      <c r="I185" s="18">
        <f>IF(H185="ILF",10,IF(H185="EIF",7,IF(H185="EI",4,IF(H185="EO",5,IF(H185="EQ",4,"")))))</f>
        <v/>
      </c>
      <c r="J185" s="18" t="inlineStr">
        <is>
          <t>中</t>
        </is>
      </c>
      <c r="K185" s="18">
        <f>IF(J185="高",0.33,IF(J185="中",0.67,IF(J185="低",1,"")))</f>
        <v/>
      </c>
      <c r="L185" s="18" t="inlineStr">
        <is>
          <t>新增</t>
        </is>
      </c>
      <c r="M185" s="18">
        <f>IF(L185="新增",1,IF(L185="修改",0.8,IF(L185="删除",0.2,"")))</f>
        <v/>
      </c>
      <c r="N185" s="18">
        <f>I185*K185*M185</f>
        <v/>
      </c>
    </row>
    <row r="186" ht="19" customHeight="1" s="1">
      <c r="B186" s="16" t="n">
        <v>181</v>
      </c>
      <c r="C186" s="16" t="inlineStr">
        <is>
          <t>采集策略多样化定制</t>
        </is>
      </c>
      <c r="D186" s="16" t="inlineStr">
        <is>
          <t>数据质量校验</t>
        </is>
      </c>
      <c r="E186" s="16" t="inlineStr">
        <is>
          <t>校验规则</t>
        </is>
      </c>
      <c r="F186" s="16" t="inlineStr">
        <is>
          <t>规则版本</t>
        </is>
      </c>
      <c r="G186" s="17" t="inlineStr">
        <is>
          <t xml:space="preserve"> 提供校验规则版本变更历史追溯技术服务</t>
        </is>
      </c>
      <c r="H186" s="18" t="inlineStr">
        <is>
          <t>EI</t>
        </is>
      </c>
      <c r="I186" s="18">
        <f>IF(H186="ILF",10,IF(H186="EIF",7,IF(H186="EI",4,IF(H186="EO",5,IF(H186="EQ",4,"")))))</f>
        <v/>
      </c>
      <c r="J186" s="18" t="inlineStr">
        <is>
          <t>中</t>
        </is>
      </c>
      <c r="K186" s="18">
        <f>IF(J186="高",0.33,IF(J186="中",0.67,IF(J186="低",1,"")))</f>
        <v/>
      </c>
      <c r="L186" s="18" t="inlineStr">
        <is>
          <t>新增</t>
        </is>
      </c>
      <c r="M186" s="18">
        <f>IF(L186="新增",1,IF(L186="修改",0.8,IF(L186="删除",0.2,"")))</f>
        <v/>
      </c>
      <c r="N186" s="18">
        <f>I186*K186*M186</f>
        <v/>
      </c>
    </row>
    <row r="187" ht="19" customHeight="1" s="1">
      <c r="B187" s="16" t="n">
        <v>182</v>
      </c>
      <c r="C187" s="16" t="inlineStr">
        <is>
          <t>采集策略多样化定制</t>
        </is>
      </c>
      <c r="D187" s="16" t="inlineStr">
        <is>
          <t>数据质量校验</t>
        </is>
      </c>
      <c r="E187" s="16" t="inlineStr">
        <is>
          <t>校验规则</t>
        </is>
      </c>
      <c r="F187" s="16" t="inlineStr">
        <is>
          <t>规则批量配置</t>
        </is>
      </c>
      <c r="G187" s="17" t="inlineStr">
        <is>
          <t xml:space="preserve"> 提供校验规则按设备类型批量配置技术服务</t>
        </is>
      </c>
      <c r="H187" s="18" t="inlineStr">
        <is>
          <t>EI</t>
        </is>
      </c>
      <c r="I187" s="18">
        <f>IF(H187="ILF",10,IF(H187="EIF",7,IF(H187="EI",4,IF(H187="EO",5,IF(H187="EQ",4,"")))))</f>
        <v/>
      </c>
      <c r="J187" s="18" t="inlineStr">
        <is>
          <t>中</t>
        </is>
      </c>
      <c r="K187" s="18">
        <f>IF(J187="高",0.33,IF(J187="中",0.67,IF(J187="低",1,"")))</f>
        <v/>
      </c>
      <c r="L187" s="18" t="inlineStr">
        <is>
          <t>新增</t>
        </is>
      </c>
      <c r="M187" s="18">
        <f>IF(L187="新增",1,IF(L187="修改",0.8,IF(L187="删除",0.2,"")))</f>
        <v/>
      </c>
      <c r="N187" s="18">
        <f>I187*K187*M187</f>
        <v/>
      </c>
    </row>
    <row r="188" ht="19" customHeight="1" s="1">
      <c r="B188" s="16" t="n">
        <v>183</v>
      </c>
      <c r="C188" s="16" t="inlineStr">
        <is>
          <t>采集策略多样化定制</t>
        </is>
      </c>
      <c r="D188" s="16" t="inlineStr">
        <is>
          <t>数据质量校验</t>
        </is>
      </c>
      <c r="E188" s="16" t="inlineStr">
        <is>
          <t>异常隔离</t>
        </is>
      </c>
      <c r="F188" s="16" t="inlineStr">
        <is>
          <t>quality打标</t>
        </is>
      </c>
      <c r="G188" s="17" t="inlineStr">
        <is>
          <t xml:space="preserve"> 提供校验结果自动标注quality 0/64/128的技术服务</t>
        </is>
      </c>
      <c r="H188" s="18" t="inlineStr">
        <is>
          <t>EI</t>
        </is>
      </c>
      <c r="I188" s="18">
        <f>IF(H188="ILF",10,IF(H188="EIF",7,IF(H188="EI",4,IF(H188="EO",5,IF(H188="EQ",4,"")))))</f>
        <v/>
      </c>
      <c r="J188" s="18" t="inlineStr">
        <is>
          <t>中</t>
        </is>
      </c>
      <c r="K188" s="18">
        <f>IF(J188="高",0.33,IF(J188="中",0.67,IF(J188="低",1,"")))</f>
        <v/>
      </c>
      <c r="L188" s="18" t="inlineStr">
        <is>
          <t>新增</t>
        </is>
      </c>
      <c r="M188" s="18">
        <f>IF(L188="新增",1,IF(L188="修改",0.8,IF(L188="删除",0.2,"")))</f>
        <v/>
      </c>
      <c r="N188" s="18">
        <f>I188*K188*M188</f>
        <v/>
      </c>
    </row>
    <row r="189" ht="19" customHeight="1" s="1">
      <c r="B189" s="16" t="n">
        <v>184</v>
      </c>
      <c r="C189" s="16" t="inlineStr">
        <is>
          <t>采集策略多样化定制</t>
        </is>
      </c>
      <c r="D189" s="16" t="inlineStr">
        <is>
          <t>数据质量校验</t>
        </is>
      </c>
      <c r="E189" s="16" t="inlineStr">
        <is>
          <t>异常隔离</t>
        </is>
      </c>
      <c r="F189" s="16" t="inlineStr">
        <is>
          <t>数据隔离</t>
        </is>
      </c>
      <c r="G189" s="17" t="inlineStr">
        <is>
          <t xml:space="preserve"> 提供异常数据进入隔离区不参与计算和判定的技术服务</t>
        </is>
      </c>
      <c r="H189" s="18" t="inlineStr">
        <is>
          <t>EI</t>
        </is>
      </c>
      <c r="I189" s="18">
        <f>IF(H189="ILF",10,IF(H189="EIF",7,IF(H189="EI",4,IF(H189="EO",5,IF(H189="EQ",4,"")))))</f>
        <v/>
      </c>
      <c r="J189" s="18" t="inlineStr">
        <is>
          <t>中</t>
        </is>
      </c>
      <c r="K189" s="18">
        <f>IF(J189="高",0.33,IF(J189="中",0.67,IF(J189="低",1,"")))</f>
        <v/>
      </c>
      <c r="L189" s="18" t="inlineStr">
        <is>
          <t>新增</t>
        </is>
      </c>
      <c r="M189" s="18">
        <f>IF(L189="新增",1,IF(L189="修改",0.8,IF(L189="删除",0.2,"")))</f>
        <v/>
      </c>
      <c r="N189" s="18">
        <f>I189*K189*M189</f>
        <v/>
      </c>
    </row>
    <row r="190" ht="19" customHeight="1" s="1">
      <c r="B190" s="16" t="n">
        <v>185</v>
      </c>
      <c r="C190" s="16" t="inlineStr">
        <is>
          <t>采集策略多样化定制</t>
        </is>
      </c>
      <c r="D190" s="16" t="inlineStr">
        <is>
          <t>数据质量校验</t>
        </is>
      </c>
      <c r="E190" s="16" t="inlineStr">
        <is>
          <t>异常隔离</t>
        </is>
      </c>
      <c r="F190" s="16" t="inlineStr">
        <is>
          <t>异常统计</t>
        </is>
      </c>
      <c r="G190" s="17" t="inlineStr">
        <is>
          <t xml:space="preserve"> 提供异常数据类型和来源的统计分析技术服务</t>
        </is>
      </c>
      <c r="H190" s="18" t="inlineStr">
        <is>
          <t>EI</t>
        </is>
      </c>
      <c r="I190" s="18">
        <f>IF(H190="ILF",10,IF(H190="EIF",7,IF(H190="EI",4,IF(H190="EO",5,IF(H190="EQ",4,"")))))</f>
        <v/>
      </c>
      <c r="J190" s="18" t="inlineStr">
        <is>
          <t>中</t>
        </is>
      </c>
      <c r="K190" s="18">
        <f>IF(J190="高",0.33,IF(J190="中",0.67,IF(J190="低",1,"")))</f>
        <v/>
      </c>
      <c r="L190" s="18" t="inlineStr">
        <is>
          <t>新增</t>
        </is>
      </c>
      <c r="M190" s="18">
        <f>IF(L190="新增",1,IF(L190="修改",0.8,IF(L190="删除",0.2,"")))</f>
        <v/>
      </c>
      <c r="N190" s="18">
        <f>I190*K190*M190</f>
        <v/>
      </c>
    </row>
    <row r="191" ht="19" customHeight="1" s="1">
      <c r="B191" s="16" t="n">
        <v>186</v>
      </c>
      <c r="C191" s="16" t="inlineStr">
        <is>
          <t>采集策略多样化定制</t>
        </is>
      </c>
      <c r="D191" s="16" t="inlineStr">
        <is>
          <t>数据质量校验</t>
        </is>
      </c>
      <c r="E191" s="16" t="inlineStr">
        <is>
          <t>异常隔离</t>
        </is>
      </c>
      <c r="F191" s="16" t="inlineStr">
        <is>
          <t>异常告警</t>
        </is>
      </c>
      <c r="G191" s="17" t="inlineStr">
        <is>
          <t xml:space="preserve"> 提供异常数据比例超阈值触发告警的技术服务</t>
        </is>
      </c>
      <c r="H191" s="18" t="inlineStr">
        <is>
          <t>EI</t>
        </is>
      </c>
      <c r="I191" s="18">
        <f>IF(H191="ILF",10,IF(H191="EIF",7,IF(H191="EI",4,IF(H191="EO",5,IF(H191="EQ",4,"")))))</f>
        <v/>
      </c>
      <c r="J191" s="18" t="inlineStr">
        <is>
          <t>中</t>
        </is>
      </c>
      <c r="K191" s="18">
        <f>IF(J191="高",0.33,IF(J191="中",0.67,IF(J191="低",1,"")))</f>
        <v/>
      </c>
      <c r="L191" s="18" t="inlineStr">
        <is>
          <t>新增</t>
        </is>
      </c>
      <c r="M191" s="18">
        <f>IF(L191="新增",1,IF(L191="修改",0.8,IF(L191="删除",0.2,"")))</f>
        <v/>
      </c>
      <c r="N191" s="18">
        <f>I191*K191*M191</f>
        <v/>
      </c>
    </row>
    <row r="192" ht="19" customHeight="1" s="1">
      <c r="B192" s="16" t="n">
        <v>187</v>
      </c>
      <c r="C192" s="16" t="inlineStr">
        <is>
          <t>采集策略多样化定制</t>
        </is>
      </c>
      <c r="D192" s="16" t="inlineStr">
        <is>
          <t>设备物模型构建</t>
        </is>
      </c>
      <c r="E192" s="16" t="inlineStr">
        <is>
          <t>模型校验管理</t>
        </is>
      </c>
      <c r="F192" s="16" t="inlineStr">
        <is>
          <t>物模型一致性校验</t>
        </is>
      </c>
      <c r="G192" s="17" t="inlineStr">
        <is>
          <t xml:space="preserve"> 提供物模型与实际设备参数一致性校验服务</t>
        </is>
      </c>
      <c r="H192" s="18" t="inlineStr">
        <is>
          <t>EI</t>
        </is>
      </c>
      <c r="I192" s="18">
        <f>IF(H192="ILF",10,IF(H192="EIF",7,IF(H192="EI",4,IF(H192="EO",5,IF(H192="EQ",4,"")))))</f>
        <v/>
      </c>
      <c r="J192" s="18" t="inlineStr">
        <is>
          <t>高</t>
        </is>
      </c>
      <c r="K192" s="18">
        <f>IF(J192="高",0.33,IF(J192="中",0.67,IF(J192="低",1,"")))</f>
        <v/>
      </c>
      <c r="L192" s="18" t="inlineStr">
        <is>
          <t>新增</t>
        </is>
      </c>
      <c r="M192" s="18">
        <f>IF(L192="新增",1,IF(L192="修改",0.8,IF(L192="删除",0.2,"")))</f>
        <v/>
      </c>
      <c r="N192" s="18">
        <f>I192*K192*M192</f>
        <v/>
      </c>
    </row>
    <row r="193" ht="19" customHeight="1" s="1">
      <c r="B193" s="16" t="n">
        <v>188</v>
      </c>
      <c r="C193" s="16" t="inlineStr">
        <is>
          <t>采集策略多样化定制</t>
        </is>
      </c>
      <c r="D193" s="16" t="inlineStr">
        <is>
          <t>设备物模型构建</t>
        </is>
      </c>
      <c r="E193" s="16" t="inlineStr">
        <is>
          <t>模型校验管理</t>
        </is>
      </c>
      <c r="F193" s="16" t="inlineStr">
        <is>
          <t>物模型完整性校验</t>
        </is>
      </c>
      <c r="G193" s="17" t="inlineStr">
        <is>
          <t xml:space="preserve"> 提供物模型参数完整性校验服务</t>
        </is>
      </c>
      <c r="H193" s="18" t="inlineStr">
        <is>
          <t>EI</t>
        </is>
      </c>
      <c r="I193" s="18">
        <f>IF(H193="ILF",10,IF(H193="EIF",7,IF(H193="EI",4,IF(H193="EO",5,IF(H193="EQ",4,"")))))</f>
        <v/>
      </c>
      <c r="J193" s="18" t="inlineStr">
        <is>
          <t>高</t>
        </is>
      </c>
      <c r="K193" s="18">
        <f>IF(J193="高",0.33,IF(J193="中",0.67,IF(J193="低",1,"")))</f>
        <v/>
      </c>
      <c r="L193" s="18" t="inlineStr">
        <is>
          <t>新增</t>
        </is>
      </c>
      <c r="M193" s="18">
        <f>IF(L193="新增",1,IF(L193="修改",0.8,IF(L193="删除",0.2,"")))</f>
        <v/>
      </c>
      <c r="N193" s="18">
        <f>I193*K193*M193</f>
        <v/>
      </c>
    </row>
    <row r="194" ht="19" customHeight="1" s="1">
      <c r="B194" s="16" t="n">
        <v>189</v>
      </c>
      <c r="C194" s="16" t="inlineStr">
        <is>
          <t>采集策略多样化定制</t>
        </is>
      </c>
      <c r="D194" s="16" t="inlineStr">
        <is>
          <t>参数阈值管理</t>
        </is>
      </c>
      <c r="E194" s="16" t="inlineStr">
        <is>
          <t>告警策略管理</t>
        </is>
      </c>
      <c r="F194" s="16" t="inlineStr">
        <is>
          <t>告警降噪策略配置</t>
        </is>
      </c>
      <c r="G194" s="17" t="inlineStr">
        <is>
          <t xml:space="preserve"> 提供告警降噪策略参数配置服务</t>
        </is>
      </c>
      <c r="H194" s="18" t="inlineStr">
        <is>
          <t>EI</t>
        </is>
      </c>
      <c r="I194" s="18">
        <f>IF(H194="ILF",10,IF(H194="EIF",7,IF(H194="EI",4,IF(H194="EO",5,IF(H194="EQ",4,"")))))</f>
        <v/>
      </c>
      <c r="J194" s="18" t="inlineStr">
        <is>
          <t>高</t>
        </is>
      </c>
      <c r="K194" s="18">
        <f>IF(J194="高",0.33,IF(J194="中",0.67,IF(J194="低",1,"")))</f>
        <v/>
      </c>
      <c r="L194" s="18" t="inlineStr">
        <is>
          <t>新增</t>
        </is>
      </c>
      <c r="M194" s="18">
        <f>IF(L194="新增",1,IF(L194="修改",0.8,IF(L194="删除",0.2,"")))</f>
        <v/>
      </c>
      <c r="N194" s="18">
        <f>I194*K194*M194</f>
        <v/>
      </c>
    </row>
    <row r="195" ht="19" customHeight="1" s="1">
      <c r="B195" s="16" t="n">
        <v>190</v>
      </c>
      <c r="C195" s="16" t="inlineStr">
        <is>
          <t>采集策略多样化定制</t>
        </is>
      </c>
      <c r="D195" s="16" t="inlineStr">
        <is>
          <t>参数阈值管理</t>
        </is>
      </c>
      <c r="E195" s="16" t="inlineStr">
        <is>
          <t>告警策略管理</t>
        </is>
      </c>
      <c r="F195" s="16" t="inlineStr">
        <is>
          <t>告警聚合策略配置</t>
        </is>
      </c>
      <c r="G195" s="17" t="inlineStr">
        <is>
          <t xml:space="preserve"> 提供告警聚合策略参数配置服务</t>
        </is>
      </c>
      <c r="H195" s="18" t="inlineStr">
        <is>
          <t>EI</t>
        </is>
      </c>
      <c r="I195" s="18">
        <f>IF(H195="ILF",10,IF(H195="EIF",7,IF(H195="EI",4,IF(H195="EO",5,IF(H195="EQ",4,"")))))</f>
        <v/>
      </c>
      <c r="J195" s="18" t="inlineStr">
        <is>
          <t>高</t>
        </is>
      </c>
      <c r="K195" s="18">
        <f>IF(J195="高",0.33,IF(J195="中",0.67,IF(J195="低",1,"")))</f>
        <v/>
      </c>
      <c r="L195" s="18" t="inlineStr">
        <is>
          <t>新增</t>
        </is>
      </c>
      <c r="M195" s="18">
        <f>IF(L195="新增",1,IF(L195="修改",0.8,IF(L195="删除",0.2,"")))</f>
        <v/>
      </c>
      <c r="N195" s="18">
        <f>I195*K195*M195</f>
        <v/>
      </c>
    </row>
    <row r="196" ht="19" customHeight="1" s="1">
      <c r="B196" s="16" t="n">
        <v>191</v>
      </c>
      <c r="C196" s="16" t="inlineStr">
        <is>
          <t>采集策略多样化定制</t>
        </is>
      </c>
      <c r="D196" s="16" t="inlineStr">
        <is>
          <t>参数阈值管理</t>
        </is>
      </c>
      <c r="E196" s="16" t="inlineStr">
        <is>
          <t>告警策略管理</t>
        </is>
      </c>
      <c r="F196" s="16" t="inlineStr">
        <is>
          <t>告警抑制策略配置</t>
        </is>
      </c>
      <c r="G196" s="17" t="inlineStr">
        <is>
          <t xml:space="preserve"> 提供告警抑制策略参数配置服务</t>
        </is>
      </c>
      <c r="H196" s="18" t="inlineStr">
        <is>
          <t>EO</t>
        </is>
      </c>
      <c r="I196" s="18">
        <f>IF(H196="ILF",10,IF(H196="EIF",7,IF(H196="EI",4,IF(H196="EO",5,IF(H196="EQ",4,"")))))</f>
        <v/>
      </c>
      <c r="J196" s="18" t="inlineStr">
        <is>
          <t>低</t>
        </is>
      </c>
      <c r="K196" s="18">
        <f>IF(J196="高",0.33,IF(J196="中",0.67,IF(J196="低",1,"")))</f>
        <v/>
      </c>
      <c r="L196" s="18" t="inlineStr">
        <is>
          <t>新增</t>
        </is>
      </c>
      <c r="M196" s="18">
        <f>IF(L196="新增",1,IF(L196="修改",0.8,IF(L196="删除",0.2,"")))</f>
        <v/>
      </c>
      <c r="N196" s="18">
        <f>I196*K196*M196</f>
        <v/>
      </c>
    </row>
    <row r="197" ht="19" customHeight="1" s="1">
      <c r="B197" s="16" t="n">
        <v>192</v>
      </c>
      <c r="C197" s="16" t="inlineStr">
        <is>
          <t>采集策略多样化定制</t>
        </is>
      </c>
      <c r="D197" s="16" t="inlineStr">
        <is>
          <t>参数阈值管理</t>
        </is>
      </c>
      <c r="E197" s="16" t="inlineStr">
        <is>
          <t>告警策略管理</t>
        </is>
      </c>
      <c r="F197" s="16" t="inlineStr">
        <is>
          <t>设备影子同步策略</t>
        </is>
      </c>
      <c r="G197" s="17" t="inlineStr">
        <is>
          <t xml:space="preserve"> 提供设备影子同步策略配置服务</t>
        </is>
      </c>
      <c r="H197" s="18" t="inlineStr">
        <is>
          <t>EO</t>
        </is>
      </c>
      <c r="I197" s="18">
        <f>IF(H197="ILF",10,IF(H197="EIF",7,IF(H197="EI",4,IF(H197="EO",5,IF(H197="EQ",4,"")))))</f>
        <v/>
      </c>
      <c r="J197" s="18" t="inlineStr">
        <is>
          <t>低</t>
        </is>
      </c>
      <c r="K197" s="18">
        <f>IF(J197="高",0.33,IF(J197="中",0.67,IF(J197="低",1,"")))</f>
        <v/>
      </c>
      <c r="L197" s="18" t="inlineStr">
        <is>
          <t>新增</t>
        </is>
      </c>
      <c r="M197" s="18">
        <f>IF(L197="新增",1,IF(L197="修改",0.8,IF(L197="删除",0.2,"")))</f>
        <v/>
      </c>
      <c r="N197" s="18">
        <f>I197*K197*M197</f>
        <v/>
      </c>
    </row>
    <row r="198" ht="19" customHeight="1" s="1">
      <c r="B198" s="16" t="n">
        <v>193</v>
      </c>
      <c r="C198" s="16" t="inlineStr">
        <is>
          <t>采集策略多样化定制</t>
        </is>
      </c>
      <c r="D198" s="16" t="inlineStr">
        <is>
          <t>数据质量校验</t>
        </is>
      </c>
      <c r="E198" s="16" t="inlineStr">
        <is>
          <t>质量监控服务</t>
        </is>
      </c>
      <c r="F198" s="16" t="inlineStr">
        <is>
          <t>质量趋势分析报表</t>
        </is>
      </c>
      <c r="G198" s="17" t="inlineStr">
        <is>
          <t xml:space="preserve"> 提供数据质量趋势分析报表服务</t>
        </is>
      </c>
      <c r="H198" s="18" t="inlineStr">
        <is>
          <t>EO</t>
        </is>
      </c>
      <c r="I198" s="18">
        <f>IF(H198="ILF",10,IF(H198="EIF",7,IF(H198="EI",4,IF(H198="EO",5,IF(H198="EQ",4,"")))))</f>
        <v/>
      </c>
      <c r="J198" s="18" t="inlineStr">
        <is>
          <t>低</t>
        </is>
      </c>
      <c r="K198" s="18">
        <f>IF(J198="高",0.33,IF(J198="中",0.67,IF(J198="低",1,"")))</f>
        <v/>
      </c>
      <c r="L198" s="18" t="inlineStr">
        <is>
          <t>新增</t>
        </is>
      </c>
      <c r="M198" s="18">
        <f>IF(L198="新增",1,IF(L198="修改",0.8,IF(L198="删除",0.2,"")))</f>
        <v/>
      </c>
      <c r="N198" s="18">
        <f>I198*K198*M198</f>
        <v/>
      </c>
    </row>
    <row r="199" ht="19" customHeight="1" s="1">
      <c r="B199" s="16" t="n">
        <v>194</v>
      </c>
      <c r="C199" s="16" t="inlineStr">
        <is>
          <t>采集策略多样化定制</t>
        </is>
      </c>
      <c r="D199" s="16" t="inlineStr">
        <is>
          <t>数据质量校验</t>
        </is>
      </c>
      <c r="E199" s="16" t="inlineStr">
        <is>
          <t>质量监控服务</t>
        </is>
      </c>
      <c r="F199" s="16" t="inlineStr">
        <is>
          <t>质量异常归集</t>
        </is>
      </c>
      <c r="G199" s="17" t="inlineStr">
        <is>
          <t xml:space="preserve"> 提供数据质量异常归集服务</t>
        </is>
      </c>
      <c r="H199" s="18" t="inlineStr">
        <is>
          <t>EO</t>
        </is>
      </c>
      <c r="I199" s="18">
        <f>IF(H199="ILF",10,IF(H199="EIF",7,IF(H199="EI",4,IF(H199="EO",5,IF(H199="EQ",4,"")))))</f>
        <v/>
      </c>
      <c r="J199" s="18" t="inlineStr">
        <is>
          <t>中</t>
        </is>
      </c>
      <c r="K199" s="18">
        <f>IF(J199="高",0.33,IF(J199="中",0.67,IF(J199="低",1,"")))</f>
        <v/>
      </c>
      <c r="L199" s="18" t="inlineStr">
        <is>
          <t>新增</t>
        </is>
      </c>
      <c r="M199" s="18">
        <f>IF(L199="新增",1,IF(L199="修改",0.8,IF(L199="删除",0.2,"")))</f>
        <v/>
      </c>
      <c r="N199" s="18">
        <f>I199*K199*M199</f>
        <v/>
      </c>
    </row>
    <row r="200" ht="19" customHeight="1" s="1">
      <c r="B200" s="16" t="n">
        <v>195</v>
      </c>
      <c r="C200" s="16" t="inlineStr">
        <is>
          <t>采集策略多样化定制</t>
        </is>
      </c>
      <c r="D200" s="16" t="inlineStr">
        <is>
          <t>设备物模型构建</t>
        </is>
      </c>
      <c r="E200" s="16" t="inlineStr">
        <is>
          <t>物模型同步服务</t>
        </is>
      </c>
      <c r="F200" s="16" t="inlineStr">
        <is>
          <t>物模型增量同步配置</t>
        </is>
      </c>
      <c r="G200" s="17" t="inlineStr">
        <is>
          <t xml:space="preserve"> 提供物模型增量同步策略配置服务</t>
        </is>
      </c>
      <c r="H200" s="18" t="inlineStr">
        <is>
          <t>EO</t>
        </is>
      </c>
      <c r="I200" s="18">
        <f>IF(H200="ILF",10,IF(H200="EIF",7,IF(H200="EI",4,IF(H200="EO",5,IF(H200="EQ",4,"")))))</f>
        <v/>
      </c>
      <c r="J200" s="18" t="inlineStr">
        <is>
          <t>高</t>
        </is>
      </c>
      <c r="K200" s="18">
        <f>IF(J200="高",0.33,IF(J200="中",0.67,IF(J200="低",1,"")))</f>
        <v/>
      </c>
      <c r="L200" s="18" t="inlineStr">
        <is>
          <t>新增</t>
        </is>
      </c>
      <c r="M200" s="18">
        <f>IF(L200="新增",1,IF(L200="修改",0.8,IF(L200="删除",0.2,"")))</f>
        <v/>
      </c>
      <c r="N200" s="18">
        <f>I200*K200*M200</f>
        <v/>
      </c>
    </row>
    <row r="201" ht="19" customHeight="1" s="1">
      <c r="B201" s="16" t="n">
        <v>196</v>
      </c>
      <c r="C201" s="16" t="inlineStr">
        <is>
          <t>采集策略多样化定制</t>
        </is>
      </c>
      <c r="D201" s="16" t="inlineStr">
        <is>
          <t>参数阈值管理</t>
        </is>
      </c>
      <c r="E201" s="16" t="inlineStr">
        <is>
          <t>告警策略管理</t>
        </is>
      </c>
      <c r="F201" s="16" t="inlineStr">
        <is>
          <t>告警静默期配置</t>
        </is>
      </c>
      <c r="G201" s="17" t="inlineStr">
        <is>
          <t xml:space="preserve"> 提供告警静默期参数配置服务</t>
        </is>
      </c>
      <c r="H201" s="18" t="inlineStr">
        <is>
          <t>EO</t>
        </is>
      </c>
      <c r="I201" s="18">
        <f>IF(H201="ILF",10,IF(H201="EIF",7,IF(H201="EI",4,IF(H201="EO",5,IF(H201="EQ",4,"")))))</f>
        <v/>
      </c>
      <c r="J201" s="18" t="inlineStr">
        <is>
          <t>高</t>
        </is>
      </c>
      <c r="K201" s="18">
        <f>IF(J201="高",0.33,IF(J201="中",0.67,IF(J201="低",1,"")))</f>
        <v/>
      </c>
      <c r="L201" s="18" t="inlineStr">
        <is>
          <t>新增</t>
        </is>
      </c>
      <c r="M201" s="18">
        <f>IF(L201="新增",1,IF(L201="修改",0.8,IF(L201="删除",0.2,"")))</f>
        <v/>
      </c>
      <c r="N201" s="18">
        <f>I201*K201*M201</f>
        <v/>
      </c>
    </row>
    <row r="202" ht="19" customHeight="1" s="1">
      <c r="B202" s="16" t="n">
        <v>197</v>
      </c>
      <c r="C202" s="16" t="inlineStr">
        <is>
          <t>采集策略多样化定制</t>
        </is>
      </c>
      <c r="D202" s="16" t="inlineStr">
        <is>
          <t>参数阈值管理</t>
        </is>
      </c>
      <c r="E202" s="16" t="inlineStr">
        <is>
          <t>动态基线</t>
        </is>
      </c>
      <c r="F202" s="16" t="inlineStr">
        <is>
          <t>多参数联合漂移检测</t>
        </is>
      </c>
      <c r="G202" s="17" t="inlineStr">
        <is>
          <t xml:space="preserve"> 提供多参数联合漂移检测技术服务</t>
        </is>
      </c>
      <c r="H202" s="18" t="inlineStr">
        <is>
          <t>EO</t>
        </is>
      </c>
      <c r="I202" s="18">
        <f>IF(H202="ILF",10,IF(H202="EIF",7,IF(H202="EI",4,IF(H202="EO",5,IF(H202="EQ",4,"")))))</f>
        <v/>
      </c>
      <c r="J202" s="18" t="inlineStr">
        <is>
          <t>高</t>
        </is>
      </c>
      <c r="K202" s="18">
        <f>IF(J202="高",0.33,IF(J202="中",0.67,IF(J202="低",1,"")))</f>
        <v/>
      </c>
      <c r="L202" s="18" t="inlineStr">
        <is>
          <t>新增</t>
        </is>
      </c>
      <c r="M202" s="18">
        <f>IF(L202="新增",1,IF(L202="修改",0.8,IF(L202="删除",0.2,"")))</f>
        <v/>
      </c>
      <c r="N202" s="18">
        <f>I202*K202*M202</f>
        <v/>
      </c>
    </row>
    <row r="203" ht="19" customHeight="1" s="1">
      <c r="B203" s="16" t="n">
        <v>198</v>
      </c>
      <c r="C203" s="16" t="inlineStr">
        <is>
          <t>采集策略多样化定制</t>
        </is>
      </c>
      <c r="D203" s="16" t="inlineStr">
        <is>
          <t>设备物模型配置</t>
        </is>
      </c>
      <c r="E203" s="16" t="inlineStr">
        <is>
          <t>G1组物模型</t>
        </is>
      </c>
      <c r="F203" s="16" t="inlineStr">
        <is>
          <t>G1油压定义</t>
        </is>
      </c>
      <c r="G203" s="17" t="inlineStr">
        <is>
          <t xml:space="preserve"> 提供G1组油压参数属性定义技术服务</t>
        </is>
      </c>
      <c r="H203" s="18" t="inlineStr">
        <is>
          <t>EO</t>
        </is>
      </c>
      <c r="I203" s="18">
        <f>IF(H203="ILF",10,IF(H203="EIF",7,IF(H203="EI",4,IF(H203="EO",5,IF(H203="EQ",4,"")))))</f>
        <v/>
      </c>
      <c r="J203" s="18" t="inlineStr">
        <is>
          <t>高</t>
        </is>
      </c>
      <c r="K203" s="18">
        <f>IF(J203="高",0.33,IF(J203="中",0.67,IF(J203="低",1,"")))</f>
        <v/>
      </c>
      <c r="L203" s="18" t="inlineStr">
        <is>
          <t>新增</t>
        </is>
      </c>
      <c r="M203" s="18">
        <f>IF(L203="新增",1,IF(L203="修改",0.8,IF(L203="删除",0.2,"")))</f>
        <v/>
      </c>
      <c r="N203" s="18">
        <f>I203*K203*M203</f>
        <v/>
      </c>
    </row>
    <row r="204" ht="19" customHeight="1" s="1">
      <c r="B204" s="16" t="n">
        <v>199</v>
      </c>
      <c r="C204" s="16" t="inlineStr">
        <is>
          <t>采集策略多样化定制</t>
        </is>
      </c>
      <c r="D204" s="16" t="inlineStr">
        <is>
          <t>设备物模型配置</t>
        </is>
      </c>
      <c r="E204" s="16" t="inlineStr">
        <is>
          <t>G1组物模型</t>
        </is>
      </c>
      <c r="F204" s="16" t="inlineStr">
        <is>
          <t>G1套压定义</t>
        </is>
      </c>
      <c r="G204" s="17" t="inlineStr">
        <is>
          <t xml:space="preserve"> 提供G1组套压参数属性定义技术服务</t>
        </is>
      </c>
      <c r="H204" s="18" t="inlineStr">
        <is>
          <t>EQ</t>
        </is>
      </c>
      <c r="I204" s="18">
        <f>IF(H204="ILF",10,IF(H204="EIF",7,IF(H204="EI",4,IF(H204="EO",5,IF(H204="EQ",4,"")))))</f>
        <v/>
      </c>
      <c r="J204" s="18" t="inlineStr">
        <is>
          <t>低</t>
        </is>
      </c>
      <c r="K204" s="18">
        <f>IF(J204="高",0.33,IF(J204="中",0.67,IF(J204="低",1,"")))</f>
        <v/>
      </c>
      <c r="L204" s="18" t="inlineStr">
        <is>
          <t>新增</t>
        </is>
      </c>
      <c r="M204" s="18">
        <f>IF(L204="新增",1,IF(L204="修改",0.8,IF(L204="删除",0.2,"")))</f>
        <v/>
      </c>
      <c r="N204" s="18">
        <f>I204*K204*M204</f>
        <v/>
      </c>
    </row>
    <row r="205" ht="19" customHeight="1" s="1">
      <c r="B205" s="16" t="n">
        <v>200</v>
      </c>
      <c r="C205" s="16" t="inlineStr">
        <is>
          <t>采集策略多样化定制</t>
        </is>
      </c>
      <c r="D205" s="16" t="inlineStr">
        <is>
          <t>设备物模型配置</t>
        </is>
      </c>
      <c r="E205" s="16" t="inlineStr">
        <is>
          <t>G1组物模型</t>
        </is>
      </c>
      <c r="F205" s="16" t="inlineStr">
        <is>
          <t>G1回压定义</t>
        </is>
      </c>
      <c r="G205" s="17" t="inlineStr">
        <is>
          <t xml:space="preserve"> 提供G1组回压参数属性定义技术服务</t>
        </is>
      </c>
      <c r="H205" s="18" t="inlineStr">
        <is>
          <t>EQ</t>
        </is>
      </c>
      <c r="I205" s="18">
        <f>IF(H205="ILF",10,IF(H205="EIF",7,IF(H205="EI",4,IF(H205="EO",5,IF(H205="EQ",4,"")))))</f>
        <v/>
      </c>
      <c r="J205" s="18" t="inlineStr">
        <is>
          <t>低</t>
        </is>
      </c>
      <c r="K205" s="18">
        <f>IF(J205="高",0.33,IF(J205="中",0.67,IF(J205="低",1,"")))</f>
        <v/>
      </c>
      <c r="L205" s="18" t="inlineStr">
        <is>
          <t>新增</t>
        </is>
      </c>
      <c r="M205" s="18">
        <f>IF(L205="新增",1,IF(L205="修改",0.8,IF(L205="删除",0.2,"")))</f>
        <v/>
      </c>
      <c r="N205" s="18">
        <f>I205*K205*M205</f>
        <v/>
      </c>
    </row>
    <row r="206" ht="19" customHeight="1" s="1">
      <c r="B206" s="16" t="n">
        <v>201</v>
      </c>
      <c r="C206" s="16" t="inlineStr">
        <is>
          <t>采集策略多样化定制</t>
        </is>
      </c>
      <c r="D206" s="16" t="inlineStr">
        <is>
          <t>设备物模型配置</t>
        </is>
      </c>
      <c r="E206" s="16" t="inlineStr">
        <is>
          <t>G1组物模型</t>
        </is>
      </c>
      <c r="F206" s="16" t="inlineStr">
        <is>
          <t>G1温度定义</t>
        </is>
      </c>
      <c r="G206" s="17" t="inlineStr">
        <is>
          <t xml:space="preserve"> 提供G1组温度参数属性定义技术服务</t>
        </is>
      </c>
      <c r="H206" s="18" t="inlineStr">
        <is>
          <t>EQ</t>
        </is>
      </c>
      <c r="I206" s="18">
        <f>IF(H206="ILF",10,IF(H206="EIF",7,IF(H206="EI",4,IF(H206="EO",5,IF(H206="EQ",4,"")))))</f>
        <v/>
      </c>
      <c r="J206" s="18" t="inlineStr">
        <is>
          <t>低</t>
        </is>
      </c>
      <c r="K206" s="18">
        <f>IF(J206="高",0.33,IF(J206="中",0.67,IF(J206="低",1,"")))</f>
        <v/>
      </c>
      <c r="L206" s="18" t="inlineStr">
        <is>
          <t>新增</t>
        </is>
      </c>
      <c r="M206" s="18">
        <f>IF(L206="新增",1,IF(L206="修改",0.8,IF(L206="删除",0.2,"")))</f>
        <v/>
      </c>
      <c r="N206" s="18">
        <f>I206*K206*M206</f>
        <v/>
      </c>
    </row>
    <row r="207" ht="19" customHeight="1" s="1">
      <c r="B207" s="16" t="n">
        <v>202</v>
      </c>
      <c r="C207" s="16" t="inlineStr">
        <is>
          <t>采集策略多样化定制</t>
        </is>
      </c>
      <c r="D207" s="16" t="inlineStr">
        <is>
          <t>设备物模型配置</t>
        </is>
      </c>
      <c r="E207" s="16" t="inlineStr">
        <is>
          <t>G1组物模型</t>
        </is>
      </c>
      <c r="F207" s="16" t="inlineStr">
        <is>
          <t>G1载荷定义</t>
        </is>
      </c>
      <c r="G207" s="17" t="inlineStr">
        <is>
          <t xml:space="preserve"> 提供G1组载荷参数属性定义技术服务</t>
        </is>
      </c>
      <c r="H207" s="18" t="inlineStr">
        <is>
          <t>EQ</t>
        </is>
      </c>
      <c r="I207" s="18">
        <f>IF(H207="ILF",10,IF(H207="EIF",7,IF(H207="EI",4,IF(H207="EO",5,IF(H207="EQ",4,"")))))</f>
        <v/>
      </c>
      <c r="J207" s="18" t="inlineStr">
        <is>
          <t>低</t>
        </is>
      </c>
      <c r="K207" s="18">
        <f>IF(J207="高",0.33,IF(J207="中",0.67,IF(J207="低",1,"")))</f>
        <v/>
      </c>
      <c r="L207" s="18" t="inlineStr">
        <is>
          <t>新增</t>
        </is>
      </c>
      <c r="M207" s="18">
        <f>IF(L207="新增",1,IF(L207="修改",0.8,IF(L207="删除",0.2,"")))</f>
        <v/>
      </c>
      <c r="N207" s="18">
        <f>I207*K207*M207</f>
        <v/>
      </c>
    </row>
    <row r="208" ht="19" customHeight="1" s="1">
      <c r="B208" s="16" t="n">
        <v>203</v>
      </c>
      <c r="C208" s="16" t="inlineStr">
        <is>
          <t>采集策略多样化定制</t>
        </is>
      </c>
      <c r="D208" s="16" t="inlineStr">
        <is>
          <t>设备物模型配置</t>
        </is>
      </c>
      <c r="E208" s="16" t="inlineStr">
        <is>
          <t>G1组物模型</t>
        </is>
      </c>
      <c r="F208" s="16" t="inlineStr">
        <is>
          <t>G1位移定义</t>
        </is>
      </c>
      <c r="G208" s="17" t="inlineStr">
        <is>
          <t xml:space="preserve"> 提供G1组位移参数属性定义技术服务</t>
        </is>
      </c>
      <c r="H208" s="18" t="inlineStr">
        <is>
          <t>EQ</t>
        </is>
      </c>
      <c r="I208" s="18">
        <f>IF(H208="ILF",10,IF(H208="EIF",7,IF(H208="EI",4,IF(H208="EO",5,IF(H208="EQ",4,"")))))</f>
        <v/>
      </c>
      <c r="J208" s="18" t="inlineStr">
        <is>
          <t>低</t>
        </is>
      </c>
      <c r="K208" s="18">
        <f>IF(J208="高",0.33,IF(J208="中",0.67,IF(J208="低",1,"")))</f>
        <v/>
      </c>
      <c r="L208" s="18" t="inlineStr">
        <is>
          <t>新增</t>
        </is>
      </c>
      <c r="M208" s="18">
        <f>IF(L208="新增",1,IF(L208="修改",0.8,IF(L208="删除",0.2,"")))</f>
        <v/>
      </c>
      <c r="N208" s="18">
        <f>I208*K208*M208</f>
        <v/>
      </c>
    </row>
    <row r="209" ht="19" customHeight="1" s="1">
      <c r="B209" s="16" t="n">
        <v>204</v>
      </c>
      <c r="C209" s="16" t="inlineStr">
        <is>
          <t>采集策略多样化定制</t>
        </is>
      </c>
      <c r="D209" s="16" t="inlineStr">
        <is>
          <t>设备物模型配置</t>
        </is>
      </c>
      <c r="E209" s="16" t="inlineStr">
        <is>
          <t>G1组物模型</t>
        </is>
      </c>
      <c r="F209" s="16" t="inlineStr">
        <is>
          <t>G1寄存器映射</t>
        </is>
      </c>
      <c r="G209" s="17" t="inlineStr">
        <is>
          <t xml:space="preserve"> 提供G1组Modbus寄存器40300-40319地址映射技术服务</t>
        </is>
      </c>
      <c r="H209" s="18" t="inlineStr">
        <is>
          <t>EQ</t>
        </is>
      </c>
      <c r="I209" s="18">
        <f>IF(H209="ILF",10,IF(H209="EIF",7,IF(H209="EI",4,IF(H209="EO",5,IF(H209="EQ",4,"")))))</f>
        <v/>
      </c>
      <c r="J209" s="18" t="inlineStr">
        <is>
          <t>低</t>
        </is>
      </c>
      <c r="K209" s="18">
        <f>IF(J209="高",0.33,IF(J209="中",0.67,IF(J209="低",1,"")))</f>
        <v/>
      </c>
      <c r="L209" s="18" t="inlineStr">
        <is>
          <t>新增</t>
        </is>
      </c>
      <c r="M209" s="18">
        <f>IF(L209="新增",1,IF(L209="修改",0.8,IF(L209="删除",0.2,"")))</f>
        <v/>
      </c>
      <c r="N209" s="18">
        <f>I209*K209*M209</f>
        <v/>
      </c>
    </row>
    <row r="210" ht="19" customHeight="1" s="1">
      <c r="B210" s="16" t="n">
        <v>205</v>
      </c>
      <c r="C210" s="16" t="inlineStr">
        <is>
          <t>采集策略多样化定制</t>
        </is>
      </c>
      <c r="D210" s="16" t="inlineStr">
        <is>
          <t>设备物模型配置</t>
        </is>
      </c>
      <c r="E210" s="16" t="inlineStr">
        <is>
          <t>G1组物模型</t>
        </is>
      </c>
      <c r="F210" s="16" t="inlineStr">
        <is>
          <t>G1数据类型</t>
        </is>
      </c>
      <c r="G210" s="17" t="inlineStr">
        <is>
          <t xml:space="preserve"> 提供G1组各参数FLOAT/INT数据类型定义技术服务</t>
        </is>
      </c>
      <c r="H210" s="18" t="inlineStr">
        <is>
          <t>EQ</t>
        </is>
      </c>
      <c r="I210" s="18">
        <f>IF(H210="ILF",10,IF(H210="EIF",7,IF(H210="EI",4,IF(H210="EO",5,IF(H210="EQ",4,"")))))</f>
        <v/>
      </c>
      <c r="J210" s="18" t="inlineStr">
        <is>
          <t>低</t>
        </is>
      </c>
      <c r="K210" s="18">
        <f>IF(J210="高",0.33,IF(J210="中",0.67,IF(J210="低",1,"")))</f>
        <v/>
      </c>
      <c r="L210" s="18" t="inlineStr">
        <is>
          <t>新增</t>
        </is>
      </c>
      <c r="M210" s="18">
        <f>IF(L210="新增",1,IF(L210="修改",0.8,IF(L210="删除",0.2,"")))</f>
        <v/>
      </c>
      <c r="N210" s="18">
        <f>I210*K210*M210</f>
        <v/>
      </c>
    </row>
    <row r="211" ht="19" customHeight="1" s="1">
      <c r="B211" s="16" t="n">
        <v>206</v>
      </c>
      <c r="C211" s="16" t="inlineStr">
        <is>
          <t>采集策略多样化定制</t>
        </is>
      </c>
      <c r="D211" s="16" t="inlineStr">
        <is>
          <t>设备物模型配置</t>
        </is>
      </c>
      <c r="E211" s="16" t="inlineStr">
        <is>
          <t>G1组物模型</t>
        </is>
      </c>
      <c r="F211" s="16" t="inlineStr">
        <is>
          <t>G1单位统一</t>
        </is>
      </c>
      <c r="G211" s="17" t="inlineStr">
        <is>
          <t xml:space="preserve"> 提供G1组各参数MPa/℃/kN/m等单位统一技术服务</t>
        </is>
      </c>
      <c r="H211" s="18" t="inlineStr">
        <is>
          <t>EQ</t>
        </is>
      </c>
      <c r="I211" s="18">
        <f>IF(H211="ILF",10,IF(H211="EIF",7,IF(H211="EI",4,IF(H211="EO",5,IF(H211="EQ",4,"")))))</f>
        <v/>
      </c>
      <c r="J211" s="18" t="inlineStr">
        <is>
          <t>低</t>
        </is>
      </c>
      <c r="K211" s="18">
        <f>IF(J211="高",0.33,IF(J211="中",0.67,IF(J211="低",1,"")))</f>
        <v/>
      </c>
      <c r="L211" s="18" t="inlineStr">
        <is>
          <t>新增</t>
        </is>
      </c>
      <c r="M211" s="18">
        <f>IF(L211="新增",1,IF(L211="修改",0.8,IF(L211="删除",0.2,"")))</f>
        <v/>
      </c>
      <c r="N211" s="18">
        <f>I211*K211*M211</f>
        <v/>
      </c>
    </row>
    <row r="212" ht="19" customHeight="1" s="1">
      <c r="B212" s="16" t="n">
        <v>207</v>
      </c>
      <c r="C212" s="16" t="inlineStr">
        <is>
          <t>采集策略多样化定制</t>
        </is>
      </c>
      <c r="D212" s="16" t="inlineStr">
        <is>
          <t>设备物模型配置</t>
        </is>
      </c>
      <c r="E212" s="16" t="inlineStr">
        <is>
          <t>G1组物模型</t>
        </is>
      </c>
      <c r="F212" s="16" t="inlineStr">
        <is>
          <t>G1量程定义</t>
        </is>
      </c>
      <c r="G212" s="17" t="inlineStr">
        <is>
          <t xml:space="preserve"> 提供G1组各参数量程min/max范围定义技术服务</t>
        </is>
      </c>
      <c r="H212" s="18" t="inlineStr">
        <is>
          <t>EQ</t>
        </is>
      </c>
      <c r="I212" s="18">
        <f>IF(H212="ILF",10,IF(H212="EIF",7,IF(H212="EI",4,IF(H212="EO",5,IF(H212="EQ",4,"")))))</f>
        <v/>
      </c>
      <c r="J212" s="18" t="inlineStr">
        <is>
          <t>低</t>
        </is>
      </c>
      <c r="K212" s="18">
        <f>IF(J212="高",0.33,IF(J212="中",0.67,IF(J212="低",1,"")))</f>
        <v/>
      </c>
      <c r="L212" s="18" t="inlineStr">
        <is>
          <t>新增</t>
        </is>
      </c>
      <c r="M212" s="18">
        <f>IF(L212="新增",1,IF(L212="修改",0.8,IF(L212="删除",0.2,"")))</f>
        <v/>
      </c>
      <c r="N212" s="18">
        <f>I212*K212*M212</f>
        <v/>
      </c>
    </row>
    <row r="213" ht="19" customHeight="1" s="1">
      <c r="B213" s="16" t="n">
        <v>208</v>
      </c>
      <c r="C213" s="16" t="inlineStr">
        <is>
          <t>采集策略多样化定制</t>
        </is>
      </c>
      <c r="D213" s="16" t="inlineStr">
        <is>
          <t>设备物模型配置</t>
        </is>
      </c>
      <c r="E213" s="16" t="inlineStr">
        <is>
          <t>G1组物模型</t>
        </is>
      </c>
      <c r="F213" s="16" t="inlineStr">
        <is>
          <t>G1缩放系数</t>
        </is>
      </c>
      <c r="G213" s="17" t="inlineStr">
        <is>
          <t xml:space="preserve"> 提供G1组各参数工程值转换缩放系数配置技术服务</t>
        </is>
      </c>
      <c r="H213" s="18" t="inlineStr">
        <is>
          <t>EQ</t>
        </is>
      </c>
      <c r="I213" s="18">
        <f>IF(H213="ILF",10,IF(H213="EIF",7,IF(H213="EI",4,IF(H213="EO",5,IF(H213="EQ",4,"")))))</f>
        <v/>
      </c>
      <c r="J213" s="18" t="inlineStr">
        <is>
          <t>低</t>
        </is>
      </c>
      <c r="K213" s="18">
        <f>IF(J213="高",0.33,IF(J213="中",0.67,IF(J213="低",1,"")))</f>
        <v/>
      </c>
      <c r="L213" s="18" t="inlineStr">
        <is>
          <t>新增</t>
        </is>
      </c>
      <c r="M213" s="18">
        <f>IF(L213="新增",1,IF(L213="修改",0.8,IF(L213="删除",0.2,"")))</f>
        <v/>
      </c>
      <c r="N213" s="18">
        <f>I213*K213*M213</f>
        <v/>
      </c>
    </row>
    <row r="214" ht="19" customHeight="1" s="1">
      <c r="B214" s="16" t="n">
        <v>209</v>
      </c>
      <c r="C214" s="16" t="inlineStr">
        <is>
          <t>采集策略多样化定制</t>
        </is>
      </c>
      <c r="D214" s="16" t="inlineStr">
        <is>
          <t>设备物模型配置</t>
        </is>
      </c>
      <c r="E214" s="16" t="inlineStr">
        <is>
          <t>G2组电参</t>
        </is>
      </c>
      <c r="F214" s="16" t="inlineStr">
        <is>
          <t>G2电参物模型</t>
        </is>
      </c>
      <c r="G214" s="17" t="inlineStr">
        <is>
          <t xml:space="preserve"> 提供G2电参分组15个参数物模型配置技术服务</t>
        </is>
      </c>
      <c r="H214" s="18" t="inlineStr">
        <is>
          <t>EQ</t>
        </is>
      </c>
      <c r="I214" s="18">
        <f>IF(H214="ILF",10,IF(H214="EIF",7,IF(H214="EI",4,IF(H214="EO",5,IF(H214="EQ",4,"")))))</f>
        <v/>
      </c>
      <c r="J214" s="18" t="inlineStr">
        <is>
          <t>中</t>
        </is>
      </c>
      <c r="K214" s="18">
        <f>IF(J214="高",0.33,IF(J214="中",0.67,IF(J214="低",1,"")))</f>
        <v/>
      </c>
      <c r="L214" s="18" t="inlineStr">
        <is>
          <t>新增</t>
        </is>
      </c>
      <c r="M214" s="18">
        <f>IF(L214="新增",1,IF(L214="修改",0.8,IF(L214="删除",0.2,"")))</f>
        <v/>
      </c>
      <c r="N214" s="18">
        <f>I214*K214*M214</f>
        <v/>
      </c>
    </row>
    <row r="215" ht="19" customHeight="1" s="1">
      <c r="B215" s="16" t="n">
        <v>210</v>
      </c>
      <c r="C215" s="16" t="inlineStr">
        <is>
          <t>采集策略多样化定制</t>
        </is>
      </c>
      <c r="D215" s="16" t="inlineStr">
        <is>
          <t>设备物模型配置</t>
        </is>
      </c>
      <c r="E215" s="16" t="inlineStr">
        <is>
          <t>G2组电参</t>
        </is>
      </c>
      <c r="F215" s="16" t="inlineStr">
        <is>
          <t>G2A相电流</t>
        </is>
      </c>
      <c r="G215" s="17" t="inlineStr">
        <is>
          <t xml:space="preserve"> 提供G2组A相电流参数属性定义技术服务</t>
        </is>
      </c>
      <c r="H215" s="18" t="inlineStr">
        <is>
          <t>EQ</t>
        </is>
      </c>
      <c r="I215" s="18">
        <f>IF(H215="ILF",10,IF(H215="EIF",7,IF(H215="EI",4,IF(H215="EO",5,IF(H215="EQ",4,"")))))</f>
        <v/>
      </c>
      <c r="J215" s="18" t="inlineStr">
        <is>
          <t>中</t>
        </is>
      </c>
      <c r="K215" s="18">
        <f>IF(J215="高",0.33,IF(J215="中",0.67,IF(J215="低",1,"")))</f>
        <v/>
      </c>
      <c r="L215" s="18" t="inlineStr">
        <is>
          <t>新增</t>
        </is>
      </c>
      <c r="M215" s="18">
        <f>IF(L215="新增",1,IF(L215="修改",0.8,IF(L215="删除",0.2,"")))</f>
        <v/>
      </c>
      <c r="N215" s="18">
        <f>I215*K215*M215</f>
        <v/>
      </c>
    </row>
    <row r="216" ht="19" customHeight="1" s="1">
      <c r="B216" s="16" t="n">
        <v>211</v>
      </c>
      <c r="C216" s="16" t="inlineStr">
        <is>
          <t>采集策略多样化定制</t>
        </is>
      </c>
      <c r="D216" s="16" t="inlineStr">
        <is>
          <t>设备物模型配置</t>
        </is>
      </c>
      <c r="E216" s="16" t="inlineStr">
        <is>
          <t>G2组电参</t>
        </is>
      </c>
      <c r="F216" s="16" t="inlineStr">
        <is>
          <t>G2B相电流</t>
        </is>
      </c>
      <c r="G216" s="17" t="inlineStr">
        <is>
          <t xml:space="preserve"> 提供G2组B相电流参数属性定义技术服务</t>
        </is>
      </c>
      <c r="H216" s="18" t="inlineStr">
        <is>
          <t>EQ</t>
        </is>
      </c>
      <c r="I216" s="18">
        <f>IF(H216="ILF",10,IF(H216="EIF",7,IF(H216="EI",4,IF(H216="EO",5,IF(H216="EQ",4,"")))))</f>
        <v/>
      </c>
      <c r="J216" s="18" t="inlineStr">
        <is>
          <t>中</t>
        </is>
      </c>
      <c r="K216" s="18">
        <f>IF(J216="高",0.33,IF(J216="中",0.67,IF(J216="低",1,"")))</f>
        <v/>
      </c>
      <c r="L216" s="18" t="inlineStr">
        <is>
          <t>新增</t>
        </is>
      </c>
      <c r="M216" s="18">
        <f>IF(L216="新增",1,IF(L216="修改",0.8,IF(L216="删除",0.2,"")))</f>
        <v/>
      </c>
      <c r="N216" s="18">
        <f>I216*K216*M216</f>
        <v/>
      </c>
    </row>
    <row r="217" ht="19" customHeight="1" s="1">
      <c r="B217" s="16" t="n">
        <v>212</v>
      </c>
      <c r="C217" s="16" t="inlineStr">
        <is>
          <t>采集策略多样化定制</t>
        </is>
      </c>
      <c r="D217" s="16" t="inlineStr">
        <is>
          <t>设备物模型配置</t>
        </is>
      </c>
      <c r="E217" s="16" t="inlineStr">
        <is>
          <t>G2组电参</t>
        </is>
      </c>
      <c r="F217" s="16" t="inlineStr">
        <is>
          <t>G2C相电流</t>
        </is>
      </c>
      <c r="G217" s="17" t="inlineStr">
        <is>
          <t xml:space="preserve"> 提供G2组C相电流参数属性定义技术服务</t>
        </is>
      </c>
      <c r="H217" s="18" t="inlineStr">
        <is>
          <t>EQ</t>
        </is>
      </c>
      <c r="I217" s="18">
        <f>IF(H217="ILF",10,IF(H217="EIF",7,IF(H217="EI",4,IF(H217="EO",5,IF(H217="EQ",4,"")))))</f>
        <v/>
      </c>
      <c r="J217" s="18" t="inlineStr">
        <is>
          <t>中</t>
        </is>
      </c>
      <c r="K217" s="18">
        <f>IF(J217="高",0.33,IF(J217="中",0.67,IF(J217="低",1,"")))</f>
        <v/>
      </c>
      <c r="L217" s="18" t="inlineStr">
        <is>
          <t>新增</t>
        </is>
      </c>
      <c r="M217" s="18">
        <f>IF(L217="新增",1,IF(L217="修改",0.8,IF(L217="删除",0.2,"")))</f>
        <v/>
      </c>
      <c r="N217" s="18">
        <f>I217*K217*M217</f>
        <v/>
      </c>
    </row>
    <row r="218" ht="19" customHeight="1" s="1">
      <c r="B218" s="16" t="n">
        <v>213</v>
      </c>
      <c r="C218" s="16" t="inlineStr">
        <is>
          <t>采集策略多样化定制</t>
        </is>
      </c>
      <c r="D218" s="16" t="inlineStr">
        <is>
          <t>设备物模型配置</t>
        </is>
      </c>
      <c r="E218" s="16" t="inlineStr">
        <is>
          <t>G2组电参</t>
        </is>
      </c>
      <c r="F218" s="16" t="inlineStr">
        <is>
          <t>G2A相电压</t>
        </is>
      </c>
      <c r="G218" s="17" t="inlineStr">
        <is>
          <t xml:space="preserve"> 提供G2组A相电压参数属性定义技术服务</t>
        </is>
      </c>
      <c r="H218" s="18" t="inlineStr">
        <is>
          <t>EQ</t>
        </is>
      </c>
      <c r="I218" s="18">
        <f>IF(H218="ILF",10,IF(H218="EIF",7,IF(H218="EI",4,IF(H218="EO",5,IF(H218="EQ",4,"")))))</f>
        <v/>
      </c>
      <c r="J218" s="18" t="inlineStr">
        <is>
          <t>中</t>
        </is>
      </c>
      <c r="K218" s="18">
        <f>IF(J218="高",0.33,IF(J218="中",0.67,IF(J218="低",1,"")))</f>
        <v/>
      </c>
      <c r="L218" s="18" t="inlineStr">
        <is>
          <t>新增</t>
        </is>
      </c>
      <c r="M218" s="18">
        <f>IF(L218="新增",1,IF(L218="修改",0.8,IF(L218="删除",0.2,"")))</f>
        <v/>
      </c>
      <c r="N218" s="18">
        <f>I218*K218*M218</f>
        <v/>
      </c>
    </row>
    <row r="219" ht="19" customHeight="1" s="1">
      <c r="B219" s="16" t="n">
        <v>214</v>
      </c>
      <c r="C219" s="16" t="inlineStr">
        <is>
          <t>采集策略多样化定制</t>
        </is>
      </c>
      <c r="D219" s="16" t="inlineStr">
        <is>
          <t>设备物模型配置</t>
        </is>
      </c>
      <c r="E219" s="16" t="inlineStr">
        <is>
          <t>G2组电参</t>
        </is>
      </c>
      <c r="F219" s="16" t="inlineStr">
        <is>
          <t>G2B相电压</t>
        </is>
      </c>
      <c r="G219" s="17" t="inlineStr">
        <is>
          <t xml:space="preserve"> 提供G2组B相电压参数属性定义技术服务</t>
        </is>
      </c>
      <c r="H219" s="18" t="inlineStr">
        <is>
          <t>EQ</t>
        </is>
      </c>
      <c r="I219" s="18">
        <f>IF(H219="ILF",10,IF(H219="EIF",7,IF(H219="EI",4,IF(H219="EO",5,IF(H219="EQ",4,"")))))</f>
        <v/>
      </c>
      <c r="J219" s="18" t="inlineStr">
        <is>
          <t>中</t>
        </is>
      </c>
      <c r="K219" s="18">
        <f>IF(J219="高",0.33,IF(J219="中",0.67,IF(J219="低",1,"")))</f>
        <v/>
      </c>
      <c r="L219" s="18" t="inlineStr">
        <is>
          <t>新增</t>
        </is>
      </c>
      <c r="M219" s="18">
        <f>IF(L219="新增",1,IF(L219="修改",0.8,IF(L219="删除",0.2,"")))</f>
        <v/>
      </c>
      <c r="N219" s="18">
        <f>I219*K219*M219</f>
        <v/>
      </c>
    </row>
    <row r="220" ht="19" customHeight="1" s="1">
      <c r="B220" s="16" t="n">
        <v>215</v>
      </c>
      <c r="C220" s="16" t="inlineStr">
        <is>
          <t>采集策略多样化定制</t>
        </is>
      </c>
      <c r="D220" s="16" t="inlineStr">
        <is>
          <t>设备物模型配置</t>
        </is>
      </c>
      <c r="E220" s="16" t="inlineStr">
        <is>
          <t>G2组电参</t>
        </is>
      </c>
      <c r="F220" s="16" t="inlineStr">
        <is>
          <t>G2C相电压</t>
        </is>
      </c>
      <c r="G220" s="17" t="inlineStr">
        <is>
          <t xml:space="preserve"> 提供G2组C相电压参数属性定义技术服务</t>
        </is>
      </c>
      <c r="H220" s="18" t="inlineStr">
        <is>
          <t>EQ</t>
        </is>
      </c>
      <c r="I220" s="18">
        <f>IF(H220="ILF",10,IF(H220="EIF",7,IF(H220="EI",4,IF(H220="EO",5,IF(H220="EQ",4,"")))))</f>
        <v/>
      </c>
      <c r="J220" s="18" t="inlineStr">
        <is>
          <t>中</t>
        </is>
      </c>
      <c r="K220" s="18">
        <f>IF(J220="高",0.33,IF(J220="中",0.67,IF(J220="低",1,"")))</f>
        <v/>
      </c>
      <c r="L220" s="18" t="inlineStr">
        <is>
          <t>新增</t>
        </is>
      </c>
      <c r="M220" s="18">
        <f>IF(L220="新增",1,IF(L220="修改",0.8,IF(L220="删除",0.2,"")))</f>
        <v/>
      </c>
      <c r="N220" s="18">
        <f>I220*K220*M220</f>
        <v/>
      </c>
    </row>
    <row r="221" ht="19" customHeight="1" s="1">
      <c r="B221" s="16" t="n">
        <v>216</v>
      </c>
      <c r="C221" s="16" t="inlineStr">
        <is>
          <t>采集策略多样化定制</t>
        </is>
      </c>
      <c r="D221" s="16" t="inlineStr">
        <is>
          <t>设备物模型配置</t>
        </is>
      </c>
      <c r="E221" s="16" t="inlineStr">
        <is>
          <t>G2组电参</t>
        </is>
      </c>
      <c r="F221" s="16" t="inlineStr">
        <is>
          <t>G2有功功率</t>
        </is>
      </c>
      <c r="G221" s="17" t="inlineStr">
        <is>
          <t xml:space="preserve"> 提供G2组有功功率参数属性定义技术服务</t>
        </is>
      </c>
      <c r="H221" s="18" t="inlineStr">
        <is>
          <t>EQ</t>
        </is>
      </c>
      <c r="I221" s="18">
        <f>IF(H221="ILF",10,IF(H221="EIF",7,IF(H221="EI",4,IF(H221="EO",5,IF(H221="EQ",4,"")))))</f>
        <v/>
      </c>
      <c r="J221" s="18" t="inlineStr">
        <is>
          <t>中</t>
        </is>
      </c>
      <c r="K221" s="18">
        <f>IF(J221="高",0.33,IF(J221="中",0.67,IF(J221="低",1,"")))</f>
        <v/>
      </c>
      <c r="L221" s="18" t="inlineStr">
        <is>
          <t>新增</t>
        </is>
      </c>
      <c r="M221" s="18">
        <f>IF(L221="新增",1,IF(L221="修改",0.8,IF(L221="删除",0.2,"")))</f>
        <v/>
      </c>
      <c r="N221" s="18">
        <f>I221*K221*M221</f>
        <v/>
      </c>
    </row>
    <row r="222" ht="19" customHeight="1" s="1">
      <c r="B222" s="16" t="n">
        <v>217</v>
      </c>
      <c r="C222" s="16" t="inlineStr">
        <is>
          <t>采集策略多样化定制</t>
        </is>
      </c>
      <c r="D222" s="16" t="inlineStr">
        <is>
          <t>设备物模型配置</t>
        </is>
      </c>
      <c r="E222" s="16" t="inlineStr">
        <is>
          <t>G2组电参</t>
        </is>
      </c>
      <c r="F222" s="16" t="inlineStr">
        <is>
          <t>G2无功功率</t>
        </is>
      </c>
      <c r="G222" s="17" t="inlineStr">
        <is>
          <t xml:space="preserve"> 提供G2组无功功率参数属性定义技术服务</t>
        </is>
      </c>
      <c r="H222" s="18" t="inlineStr">
        <is>
          <t>EQ</t>
        </is>
      </c>
      <c r="I222" s="18">
        <f>IF(H222="ILF",10,IF(H222="EIF",7,IF(H222="EI",4,IF(H222="EO",5,IF(H222="EQ",4,"")))))</f>
        <v/>
      </c>
      <c r="J222" s="18" t="inlineStr">
        <is>
          <t>中</t>
        </is>
      </c>
      <c r="K222" s="18">
        <f>IF(J222="高",0.33,IF(J222="中",0.67,IF(J222="低",1,"")))</f>
        <v/>
      </c>
      <c r="L222" s="18" t="inlineStr">
        <is>
          <t>新增</t>
        </is>
      </c>
      <c r="M222" s="18">
        <f>IF(L222="新增",1,IF(L222="修改",0.8,IF(L222="删除",0.2,"")))</f>
        <v/>
      </c>
      <c r="N222" s="18">
        <f>I222*K222*M222</f>
        <v/>
      </c>
    </row>
    <row r="223" ht="19" customHeight="1" s="1">
      <c r="B223" s="16" t="n">
        <v>218</v>
      </c>
      <c r="C223" s="16" t="inlineStr">
        <is>
          <t>采集策略多样化定制</t>
        </is>
      </c>
      <c r="D223" s="16" t="inlineStr">
        <is>
          <t>设备物模型配置</t>
        </is>
      </c>
      <c r="E223" s="16" t="inlineStr">
        <is>
          <t>G2组电参</t>
        </is>
      </c>
      <c r="F223" s="16" t="inlineStr">
        <is>
          <t>G2功率因数</t>
        </is>
      </c>
      <c r="G223" s="17" t="inlineStr">
        <is>
          <t xml:space="preserve"> 提供G2组功率因数参数属性定义技术服务</t>
        </is>
      </c>
      <c r="H223" s="18" t="inlineStr">
        <is>
          <t>EQ</t>
        </is>
      </c>
      <c r="I223" s="18">
        <f>IF(H223="ILF",10,IF(H223="EIF",7,IF(H223="EI",4,IF(H223="EO",5,IF(H223="EQ",4,"")))))</f>
        <v/>
      </c>
      <c r="J223" s="18" t="inlineStr">
        <is>
          <t>中</t>
        </is>
      </c>
      <c r="K223" s="18">
        <f>IF(J223="高",0.33,IF(J223="中",0.67,IF(J223="低",1,"")))</f>
        <v/>
      </c>
      <c r="L223" s="18" t="inlineStr">
        <is>
          <t>新增</t>
        </is>
      </c>
      <c r="M223" s="18">
        <f>IF(L223="新增",1,IF(L223="修改",0.8,IF(L223="删除",0.2,"")))</f>
        <v/>
      </c>
      <c r="N223" s="18">
        <f>I223*K223*M223</f>
        <v/>
      </c>
    </row>
    <row r="224" ht="19" customHeight="1" s="1">
      <c r="B224" s="16" t="n">
        <v>219</v>
      </c>
      <c r="C224" s="16" t="inlineStr">
        <is>
          <t>采集策略多样化定制</t>
        </is>
      </c>
      <c r="D224" s="16" t="inlineStr">
        <is>
          <t>设备物模型配置</t>
        </is>
      </c>
      <c r="E224" s="16" t="inlineStr">
        <is>
          <t>G2组电参</t>
        </is>
      </c>
      <c r="F224" s="16" t="inlineStr">
        <is>
          <t>G2日耗电量</t>
        </is>
      </c>
      <c r="G224" s="17" t="inlineStr">
        <is>
          <t xml:space="preserve"> 提供G2组日耗电量参数属性定义技术服务</t>
        </is>
      </c>
      <c r="H224" s="18" t="inlineStr">
        <is>
          <t>EQ</t>
        </is>
      </c>
      <c r="I224" s="18">
        <f>IF(H224="ILF",10,IF(H224="EIF",7,IF(H224="EI",4,IF(H224="EO",5,IF(H224="EQ",4,"")))))</f>
        <v/>
      </c>
      <c r="J224" s="18" t="inlineStr">
        <is>
          <t>中</t>
        </is>
      </c>
      <c r="K224" s="18">
        <f>IF(J224="高",0.33,IF(J224="中",0.67,IF(J224="低",1,"")))</f>
        <v/>
      </c>
      <c r="L224" s="18" t="inlineStr">
        <is>
          <t>新增</t>
        </is>
      </c>
      <c r="M224" s="18">
        <f>IF(L224="新增",1,IF(L224="修改",0.8,IF(L224="删除",0.2,"")))</f>
        <v/>
      </c>
      <c r="N224" s="18">
        <f>I224*K224*M224</f>
        <v/>
      </c>
    </row>
    <row r="225" ht="19" customHeight="1" s="1">
      <c r="B225" s="16" t="n">
        <v>220</v>
      </c>
      <c r="C225" s="16" t="inlineStr">
        <is>
          <t>边缘层数据采集及历史数据模块开发</t>
        </is>
      </c>
      <c r="D225" s="16" t="inlineStr">
        <is>
          <t>固定IP设备接入</t>
        </is>
      </c>
      <c r="E225" s="16" t="inlineStr">
        <is>
          <t>主动扫描</t>
        </is>
      </c>
      <c r="F225" s="16" t="inlineStr">
        <is>
          <t>扫描频率</t>
        </is>
      </c>
      <c r="G225" s="17" t="inlineStr">
        <is>
          <t xml:space="preserve"> 提供主动扫描频率参数配置服务</t>
        </is>
      </c>
      <c r="H225" s="18" t="inlineStr">
        <is>
          <t>ILF</t>
        </is>
      </c>
      <c r="I225" s="18">
        <f>IF(H225="ILF",10,IF(H225="EIF",7,IF(H225="EI",4,IF(H225="EO",5,IF(H225="EQ",4,"")))))</f>
        <v/>
      </c>
      <c r="J225" s="18" t="inlineStr">
        <is>
          <t>低</t>
        </is>
      </c>
      <c r="K225" s="18">
        <f>IF(J225="高",0.33,IF(J225="中",0.67,IF(J225="低",1,"")))</f>
        <v/>
      </c>
      <c r="L225" s="18" t="inlineStr">
        <is>
          <t>新增</t>
        </is>
      </c>
      <c r="M225" s="18">
        <f>IF(L225="新增",1,IF(L225="修改",0.8,IF(L225="删除",0.2,"")))</f>
        <v/>
      </c>
      <c r="N225" s="18">
        <f>I225*K225*M225</f>
        <v/>
      </c>
    </row>
    <row r="226" ht="19" customHeight="1" s="1">
      <c r="B226" s="16" t="n">
        <v>221</v>
      </c>
      <c r="C226" s="16" t="inlineStr">
        <is>
          <t>边缘层数据采集及历史数据模块开发</t>
        </is>
      </c>
      <c r="D226" s="16" t="inlineStr">
        <is>
          <t>固定IP设备接入</t>
        </is>
      </c>
      <c r="E226" s="16" t="inlineStr">
        <is>
          <t>主动扫描</t>
        </is>
      </c>
      <c r="F226" s="16" t="inlineStr">
        <is>
          <t>IPv6发现</t>
        </is>
      </c>
      <c r="G226" s="17" t="inlineStr">
        <is>
          <t xml:space="preserve"> 提供IPv6地址RTU设备的发现和注册服务</t>
        </is>
      </c>
      <c r="H226" s="18" t="inlineStr">
        <is>
          <t>ILF</t>
        </is>
      </c>
      <c r="I226" s="18">
        <f>IF(H226="ILF",10,IF(H226="EIF",7,IF(H226="EI",4,IF(H226="EO",5,IF(H226="EQ",4,"")))))</f>
        <v/>
      </c>
      <c r="J226" s="18" t="inlineStr">
        <is>
          <t>低</t>
        </is>
      </c>
      <c r="K226" s="18">
        <f>IF(J226="高",0.33,IF(J226="中",0.67,IF(J226="低",1,"")))</f>
        <v/>
      </c>
      <c r="L226" s="18" t="inlineStr">
        <is>
          <t>新增</t>
        </is>
      </c>
      <c r="M226" s="18">
        <f>IF(L226="新增",1,IF(L226="修改",0.8,IF(L226="删除",0.2,"")))</f>
        <v/>
      </c>
      <c r="N226" s="18">
        <f>I226*K226*M226</f>
        <v/>
      </c>
    </row>
    <row r="227" ht="19" customHeight="1" s="1">
      <c r="B227" s="16" t="n">
        <v>222</v>
      </c>
      <c r="C227" s="16" t="inlineStr">
        <is>
          <t>边缘层数据采集及历史数据模块开发</t>
        </is>
      </c>
      <c r="D227" s="16" t="inlineStr">
        <is>
          <t>固定IP设备接入</t>
        </is>
      </c>
      <c r="E227" s="16" t="inlineStr">
        <is>
          <t>主动扫描</t>
        </is>
      </c>
      <c r="F227" s="16" t="inlineStr">
        <is>
          <t>多网段扫描</t>
        </is>
      </c>
      <c r="G227" s="17" t="inlineStr">
        <is>
          <t xml:space="preserve"> 提供跨网段多子网在线设备扫描服务</t>
        </is>
      </c>
      <c r="H227" s="18" t="inlineStr">
        <is>
          <t>ILF</t>
        </is>
      </c>
      <c r="I227" s="18">
        <f>IF(H227="ILF",10,IF(H227="EIF",7,IF(H227="EI",4,IF(H227="EO",5,IF(H227="EQ",4,"")))))</f>
        <v/>
      </c>
      <c r="J227" s="18" t="inlineStr">
        <is>
          <t>低</t>
        </is>
      </c>
      <c r="K227" s="18">
        <f>IF(J227="高",0.33,IF(J227="中",0.67,IF(J227="低",1,"")))</f>
        <v/>
      </c>
      <c r="L227" s="18" t="inlineStr">
        <is>
          <t>新增</t>
        </is>
      </c>
      <c r="M227" s="18">
        <f>IF(L227="新增",1,IF(L227="修改",0.8,IF(L227="删除",0.2,"")))</f>
        <v/>
      </c>
      <c r="N227" s="18">
        <f>I227*K227*M227</f>
        <v/>
      </c>
    </row>
    <row r="228" ht="19" customHeight="1" s="1">
      <c r="B228" s="16" t="n">
        <v>223</v>
      </c>
      <c r="C228" s="16" t="inlineStr">
        <is>
          <t>边缘层数据采集及历史数据模块开发</t>
        </is>
      </c>
      <c r="D228" s="16" t="inlineStr">
        <is>
          <t>固定IP设备接入</t>
        </is>
      </c>
      <c r="E228" s="16" t="inlineStr">
        <is>
          <t>主动扫描</t>
        </is>
      </c>
      <c r="F228" s="16" t="inlineStr">
        <is>
          <t>设备指纹</t>
        </is>
      </c>
      <c r="G228" s="17" t="inlineStr">
        <is>
          <t xml:space="preserve"> 提供基于报文特征的设备指纹识别服务</t>
        </is>
      </c>
      <c r="H228" s="18" t="inlineStr">
        <is>
          <t>ILF</t>
        </is>
      </c>
      <c r="I228" s="18">
        <f>IF(H228="ILF",10,IF(H228="EIF",7,IF(H228="EI",4,IF(H228="EO",5,IF(H228="EQ",4,"")))))</f>
        <v/>
      </c>
      <c r="J228" s="18" t="inlineStr">
        <is>
          <t>低</t>
        </is>
      </c>
      <c r="K228" s="18">
        <f>IF(J228="高",0.33,IF(J228="中",0.67,IF(J228="低",1,"")))</f>
        <v/>
      </c>
      <c r="L228" s="18" t="inlineStr">
        <is>
          <t>新增</t>
        </is>
      </c>
      <c r="M228" s="18">
        <f>IF(L228="新增",1,IF(L228="修改",0.8,IF(L228="删除",0.2,"")))</f>
        <v/>
      </c>
      <c r="N228" s="18">
        <f>I228*K228*M228</f>
        <v/>
      </c>
    </row>
    <row r="229" ht="19" customHeight="1" s="1">
      <c r="B229" s="16" t="n">
        <v>224</v>
      </c>
      <c r="C229" s="16" t="inlineStr">
        <is>
          <t>边缘层数据采集及历史数据模块开发</t>
        </is>
      </c>
      <c r="D229" s="16" t="inlineStr">
        <is>
          <t>固定IP设备接入</t>
        </is>
      </c>
      <c r="E229" s="16" t="inlineStr">
        <is>
          <t>主动扫描</t>
        </is>
      </c>
      <c r="F229" s="16" t="inlineStr">
        <is>
          <t>任务编排</t>
        </is>
      </c>
      <c r="G229" s="17" t="inlineStr">
        <is>
          <t xml:space="preserve"> 提供设备发现扫描任务的编排调度服务</t>
        </is>
      </c>
      <c r="H229" s="18" t="inlineStr">
        <is>
          <t>ILF</t>
        </is>
      </c>
      <c r="I229" s="18">
        <f>IF(H229="ILF",10,IF(H229="EIF",7,IF(H229="EI",4,IF(H229="EO",5,IF(H229="EQ",4,"")))))</f>
        <v/>
      </c>
      <c r="J229" s="18" t="inlineStr">
        <is>
          <t>低</t>
        </is>
      </c>
      <c r="K229" s="18">
        <f>IF(J229="高",0.33,IF(J229="中",0.67,IF(J229="低",1,"")))</f>
        <v/>
      </c>
      <c r="L229" s="18" t="inlineStr">
        <is>
          <t>新增</t>
        </is>
      </c>
      <c r="M229" s="18">
        <f>IF(L229="新增",1,IF(L229="修改",0.8,IF(L229="删除",0.2,"")))</f>
        <v/>
      </c>
      <c r="N229" s="18">
        <f>I229*K229*M229</f>
        <v/>
      </c>
    </row>
    <row r="230" ht="19" customHeight="1" s="1">
      <c r="B230" s="16" t="n">
        <v>225</v>
      </c>
      <c r="C230" s="16" t="inlineStr">
        <is>
          <t>边缘层数据采集及历史数据模块开发</t>
        </is>
      </c>
      <c r="D230" s="16" t="inlineStr">
        <is>
          <t>固定IP设备接入</t>
        </is>
      </c>
      <c r="E230" s="16" t="inlineStr">
        <is>
          <t>协议解析</t>
        </is>
      </c>
      <c r="F230" s="16" t="inlineStr">
        <is>
          <t>Modbus TCP</t>
        </is>
      </c>
      <c r="G230" s="17" t="inlineStr">
        <is>
          <t xml:space="preserve"> 提供Modbus TCP协议报文完整解析服务</t>
        </is>
      </c>
      <c r="H230" s="18" t="inlineStr">
        <is>
          <t>ILF</t>
        </is>
      </c>
      <c r="I230" s="18">
        <f>IF(H230="ILF",10,IF(H230="EIF",7,IF(H230="EI",4,IF(H230="EO",5,IF(H230="EQ",4,"")))))</f>
        <v/>
      </c>
      <c r="J230" s="18" t="inlineStr">
        <is>
          <t>低</t>
        </is>
      </c>
      <c r="K230" s="18">
        <f>IF(J230="高",0.33,IF(J230="中",0.67,IF(J230="低",1,"")))</f>
        <v/>
      </c>
      <c r="L230" s="18" t="inlineStr">
        <is>
          <t>新增</t>
        </is>
      </c>
      <c r="M230" s="18">
        <f>IF(L230="新增",1,IF(L230="修改",0.8,IF(L230="删除",0.2,"")))</f>
        <v/>
      </c>
      <c r="N230" s="18">
        <f>I230*K230*M230</f>
        <v/>
      </c>
    </row>
    <row r="231" ht="19" customHeight="1" s="1">
      <c r="B231" s="16" t="n">
        <v>226</v>
      </c>
      <c r="C231" s="16" t="inlineStr">
        <is>
          <t>边缘层数据采集及历史数据模块开发</t>
        </is>
      </c>
      <c r="D231" s="16" t="inlineStr">
        <is>
          <t>固定IP设备接入</t>
        </is>
      </c>
      <c r="E231" s="16" t="inlineStr">
        <is>
          <t>协议解析</t>
        </is>
      </c>
      <c r="F231" s="16" t="inlineStr">
        <is>
          <t>Modbus RTU</t>
        </is>
      </c>
      <c r="G231" s="17" t="inlineStr">
        <is>
          <t xml:space="preserve"> 提供Modbus RTU协议报文完整解析服务</t>
        </is>
      </c>
      <c r="H231" s="18" t="inlineStr">
        <is>
          <t>ILF</t>
        </is>
      </c>
      <c r="I231" s="18">
        <f>IF(H231="ILF",10,IF(H231="EIF",7,IF(H231="EI",4,IF(H231="EO",5,IF(H231="EQ",4,"")))))</f>
        <v/>
      </c>
      <c r="J231" s="18" t="inlineStr">
        <is>
          <t>低</t>
        </is>
      </c>
      <c r="K231" s="18">
        <f>IF(J231="高",0.33,IF(J231="中",0.67,IF(J231="低",1,"")))</f>
        <v/>
      </c>
      <c r="L231" s="18" t="inlineStr">
        <is>
          <t>新增</t>
        </is>
      </c>
      <c r="M231" s="18">
        <f>IF(L231="新增",1,IF(L231="修改",0.8,IF(L231="删除",0.2,"")))</f>
        <v/>
      </c>
      <c r="N231" s="18">
        <f>I231*K231*M231</f>
        <v/>
      </c>
    </row>
    <row r="232" ht="19" customHeight="1" s="1">
      <c r="B232" s="16" t="n">
        <v>227</v>
      </c>
      <c r="C232" s="16" t="inlineStr">
        <is>
          <t>边缘层数据采集及历史数据模块开发</t>
        </is>
      </c>
      <c r="D232" s="16" t="inlineStr">
        <is>
          <t>固定IP设备接入</t>
        </is>
      </c>
      <c r="E232" s="16" t="inlineStr">
        <is>
          <t>协议解析</t>
        </is>
      </c>
      <c r="F232" s="16" t="inlineStr">
        <is>
          <t>16位整数</t>
        </is>
      </c>
      <c r="G232" s="17" t="inlineStr">
        <is>
          <t xml:space="preserve"> 提供16位有符号/无符号整数解析服务</t>
        </is>
      </c>
      <c r="H232" s="18" t="inlineStr">
        <is>
          <t>ILF</t>
        </is>
      </c>
      <c r="I232" s="18">
        <f>IF(H232="ILF",10,IF(H232="EIF",7,IF(H232="EI",4,IF(H232="EO",5,IF(H232="EQ",4,"")))))</f>
        <v/>
      </c>
      <c r="J232" s="18" t="inlineStr">
        <is>
          <t>低</t>
        </is>
      </c>
      <c r="K232" s="18">
        <f>IF(J232="高",0.33,IF(J232="中",0.67,IF(J232="低",1,"")))</f>
        <v/>
      </c>
      <c r="L232" s="18" t="inlineStr">
        <is>
          <t>新增</t>
        </is>
      </c>
      <c r="M232" s="18">
        <f>IF(L232="新增",1,IF(L232="修改",0.8,IF(L232="删除",0.2,"")))</f>
        <v/>
      </c>
      <c r="N232" s="18">
        <f>I232*K232*M232</f>
        <v/>
      </c>
    </row>
    <row r="233" ht="19" customHeight="1" s="1">
      <c r="B233" s="16" t="n">
        <v>228</v>
      </c>
      <c r="C233" s="16" t="inlineStr">
        <is>
          <t>边缘层数据采集及历史数据模块开发</t>
        </is>
      </c>
      <c r="D233" s="16" t="inlineStr">
        <is>
          <t>固定IP设备接入</t>
        </is>
      </c>
      <c r="E233" s="16" t="inlineStr">
        <is>
          <t>协议解析</t>
        </is>
      </c>
      <c r="F233" s="16" t="inlineStr">
        <is>
          <t>32位整数</t>
        </is>
      </c>
      <c r="G233" s="17" t="inlineStr">
        <is>
          <t xml:space="preserve"> 提供32位有符号/无符号整数解析服务</t>
        </is>
      </c>
      <c r="H233" s="18" t="inlineStr">
        <is>
          <t>ILF</t>
        </is>
      </c>
      <c r="I233" s="18">
        <f>IF(H233="ILF",10,IF(H233="EIF",7,IF(H233="EI",4,IF(H233="EO",5,IF(H233="EQ",4,"")))))</f>
        <v/>
      </c>
      <c r="J233" s="18" t="inlineStr">
        <is>
          <t>低</t>
        </is>
      </c>
      <c r="K233" s="18">
        <f>IF(J233="高",0.33,IF(J233="中",0.67,IF(J233="低",1,"")))</f>
        <v/>
      </c>
      <c r="L233" s="18" t="inlineStr">
        <is>
          <t>新增</t>
        </is>
      </c>
      <c r="M233" s="18">
        <f>IF(L233="新增",1,IF(L233="修改",0.8,IF(L233="删除",0.2,"")))</f>
        <v/>
      </c>
      <c r="N233" s="18">
        <f>I233*K233*M233</f>
        <v/>
      </c>
    </row>
    <row r="234" ht="19" customHeight="1" s="1">
      <c r="B234" s="16" t="n">
        <v>229</v>
      </c>
      <c r="C234" s="16" t="inlineStr">
        <is>
          <t>边缘层数据采集及历史数据模块开发</t>
        </is>
      </c>
      <c r="D234" s="16" t="inlineStr">
        <is>
          <t>固定IP设备接入</t>
        </is>
      </c>
      <c r="E234" s="16" t="inlineStr">
        <is>
          <t>协议解析</t>
        </is>
      </c>
      <c r="F234" s="16" t="inlineStr">
        <is>
          <t>浮点数解析</t>
        </is>
      </c>
      <c r="G234" s="17" t="inlineStr">
        <is>
          <t xml:space="preserve"> 提供32位IEEE754浮点数解析服务</t>
        </is>
      </c>
      <c r="H234" s="18" t="inlineStr">
        <is>
          <t>ILF</t>
        </is>
      </c>
      <c r="I234" s="18">
        <f>IF(H234="ILF",10,IF(H234="EIF",7,IF(H234="EI",4,IF(H234="EO",5,IF(H234="EQ",4,"")))))</f>
        <v/>
      </c>
      <c r="J234" s="18" t="inlineStr">
        <is>
          <t>低</t>
        </is>
      </c>
      <c r="K234" s="18">
        <f>IF(J234="高",0.33,IF(J234="中",0.67,IF(J234="低",1,"")))</f>
        <v/>
      </c>
      <c r="L234" s="18" t="inlineStr">
        <is>
          <t>新增</t>
        </is>
      </c>
      <c r="M234" s="18">
        <f>IF(L234="新增",1,IF(L234="修改",0.8,IF(L234="删除",0.2,"")))</f>
        <v/>
      </c>
      <c r="N234" s="18">
        <f>I234*K234*M234</f>
        <v/>
      </c>
    </row>
    <row r="235" ht="19" customHeight="1" s="1">
      <c r="B235" s="16" t="n">
        <v>230</v>
      </c>
      <c r="C235" s="16" t="inlineStr">
        <is>
          <t>边缘层数据采集及历史数据模块开发</t>
        </is>
      </c>
      <c r="D235" s="16" t="inlineStr">
        <is>
          <t>固定IP设备接入</t>
        </is>
      </c>
      <c r="E235" s="16" t="inlineStr">
        <is>
          <t>协议解析</t>
        </is>
      </c>
      <c r="F235" s="16" t="inlineStr">
        <is>
          <t>批量读取</t>
        </is>
      </c>
      <c r="G235" s="17" t="inlineStr">
        <is>
          <t xml:space="preserve"> 提供批量读取125个寄存器的数据采集服务</t>
        </is>
      </c>
      <c r="H235" s="18" t="inlineStr">
        <is>
          <t>ILF</t>
        </is>
      </c>
      <c r="I235" s="18">
        <f>IF(H235="ILF",10,IF(H235="EIF",7,IF(H235="EI",4,IF(H235="EO",5,IF(H235="EQ",4,"")))))</f>
        <v/>
      </c>
      <c r="J235" s="18" t="inlineStr">
        <is>
          <t>低</t>
        </is>
      </c>
      <c r="K235" s="18">
        <f>IF(J235="高",0.33,IF(J235="中",0.67,IF(J235="低",1,"")))</f>
        <v/>
      </c>
      <c r="L235" s="18" t="inlineStr">
        <is>
          <t>新增</t>
        </is>
      </c>
      <c r="M235" s="18">
        <f>IF(L235="新增",1,IF(L235="修改",0.8,IF(L235="删除",0.2,"")))</f>
        <v/>
      </c>
      <c r="N235" s="18">
        <f>I235*K235*M235</f>
        <v/>
      </c>
    </row>
    <row r="236" ht="19" customHeight="1" s="1">
      <c r="B236" s="16" t="n">
        <v>231</v>
      </c>
      <c r="C236" s="16" t="inlineStr">
        <is>
          <t>边缘层数据采集及历史数据模块开发</t>
        </is>
      </c>
      <c r="D236" s="16" t="inlineStr">
        <is>
          <t>固定IP设备接入</t>
        </is>
      </c>
      <c r="E236" s="16" t="inlineStr">
        <is>
          <t>协议解析</t>
        </is>
      </c>
      <c r="F236" s="16" t="inlineStr">
        <is>
          <t>服务码3</t>
        </is>
      </c>
      <c r="G236" s="17" t="inlineStr">
        <is>
          <t xml:space="preserve"> 提供Modbus服务码3读取保持寄存器服务</t>
        </is>
      </c>
      <c r="H236" s="18" t="inlineStr">
        <is>
          <t>ILF</t>
        </is>
      </c>
      <c r="I236" s="18">
        <f>IF(H236="ILF",10,IF(H236="EIF",7,IF(H236="EI",4,IF(H236="EO",5,IF(H236="EQ",4,"")))))</f>
        <v/>
      </c>
      <c r="J236" s="18" t="inlineStr">
        <is>
          <t>低</t>
        </is>
      </c>
      <c r="K236" s="18">
        <f>IF(J236="高",0.33,IF(J236="中",0.67,IF(J236="低",1,"")))</f>
        <v/>
      </c>
      <c r="L236" s="18" t="inlineStr">
        <is>
          <t>新增</t>
        </is>
      </c>
      <c r="M236" s="18">
        <f>IF(L236="新增",1,IF(L236="修改",0.8,IF(L236="删除",0.2,"")))</f>
        <v/>
      </c>
      <c r="N236" s="18">
        <f>I236*K236*M236</f>
        <v/>
      </c>
    </row>
    <row r="237" ht="19" customHeight="1" s="1">
      <c r="B237" s="16" t="n">
        <v>232</v>
      </c>
      <c r="C237" s="16" t="inlineStr">
        <is>
          <t>边缘层数据采集及历史数据模块开发</t>
        </is>
      </c>
      <c r="D237" s="16" t="inlineStr">
        <is>
          <t>固定IP设备接入</t>
        </is>
      </c>
      <c r="E237" s="16" t="inlineStr">
        <is>
          <t>协议解析</t>
        </is>
      </c>
      <c r="F237" s="16" t="inlineStr">
        <is>
          <t>服务码4</t>
        </is>
      </c>
      <c r="G237" s="17" t="inlineStr">
        <is>
          <t xml:space="preserve"> 提供Modbus服务码4读取输入寄存器服务</t>
        </is>
      </c>
      <c r="H237" s="18" t="inlineStr">
        <is>
          <t>ILF</t>
        </is>
      </c>
      <c r="I237" s="18">
        <f>IF(H237="ILF",10,IF(H237="EIF",7,IF(H237="EI",4,IF(H237="EO",5,IF(H237="EQ",4,"")))))</f>
        <v/>
      </c>
      <c r="J237" s="18" t="inlineStr">
        <is>
          <t>低</t>
        </is>
      </c>
      <c r="K237" s="18">
        <f>IF(J237="高",0.33,IF(J237="中",0.67,IF(J237="低",1,"")))</f>
        <v/>
      </c>
      <c r="L237" s="18" t="inlineStr">
        <is>
          <t>新增</t>
        </is>
      </c>
      <c r="M237" s="18">
        <f>IF(L237="新增",1,IF(L237="修改",0.8,IF(L237="删除",0.2,"")))</f>
        <v/>
      </c>
      <c r="N237" s="18">
        <f>I237*K237*M237</f>
        <v/>
      </c>
    </row>
    <row r="238" ht="19" customHeight="1" s="1">
      <c r="B238" s="16" t="n">
        <v>233</v>
      </c>
      <c r="C238" s="16" t="inlineStr">
        <is>
          <t>边缘层数据采集及历史数据模块开发</t>
        </is>
      </c>
      <c r="D238" s="16" t="inlineStr">
        <is>
          <t>固定IP设备接入</t>
        </is>
      </c>
      <c r="E238" s="16" t="inlineStr">
        <is>
          <t>协议解析</t>
        </is>
      </c>
      <c r="F238" s="16" t="inlineStr">
        <is>
          <t>OPC DA读取</t>
        </is>
      </c>
      <c r="G238" s="17" t="inlineStr">
        <is>
          <t xml:space="preserve"> 提供Windows Agent读取OPC DA数据服务</t>
        </is>
      </c>
      <c r="H238" s="18" t="inlineStr">
        <is>
          <t>ILF</t>
        </is>
      </c>
      <c r="I238" s="18">
        <f>IF(H238="ILF",10,IF(H238="EIF",7,IF(H238="EI",4,IF(H238="EO",5,IF(H238="EQ",4,"")))))</f>
        <v/>
      </c>
      <c r="J238" s="18" t="inlineStr">
        <is>
          <t>低</t>
        </is>
      </c>
      <c r="K238" s="18">
        <f>IF(J238="高",0.33,IF(J238="中",0.67,IF(J238="低",1,"")))</f>
        <v/>
      </c>
      <c r="L238" s="18" t="inlineStr">
        <is>
          <t>新增</t>
        </is>
      </c>
      <c r="M238" s="18">
        <f>IF(L238="新增",1,IF(L238="修改",0.8,IF(L238="删除",0.2,"")))</f>
        <v/>
      </c>
      <c r="N238" s="18">
        <f>I238*K238*M238</f>
        <v/>
      </c>
    </row>
    <row r="239" ht="19" customHeight="1" s="1">
      <c r="B239" s="16" t="n">
        <v>234</v>
      </c>
      <c r="C239" s="16" t="inlineStr">
        <is>
          <t>边缘层数据采集及历史数据模块开发</t>
        </is>
      </c>
      <c r="D239" s="16" t="inlineStr">
        <is>
          <t>固定IP设备接入</t>
        </is>
      </c>
      <c r="E239" s="16" t="inlineStr">
        <is>
          <t>协议解析</t>
        </is>
      </c>
      <c r="F239" s="16" t="inlineStr">
        <is>
          <t>OPC UA订阅</t>
        </is>
      </c>
      <c r="G239" s="17" t="inlineStr">
        <is>
          <t xml:space="preserve"> 提供OPC UA跨平台节点订阅和数据采集服务</t>
        </is>
      </c>
      <c r="H239" s="18" t="inlineStr">
        <is>
          <t>ILF</t>
        </is>
      </c>
      <c r="I239" s="18">
        <f>IF(H239="ILF",10,IF(H239="EIF",7,IF(H239="EI",4,IF(H239="EO",5,IF(H239="EQ",4,"")))))</f>
        <v/>
      </c>
      <c r="J239" s="18" t="inlineStr">
        <is>
          <t>低</t>
        </is>
      </c>
      <c r="K239" s="18">
        <f>IF(J239="高",0.33,IF(J239="中",0.67,IF(J239="低",1,"")))</f>
        <v/>
      </c>
      <c r="L239" s="18" t="inlineStr">
        <is>
          <t>新增</t>
        </is>
      </c>
      <c r="M239" s="18">
        <f>IF(L239="新增",1,IF(L239="修改",0.8,IF(L239="删除",0.2,"")))</f>
        <v/>
      </c>
      <c r="N239" s="18">
        <f>I239*K239*M239</f>
        <v/>
      </c>
    </row>
    <row r="240" ht="19" customHeight="1" s="1">
      <c r="B240" s="16" t="n">
        <v>235</v>
      </c>
      <c r="C240" s="16" t="inlineStr">
        <is>
          <t>边缘层数据采集及历史数据模块开发</t>
        </is>
      </c>
      <c r="D240" s="16" t="inlineStr">
        <is>
          <t>固定IP设备接入</t>
        </is>
      </c>
      <c r="E240" s="16" t="inlineStr">
        <is>
          <t>协议解析</t>
        </is>
      </c>
      <c r="F240" s="16" t="inlineStr">
        <is>
          <t>MQTT订阅</t>
        </is>
      </c>
      <c r="G240" s="17" t="inlineStr">
        <is>
          <t xml:space="preserve"> 提供MQTT协议数据订阅和消息处理服务</t>
        </is>
      </c>
      <c r="H240" s="18" t="inlineStr">
        <is>
          <t>ILF</t>
        </is>
      </c>
      <c r="I240" s="18">
        <f>IF(H240="ILF",10,IF(H240="EIF",7,IF(H240="EI",4,IF(H240="EO",5,IF(H240="EQ",4,"")))))</f>
        <v/>
      </c>
      <c r="J240" s="18" t="inlineStr">
        <is>
          <t>中</t>
        </is>
      </c>
      <c r="K240" s="18">
        <f>IF(J240="高",0.33,IF(J240="中",0.67,IF(J240="低",1,"")))</f>
        <v/>
      </c>
      <c r="L240" s="18" t="inlineStr">
        <is>
          <t>新增</t>
        </is>
      </c>
      <c r="M240" s="18">
        <f>IF(L240="新增",1,IF(L240="修改",0.8,IF(L240="删除",0.2,"")))</f>
        <v/>
      </c>
      <c r="N240" s="18">
        <f>I240*K240*M240</f>
        <v/>
      </c>
    </row>
    <row r="241" ht="19" customHeight="1" s="1">
      <c r="B241" s="16" t="n">
        <v>236</v>
      </c>
      <c r="C241" s="16" t="inlineStr">
        <is>
          <t>边缘层数据采集及历史数据模块开发</t>
        </is>
      </c>
      <c r="D241" s="16" t="inlineStr">
        <is>
          <t>固定IP设备接入</t>
        </is>
      </c>
      <c r="E241" s="16" t="inlineStr">
        <is>
          <t>协议解析</t>
        </is>
      </c>
      <c r="F241" s="16" t="inlineStr">
        <is>
          <t>自定义协议</t>
        </is>
      </c>
      <c r="G241" s="17" t="inlineStr">
        <is>
          <t xml:space="preserve"> 提供新型设备自定义协议适配≤3天/类服务</t>
        </is>
      </c>
      <c r="H241" s="18" t="inlineStr">
        <is>
          <t>ILF</t>
        </is>
      </c>
      <c r="I241" s="18">
        <f>IF(H241="ILF",10,IF(H241="EIF",7,IF(H241="EI",4,IF(H241="EO",5,IF(H241="EQ",4,"")))))</f>
        <v/>
      </c>
      <c r="J241" s="18" t="inlineStr">
        <is>
          <t>中</t>
        </is>
      </c>
      <c r="K241" s="18">
        <f>IF(J241="高",0.33,IF(J241="中",0.67,IF(J241="低",1,"")))</f>
        <v/>
      </c>
      <c r="L241" s="18" t="inlineStr">
        <is>
          <t>新增</t>
        </is>
      </c>
      <c r="M241" s="18">
        <f>IF(L241="新增",1,IF(L241="修改",0.8,IF(L241="删除",0.2,"")))</f>
        <v/>
      </c>
      <c r="N241" s="18">
        <f>I241*K241*M241</f>
        <v/>
      </c>
    </row>
    <row r="242" ht="19" customHeight="1" s="1">
      <c r="B242" s="16" t="n">
        <v>237</v>
      </c>
      <c r="C242" s="16" t="inlineStr">
        <is>
          <t>边缘层数据采集及历史数据模块开发</t>
        </is>
      </c>
      <c r="D242" s="16" t="inlineStr">
        <is>
          <t>固定IP设备接入</t>
        </is>
      </c>
      <c r="E242" s="16" t="inlineStr">
        <is>
          <t>协议解析</t>
        </is>
      </c>
      <c r="F242" s="16" t="inlineStr">
        <is>
          <t>数据格式转换</t>
        </is>
      </c>
      <c r="G242" s="17" t="inlineStr">
        <is>
          <t xml:space="preserve"> 提供多协议数据统一转换为JSON服务</t>
        </is>
      </c>
      <c r="H242" s="18" t="inlineStr">
        <is>
          <t>ILF</t>
        </is>
      </c>
      <c r="I242" s="18">
        <f>IF(H242="ILF",10,IF(H242="EIF",7,IF(H242="EI",4,IF(H242="EO",5,IF(H242="EQ",4,"")))))</f>
        <v/>
      </c>
      <c r="J242" s="18" t="inlineStr">
        <is>
          <t>中</t>
        </is>
      </c>
      <c r="K242" s="18">
        <f>IF(J242="高",0.33,IF(J242="中",0.67,IF(J242="低",1,"")))</f>
        <v/>
      </c>
      <c r="L242" s="18" t="inlineStr">
        <is>
          <t>新增</t>
        </is>
      </c>
      <c r="M242" s="18">
        <f>IF(L242="新增",1,IF(L242="修改",0.8,IF(L242="删除",0.2,"")))</f>
        <v/>
      </c>
      <c r="N242" s="18">
        <f>I242*K242*M242</f>
        <v/>
      </c>
    </row>
    <row r="243" ht="19" customHeight="1" s="1">
      <c r="B243" s="16" t="n">
        <v>238</v>
      </c>
      <c r="C243" s="16" t="inlineStr">
        <is>
          <t>边缘层数据采集及历史数据模块开发</t>
        </is>
      </c>
      <c r="D243" s="16" t="inlineStr">
        <is>
          <t>固定IP设备接入</t>
        </is>
      </c>
      <c r="E243" s="16" t="inlineStr">
        <is>
          <t>协议解析</t>
        </is>
      </c>
      <c r="F243" s="16" t="inlineStr">
        <is>
          <t>异常报文</t>
        </is>
      </c>
      <c r="G243" s="17" t="inlineStr">
        <is>
          <t xml:space="preserve"> 提供异常报文的鉴别和容错处理服务</t>
        </is>
      </c>
      <c r="H243" s="18" t="inlineStr">
        <is>
          <t>ILF</t>
        </is>
      </c>
      <c r="I243" s="18">
        <f>IF(H243="ILF",10,IF(H243="EIF",7,IF(H243="EI",4,IF(H243="EO",5,IF(H243="EQ",4,"")))))</f>
        <v/>
      </c>
      <c r="J243" s="18" t="inlineStr">
        <is>
          <t>中</t>
        </is>
      </c>
      <c r="K243" s="18">
        <f>IF(J243="高",0.33,IF(J243="中",0.67,IF(J243="低",1,"")))</f>
        <v/>
      </c>
      <c r="L243" s="18" t="inlineStr">
        <is>
          <t>新增</t>
        </is>
      </c>
      <c r="M243" s="18">
        <f>IF(L243="新增",1,IF(L243="修改",0.8,IF(L243="删除",0.2,"")))</f>
        <v/>
      </c>
      <c r="N243" s="18">
        <f>I243*K243*M243</f>
        <v/>
      </c>
    </row>
    <row r="244" ht="19" customHeight="1" s="1">
      <c r="B244" s="16" t="n">
        <v>239</v>
      </c>
      <c r="C244" s="16" t="inlineStr">
        <is>
          <t>边缘层数据采集及历史数据模块开发</t>
        </is>
      </c>
      <c r="D244" s="16" t="inlineStr">
        <is>
          <t>固定IP设备接入</t>
        </is>
      </c>
      <c r="E244" s="16" t="inlineStr">
        <is>
          <t>协议解析</t>
        </is>
      </c>
      <c r="F244" s="16" t="inlineStr">
        <is>
          <t>版本兼容</t>
        </is>
      </c>
      <c r="G244" s="17" t="inlineStr">
        <is>
          <t xml:space="preserve"> 提供不同协议版本兼容处理服务</t>
        </is>
      </c>
      <c r="H244" s="18" t="inlineStr">
        <is>
          <t>ILF</t>
        </is>
      </c>
      <c r="I244" s="18">
        <f>IF(H244="ILF",10,IF(H244="EIF",7,IF(H244="EI",4,IF(H244="EO",5,IF(H244="EQ",4,"")))))</f>
        <v/>
      </c>
      <c r="J244" s="18" t="inlineStr">
        <is>
          <t>中</t>
        </is>
      </c>
      <c r="K244" s="18">
        <f>IF(J244="高",0.33,IF(J244="中",0.67,IF(J244="低",1,"")))</f>
        <v/>
      </c>
      <c r="L244" s="18" t="inlineStr">
        <is>
          <t>修改</t>
        </is>
      </c>
      <c r="M244" s="18">
        <f>IF(L244="新增",1,IF(L244="修改",0.8,IF(L244="删除",0.2,"")))</f>
        <v/>
      </c>
      <c r="N244" s="18">
        <f>I244*K244*M244</f>
        <v/>
      </c>
    </row>
    <row r="245" ht="19" customHeight="1" s="1">
      <c r="B245" s="16" t="n">
        <v>240</v>
      </c>
      <c r="C245" s="16" t="inlineStr">
        <is>
          <t>边缘层数据采集及历史数据模块开发</t>
        </is>
      </c>
      <c r="D245" s="16" t="inlineStr">
        <is>
          <t>高频采集调度</t>
        </is>
      </c>
      <c r="E245" s="16" t="inlineStr">
        <is>
          <t>采集策略</t>
        </is>
      </c>
      <c r="F245" s="16" t="inlineStr">
        <is>
          <t>类型差异化</t>
        </is>
      </c>
      <c r="G245" s="17" t="inlineStr">
        <is>
          <t xml:space="preserve"> 提供按抽油机/电泵井/注入井差异化配置服务</t>
        </is>
      </c>
      <c r="H245" s="18" t="inlineStr">
        <is>
          <t>EIF</t>
        </is>
      </c>
      <c r="I245" s="18">
        <f>IF(H245="ILF",10,IF(H245="EIF",7,IF(H245="EI",4,IF(H245="EO",5,IF(H245="EQ",4,"")))))</f>
        <v/>
      </c>
      <c r="J245" s="18" t="inlineStr">
        <is>
          <t>中</t>
        </is>
      </c>
      <c r="K245" s="18">
        <f>IF(J245="高",0.33,IF(J245="中",0.67,IF(J245="低",1,"")))</f>
        <v/>
      </c>
      <c r="L245" s="18" t="inlineStr">
        <is>
          <t>新增</t>
        </is>
      </c>
      <c r="M245" s="18">
        <f>IF(L245="新增",1,IF(L245="修改",0.8,IF(L245="删除",0.2,"")))</f>
        <v/>
      </c>
      <c r="N245" s="18">
        <f>I245*K245*M245</f>
        <v/>
      </c>
    </row>
    <row r="246" ht="19" customHeight="1" s="1">
      <c r="B246" s="16" t="n">
        <v>241</v>
      </c>
      <c r="C246" s="16" t="inlineStr">
        <is>
          <t>边缘层数据采集及历史数据模块开发</t>
        </is>
      </c>
      <c r="D246" s="16" t="inlineStr">
        <is>
          <t>高频采集调度</t>
        </is>
      </c>
      <c r="E246" s="16" t="inlineStr">
        <is>
          <t>采集策略</t>
        </is>
      </c>
      <c r="F246" s="16" t="inlineStr">
        <is>
          <t>状态自适应</t>
        </is>
      </c>
      <c r="G246" s="17" t="inlineStr">
        <is>
          <t xml:space="preserve"> 提供停机降频/复产恢复等状态调整采集频率服务</t>
        </is>
      </c>
      <c r="H246" s="18" t="inlineStr">
        <is>
          <t>EI</t>
        </is>
      </c>
      <c r="I246" s="18">
        <f>IF(H246="ILF",10,IF(H246="EIF",7,IF(H246="EI",4,IF(H246="EO",5,IF(H246="EQ",4,"")))))</f>
        <v/>
      </c>
      <c r="J246" s="18" t="inlineStr">
        <is>
          <t>低</t>
        </is>
      </c>
      <c r="K246" s="18">
        <f>IF(J246="高",0.33,IF(J246="中",0.67,IF(J246="低",1,"")))</f>
        <v/>
      </c>
      <c r="L246" s="18" t="inlineStr">
        <is>
          <t>新增</t>
        </is>
      </c>
      <c r="M246" s="18">
        <f>IF(L246="新增",1,IF(L246="修改",0.8,IF(L246="删除",0.2,"")))</f>
        <v/>
      </c>
      <c r="N246" s="18">
        <f>I246*K246*M246</f>
        <v/>
      </c>
    </row>
    <row r="247" ht="19" customHeight="1" s="1">
      <c r="B247" s="16" t="n">
        <v>242</v>
      </c>
      <c r="C247" s="16" t="inlineStr">
        <is>
          <t>边缘层数据采集及历史数据模块开发</t>
        </is>
      </c>
      <c r="D247" s="16" t="inlineStr">
        <is>
          <t>高频采集调度</t>
        </is>
      </c>
      <c r="E247" s="16" t="inlineStr">
        <is>
          <t>采集策略</t>
        </is>
      </c>
      <c r="F247" s="16" t="inlineStr">
        <is>
          <t>时段差异化</t>
        </is>
      </c>
      <c r="G247" s="17" t="inlineStr">
        <is>
          <t xml:space="preserve"> 提供白天加密/夜间降频的时段差异化采集服务</t>
        </is>
      </c>
      <c r="H247" s="18" t="inlineStr">
        <is>
          <t>EI</t>
        </is>
      </c>
      <c r="I247" s="18">
        <f>IF(H247="ILF",10,IF(H247="EIF",7,IF(H247="EI",4,IF(H247="EO",5,IF(H247="EQ",4,"")))))</f>
        <v/>
      </c>
      <c r="J247" s="18" t="inlineStr">
        <is>
          <t>低</t>
        </is>
      </c>
      <c r="K247" s="18">
        <f>IF(J247="高",0.33,IF(J247="中",0.67,IF(J247="低",1,"")))</f>
        <v/>
      </c>
      <c r="L247" s="18" t="inlineStr">
        <is>
          <t>新增</t>
        </is>
      </c>
      <c r="M247" s="18">
        <f>IF(L247="新增",1,IF(L247="修改",0.8,IF(L247="删除",0.2,"")))</f>
        <v/>
      </c>
      <c r="N247" s="18">
        <f>I247*K247*M247</f>
        <v/>
      </c>
    </row>
    <row r="248" ht="19" customHeight="1" s="1">
      <c r="B248" s="16" t="n">
        <v>243</v>
      </c>
      <c r="C248" s="16" t="inlineStr">
        <is>
          <t>边缘层数据采集及历史数据模块开发</t>
        </is>
      </c>
      <c r="D248" s="16" t="inlineStr">
        <is>
          <t>高频采集调度</t>
        </is>
      </c>
      <c r="E248" s="16" t="inlineStr">
        <is>
          <t>采集策略</t>
        </is>
      </c>
      <c r="F248" s="16" t="inlineStr">
        <is>
          <t>值变化触发</t>
        </is>
      </c>
      <c r="G248" s="17" t="inlineStr">
        <is>
          <t xml:space="preserve"> 提供参数变化超过0.5MPa触发即时采集服务</t>
        </is>
      </c>
      <c r="H248" s="18" t="inlineStr">
        <is>
          <t>EI</t>
        </is>
      </c>
      <c r="I248" s="18">
        <f>IF(H248="ILF",10,IF(H248="EIF",7,IF(H248="EI",4,IF(H248="EO",5,IF(H248="EQ",4,"")))))</f>
        <v/>
      </c>
      <c r="J248" s="18" t="inlineStr">
        <is>
          <t>低</t>
        </is>
      </c>
      <c r="K248" s="18">
        <f>IF(J248="高",0.33,IF(J248="中",0.67,IF(J248="低",1,"")))</f>
        <v/>
      </c>
      <c r="L248" s="18" t="inlineStr">
        <is>
          <t>新增</t>
        </is>
      </c>
      <c r="M248" s="18">
        <f>IF(L248="新增",1,IF(L248="修改",0.8,IF(L248="删除",0.2,"")))</f>
        <v/>
      </c>
      <c r="N248" s="18">
        <f>I248*K248*M248</f>
        <v/>
      </c>
    </row>
    <row r="249" ht="19" customHeight="1" s="1">
      <c r="B249" s="16" t="n">
        <v>244</v>
      </c>
      <c r="C249" s="16" t="inlineStr">
        <is>
          <t>边缘层数据采集及历史数据模块开发</t>
        </is>
      </c>
      <c r="D249" s="16" t="inlineStr">
        <is>
          <t>高频采集调度</t>
        </is>
      </c>
      <c r="E249" s="16" t="inlineStr">
        <is>
          <t>采集策略</t>
        </is>
      </c>
      <c r="F249" s="16" t="inlineStr">
        <is>
          <t>网络自适应</t>
        </is>
      </c>
      <c r="G249" s="17" t="inlineStr">
        <is>
          <t xml:space="preserve"> 提供根据丢包率和延迟调整采集频率服务</t>
        </is>
      </c>
      <c r="H249" s="18" t="inlineStr">
        <is>
          <t>EI</t>
        </is>
      </c>
      <c r="I249" s="18">
        <f>IF(H249="ILF",10,IF(H249="EIF",7,IF(H249="EI",4,IF(H249="EO",5,IF(H249="EQ",4,"")))))</f>
        <v/>
      </c>
      <c r="J249" s="18" t="inlineStr">
        <is>
          <t>低</t>
        </is>
      </c>
      <c r="K249" s="18">
        <f>IF(J249="高",0.33,IF(J249="中",0.67,IF(J249="低",1,"")))</f>
        <v/>
      </c>
      <c r="L249" s="18" t="inlineStr">
        <is>
          <t>新增</t>
        </is>
      </c>
      <c r="M249" s="18">
        <f>IF(L249="新增",1,IF(L249="修改",0.8,IF(L249="删除",0.2,"")))</f>
        <v/>
      </c>
      <c r="N249" s="18">
        <f>I249*K249*M249</f>
        <v/>
      </c>
    </row>
    <row r="250" ht="19" customHeight="1" s="1">
      <c r="B250" s="16" t="n">
        <v>245</v>
      </c>
      <c r="C250" s="16" t="inlineStr">
        <is>
          <t>边缘层数据采集及历史数据模块开发</t>
        </is>
      </c>
      <c r="D250" s="16" t="inlineStr">
        <is>
          <t>高频采集调度</t>
        </is>
      </c>
      <c r="E250" s="16" t="inlineStr">
        <is>
          <t>采集策略</t>
        </is>
      </c>
      <c r="F250" s="16" t="inlineStr">
        <is>
          <t>线程池</t>
        </is>
      </c>
      <c r="G250" s="17" t="inlineStr">
        <is>
          <t xml:space="preserve"> 提供线程池并发采集max_workers可配服务</t>
        </is>
      </c>
      <c r="H250" s="18" t="inlineStr">
        <is>
          <t>EI</t>
        </is>
      </c>
      <c r="I250" s="18">
        <f>IF(H250="ILF",10,IF(H250="EIF",7,IF(H250="EI",4,IF(H250="EO",5,IF(H250="EQ",4,"")))))</f>
        <v/>
      </c>
      <c r="J250" s="18" t="inlineStr">
        <is>
          <t>低</t>
        </is>
      </c>
      <c r="K250" s="18">
        <f>IF(J250="高",0.33,IF(J250="中",0.67,IF(J250="低",1,"")))</f>
        <v/>
      </c>
      <c r="L250" s="18" t="inlineStr">
        <is>
          <t>新增</t>
        </is>
      </c>
      <c r="M250" s="18">
        <f>IF(L250="新增",1,IF(L250="修改",0.8,IF(L250="删除",0.2,"")))</f>
        <v/>
      </c>
      <c r="N250" s="18">
        <f>I250*K250*M250</f>
        <v/>
      </c>
    </row>
    <row r="251" ht="19" customHeight="1" s="1">
      <c r="B251" s="16" t="n">
        <v>246</v>
      </c>
      <c r="C251" s="16" t="inlineStr">
        <is>
          <t>边缘层数据采集及历史数据模块开发</t>
        </is>
      </c>
      <c r="D251" s="16" t="inlineStr">
        <is>
          <t>高频采集调度</t>
        </is>
      </c>
      <c r="E251" s="16" t="inlineStr">
        <is>
          <t>采集策略</t>
        </is>
      </c>
      <c r="F251" s="16" t="inlineStr">
        <is>
          <t>退避重试</t>
        </is>
      </c>
      <c r="G251" s="17" t="inlineStr">
        <is>
          <t xml:space="preserve"> 提供3次退避重试1s/5s/30s间隔服务</t>
        </is>
      </c>
      <c r="H251" s="18" t="inlineStr">
        <is>
          <t>EI</t>
        </is>
      </c>
      <c r="I251" s="18">
        <f>IF(H251="ILF",10,IF(H251="EIF",7,IF(H251="EI",4,IF(H251="EO",5,IF(H251="EQ",4,"")))))</f>
        <v/>
      </c>
      <c r="J251" s="18" t="inlineStr">
        <is>
          <t>低</t>
        </is>
      </c>
      <c r="K251" s="18">
        <f>IF(J251="高",0.33,IF(J251="中",0.67,IF(J251="低",1,"")))</f>
        <v/>
      </c>
      <c r="L251" s="18" t="inlineStr">
        <is>
          <t>新增</t>
        </is>
      </c>
      <c r="M251" s="18">
        <f>IF(L251="新增",1,IF(L251="修改",0.8,IF(L251="删除",0.2,"")))</f>
        <v/>
      </c>
      <c r="N251" s="18">
        <f>I251*K251*M251</f>
        <v/>
      </c>
    </row>
    <row r="252" ht="19" customHeight="1" s="1">
      <c r="B252" s="16" t="n">
        <v>247</v>
      </c>
      <c r="C252" s="16" t="inlineStr">
        <is>
          <t>边缘层数据采集及历史数据模块开发</t>
        </is>
      </c>
      <c r="D252" s="16" t="inlineStr">
        <is>
          <t>高频采集调度</t>
        </is>
      </c>
      <c r="E252" s="16" t="inlineStr">
        <is>
          <t>采集策略</t>
        </is>
      </c>
      <c r="F252" s="16" t="inlineStr">
        <is>
          <t>错峰调度</t>
        </is>
      </c>
      <c r="G252" s="17" t="inlineStr">
        <is>
          <t xml:space="preserve"> 提供同一网关下采集错峰避免广播风暴服务</t>
        </is>
      </c>
      <c r="H252" s="18" t="inlineStr">
        <is>
          <t>EI</t>
        </is>
      </c>
      <c r="I252" s="18">
        <f>IF(H252="ILF",10,IF(H252="EIF",7,IF(H252="EI",4,IF(H252="EO",5,IF(H252="EQ",4,"")))))</f>
        <v/>
      </c>
      <c r="J252" s="18" t="inlineStr">
        <is>
          <t>低</t>
        </is>
      </c>
      <c r="K252" s="18">
        <f>IF(J252="高",0.33,IF(J252="中",0.67,IF(J252="低",1,"")))</f>
        <v/>
      </c>
      <c r="L252" s="18" t="inlineStr">
        <is>
          <t>新增</t>
        </is>
      </c>
      <c r="M252" s="18">
        <f>IF(L252="新增",1,IF(L252="修改",0.8,IF(L252="删除",0.2,"")))</f>
        <v/>
      </c>
      <c r="N252" s="18">
        <f>I252*K252*M252</f>
        <v/>
      </c>
    </row>
    <row r="253" ht="19" customHeight="1" s="1">
      <c r="B253" s="16" t="n">
        <v>248</v>
      </c>
      <c r="C253" s="16" t="inlineStr">
        <is>
          <t>边缘层数据采集及历史数据模块开发</t>
        </is>
      </c>
      <c r="D253" s="16" t="inlineStr">
        <is>
          <t>高频采集调度</t>
        </is>
      </c>
      <c r="E253" s="16" t="inlineStr">
        <is>
          <t>采集策略</t>
        </is>
      </c>
      <c r="F253" s="16" t="inlineStr">
        <is>
          <t>任务编排</t>
        </is>
      </c>
      <c r="G253" s="17" t="inlineStr">
        <is>
          <t xml:space="preserve"> 提供采集任务调度编排和优先级管理服务</t>
        </is>
      </c>
      <c r="H253" s="18" t="inlineStr">
        <is>
          <t>EI</t>
        </is>
      </c>
      <c r="I253" s="18">
        <f>IF(H253="ILF",10,IF(H253="EIF",7,IF(H253="EI",4,IF(H253="EO",5,IF(H253="EQ",4,"")))))</f>
        <v/>
      </c>
      <c r="J253" s="18" t="inlineStr">
        <is>
          <t>低</t>
        </is>
      </c>
      <c r="K253" s="18">
        <f>IF(J253="高",0.33,IF(J253="中",0.67,IF(J253="低",1,"")))</f>
        <v/>
      </c>
      <c r="L253" s="18" t="inlineStr">
        <is>
          <t>新增</t>
        </is>
      </c>
      <c r="M253" s="18">
        <f>IF(L253="新增",1,IF(L253="修改",0.8,IF(L253="删除",0.2,"")))</f>
        <v/>
      </c>
      <c r="N253" s="18">
        <f>I253*K253*M253</f>
        <v/>
      </c>
    </row>
    <row r="254" ht="19" customHeight="1" s="1">
      <c r="B254" s="16" t="n">
        <v>249</v>
      </c>
      <c r="C254" s="16" t="inlineStr">
        <is>
          <t>边缘层数据采集及历史数据模块开发</t>
        </is>
      </c>
      <c r="D254" s="16" t="inlineStr">
        <is>
          <t>高频采集调度</t>
        </is>
      </c>
      <c r="E254" s="16" t="inlineStr">
        <is>
          <t>采集策略</t>
        </is>
      </c>
      <c r="F254" s="16" t="inlineStr">
        <is>
          <t>负载均衡</t>
        </is>
      </c>
      <c r="G254" s="17" t="inlineStr">
        <is>
          <t xml:space="preserve"> 提供多节点间采集任务负载均衡服务</t>
        </is>
      </c>
      <c r="H254" s="18" t="inlineStr">
        <is>
          <t>EI</t>
        </is>
      </c>
      <c r="I254" s="18">
        <f>IF(H254="ILF",10,IF(H254="EIF",7,IF(H254="EI",4,IF(H254="EO",5,IF(H254="EQ",4,"")))))</f>
        <v/>
      </c>
      <c r="J254" s="18" t="inlineStr">
        <is>
          <t>低</t>
        </is>
      </c>
      <c r="K254" s="18">
        <f>IF(J254="高",0.33,IF(J254="中",0.67,IF(J254="低",1,"")))</f>
        <v/>
      </c>
      <c r="L254" s="18" t="inlineStr">
        <is>
          <t>新增</t>
        </is>
      </c>
      <c r="M254" s="18">
        <f>IF(L254="新增",1,IF(L254="修改",0.8,IF(L254="删除",0.2,"")))</f>
        <v/>
      </c>
      <c r="N254" s="18">
        <f>I254*K254*M254</f>
        <v/>
      </c>
    </row>
    <row r="255" ht="19" customHeight="1" s="1">
      <c r="B255" s="16" t="n">
        <v>250</v>
      </c>
      <c r="C255" s="16" t="inlineStr">
        <is>
          <t>边缘层数据采集及历史数据模块开发</t>
        </is>
      </c>
      <c r="D255" s="16" t="inlineStr">
        <is>
          <t>高频采集调度</t>
        </is>
      </c>
      <c r="E255" s="16" t="inlineStr">
        <is>
          <t>采集策略</t>
        </is>
      </c>
      <c r="F255" s="16" t="inlineStr">
        <is>
          <t>策略热加载</t>
        </is>
      </c>
      <c r="G255" s="17" t="inlineStr">
        <is>
          <t xml:space="preserve"> 提供采集策略变更后热加载生效服务</t>
        </is>
      </c>
      <c r="H255" s="18" t="inlineStr">
        <is>
          <t>EI</t>
        </is>
      </c>
      <c r="I255" s="18">
        <f>IF(H255="ILF",10,IF(H255="EIF",7,IF(H255="EI",4,IF(H255="EO",5,IF(H255="EQ",4,"")))))</f>
        <v/>
      </c>
      <c r="J255" s="18" t="inlineStr">
        <is>
          <t>低</t>
        </is>
      </c>
      <c r="K255" s="18">
        <f>IF(J255="高",0.33,IF(J255="中",0.67,IF(J255="低",1,"")))</f>
        <v/>
      </c>
      <c r="L255" s="18" t="inlineStr">
        <is>
          <t>新增</t>
        </is>
      </c>
      <c r="M255" s="18">
        <f>IF(L255="新增",1,IF(L255="修改",0.8,IF(L255="删除",0.2,"")))</f>
        <v/>
      </c>
      <c r="N255" s="18">
        <f>I255*K255*M255</f>
        <v/>
      </c>
    </row>
    <row r="256" ht="19" customHeight="1" s="1">
      <c r="B256" s="16" t="n">
        <v>251</v>
      </c>
      <c r="C256" s="16" t="inlineStr">
        <is>
          <t>边缘层数据采集及历史数据模块开发</t>
        </is>
      </c>
      <c r="D256" s="16" t="inlineStr">
        <is>
          <t>高频采集调度</t>
        </is>
      </c>
      <c r="E256" s="16" t="inlineStr">
        <is>
          <t>采集策略</t>
        </is>
      </c>
      <c r="F256" s="16" t="inlineStr">
        <is>
          <t>策略版本</t>
        </is>
      </c>
      <c r="G256" s="17" t="inlineStr">
        <is>
          <t xml:space="preserve"> 提供采集策略版本历史追溯和回滚服务</t>
        </is>
      </c>
      <c r="H256" s="18" t="inlineStr">
        <is>
          <t>EI</t>
        </is>
      </c>
      <c r="I256" s="18">
        <f>IF(H256="ILF",10,IF(H256="EIF",7,IF(H256="EI",4,IF(H256="EO",5,IF(H256="EQ",4,"")))))</f>
        <v/>
      </c>
      <c r="J256" s="18" t="inlineStr">
        <is>
          <t>低</t>
        </is>
      </c>
      <c r="K256" s="18">
        <f>IF(J256="高",0.33,IF(J256="中",0.67,IF(J256="低",1,"")))</f>
        <v/>
      </c>
      <c r="L256" s="18" t="inlineStr">
        <is>
          <t>新增</t>
        </is>
      </c>
      <c r="M256" s="18">
        <f>IF(L256="新增",1,IF(L256="修改",0.8,IF(L256="删除",0.2,"")))</f>
        <v/>
      </c>
      <c r="N256" s="18">
        <f>I256*K256*M256</f>
        <v/>
      </c>
    </row>
    <row r="257" ht="19" customHeight="1" s="1">
      <c r="B257" s="16" t="n">
        <v>252</v>
      </c>
      <c r="C257" s="16" t="inlineStr">
        <is>
          <t>边缘层数据采集及历史数据模块开发</t>
        </is>
      </c>
      <c r="D257" s="16" t="inlineStr">
        <is>
          <t>高频采集调度</t>
        </is>
      </c>
      <c r="E257" s="16" t="inlineStr">
        <is>
          <t>弱网优化</t>
        </is>
      </c>
      <c r="F257" s="16" t="inlineStr">
        <is>
          <t>4G分时</t>
        </is>
      </c>
      <c r="G257" s="17" t="inlineStr">
        <is>
          <t xml:space="preserve"> 提供按地理位置分组编排时间窗避免通频拥塞服务</t>
        </is>
      </c>
      <c r="H257" s="18" t="inlineStr">
        <is>
          <t>EI</t>
        </is>
      </c>
      <c r="I257" s="18">
        <f>IF(H257="ILF",10,IF(H257="EIF",7,IF(H257="EI",4,IF(H257="EO",5,IF(H257="EQ",4,"")))))</f>
        <v/>
      </c>
      <c r="J257" s="18" t="inlineStr">
        <is>
          <t>低</t>
        </is>
      </c>
      <c r="K257" s="18">
        <f>IF(J257="高",0.33,IF(J257="中",0.67,IF(J257="低",1,"")))</f>
        <v/>
      </c>
      <c r="L257" s="18" t="inlineStr">
        <is>
          <t>新增</t>
        </is>
      </c>
      <c r="M257" s="18">
        <f>IF(L257="新增",1,IF(L257="修改",0.8,IF(L257="删除",0.2,"")))</f>
        <v/>
      </c>
      <c r="N257" s="18">
        <f>I257*K257*M257</f>
        <v/>
      </c>
    </row>
    <row r="258" ht="19" customHeight="1" s="1">
      <c r="B258" s="16" t="n">
        <v>253</v>
      </c>
      <c r="C258" s="16" t="inlineStr">
        <is>
          <t>边缘层数据采集及历史数据模块开发</t>
        </is>
      </c>
      <c r="D258" s="16" t="inlineStr">
        <is>
          <t>高频采集调度</t>
        </is>
      </c>
      <c r="E258" s="16" t="inlineStr">
        <is>
          <t>弱网优化</t>
        </is>
      </c>
      <c r="F258" s="16" t="inlineStr">
        <is>
          <t>低电量优化</t>
        </is>
      </c>
      <c r="G258" s="17" t="inlineStr">
        <is>
          <t xml:space="preserve"> 提供电池供电设备减少采集频次延长续航服务</t>
        </is>
      </c>
      <c r="H258" s="18" t="inlineStr">
        <is>
          <t>EI</t>
        </is>
      </c>
      <c r="I258" s="18">
        <f>IF(H258="ILF",10,IF(H258="EIF",7,IF(H258="EI",4,IF(H258="EO",5,IF(H258="EQ",4,"")))))</f>
        <v/>
      </c>
      <c r="J258" s="18" t="inlineStr">
        <is>
          <t>低</t>
        </is>
      </c>
      <c r="K258" s="18">
        <f>IF(J258="高",0.33,IF(J258="中",0.67,IF(J258="低",1,"")))</f>
        <v/>
      </c>
      <c r="L258" s="18" t="inlineStr">
        <is>
          <t>新增</t>
        </is>
      </c>
      <c r="M258" s="18">
        <f>IF(L258="新增",1,IF(L258="修改",0.8,IF(L258="删除",0.2,"")))</f>
        <v/>
      </c>
      <c r="N258" s="18">
        <f>I258*K258*M258</f>
        <v/>
      </c>
    </row>
    <row r="259" ht="19" customHeight="1" s="1">
      <c r="B259" s="16" t="n">
        <v>254</v>
      </c>
      <c r="C259" s="16" t="inlineStr">
        <is>
          <t>边缘层数据采集及历史数据模块开发</t>
        </is>
      </c>
      <c r="D259" s="16" t="inlineStr">
        <is>
          <t>高频采集调度</t>
        </is>
      </c>
      <c r="E259" s="16" t="inlineStr">
        <is>
          <t>弱网优化</t>
        </is>
      </c>
      <c r="F259" s="16" t="inlineStr">
        <is>
          <t>断网缓存</t>
        </is>
      </c>
      <c r="G259" s="17" t="inlineStr">
        <is>
          <t xml:space="preserve"> 提供断网时数据缓存至本地SQLite≥7天服务</t>
        </is>
      </c>
      <c r="H259" s="18" t="inlineStr">
        <is>
          <t>EI</t>
        </is>
      </c>
      <c r="I259" s="18">
        <f>IF(H259="ILF",10,IF(H259="EIF",7,IF(H259="EI",4,IF(H259="EO",5,IF(H259="EQ",4,"")))))</f>
        <v/>
      </c>
      <c r="J259" s="18" t="inlineStr">
        <is>
          <t>低</t>
        </is>
      </c>
      <c r="K259" s="18">
        <f>IF(J259="高",0.33,IF(J259="中",0.67,IF(J259="低",1,"")))</f>
        <v/>
      </c>
      <c r="L259" s="18" t="inlineStr">
        <is>
          <t>新增</t>
        </is>
      </c>
      <c r="M259" s="18">
        <f>IF(L259="新增",1,IF(L259="修改",0.8,IF(L259="删除",0.2,"")))</f>
        <v/>
      </c>
      <c r="N259" s="18">
        <f>I259*K259*M259</f>
        <v/>
      </c>
    </row>
    <row r="260" ht="19" customHeight="1" s="1">
      <c r="B260" s="16" t="n">
        <v>255</v>
      </c>
      <c r="C260" s="16" t="inlineStr">
        <is>
          <t>边缘层数据采集及历史数据模块开发</t>
        </is>
      </c>
      <c r="D260" s="16" t="inlineStr">
        <is>
          <t>高频采集调度</t>
        </is>
      </c>
      <c r="E260" s="16" t="inlineStr">
        <is>
          <t>弱网优化</t>
        </is>
      </c>
      <c r="F260" s="16" t="inlineStr">
        <is>
          <t>自动补传</t>
        </is>
      </c>
      <c r="G260" s="17" t="inlineStr">
        <is>
          <t xml:space="preserve"> 提供网络恢复后按时间戳顺序自动补传数据服务</t>
        </is>
      </c>
      <c r="H260" s="18" t="inlineStr">
        <is>
          <t>EI</t>
        </is>
      </c>
      <c r="I260" s="18">
        <f>IF(H260="ILF",10,IF(H260="EIF",7,IF(H260="EI",4,IF(H260="EO",5,IF(H260="EQ",4,"")))))</f>
        <v/>
      </c>
      <c r="J260" s="18" t="inlineStr">
        <is>
          <t>低</t>
        </is>
      </c>
      <c r="K260" s="18">
        <f>IF(J260="高",0.33,IF(J260="中",0.67,IF(J260="低",1,"")))</f>
        <v/>
      </c>
      <c r="L260" s="18" t="inlineStr">
        <is>
          <t>新增</t>
        </is>
      </c>
      <c r="M260" s="18">
        <f>IF(L260="新增",1,IF(L260="修改",0.8,IF(L260="删除",0.2,"")))</f>
        <v/>
      </c>
      <c r="N260" s="18">
        <f>I260*K260*M260</f>
        <v/>
      </c>
    </row>
    <row r="261" ht="19" customHeight="1" s="1">
      <c r="B261" s="16" t="n">
        <v>256</v>
      </c>
      <c r="C261" s="16" t="inlineStr">
        <is>
          <t>边缘层数据采集及历史数据模块开发</t>
        </is>
      </c>
      <c r="D261" s="16" t="inlineStr">
        <is>
          <t>高频采集调度</t>
        </is>
      </c>
      <c r="E261" s="16" t="inlineStr">
        <is>
          <t>弱网优化</t>
        </is>
      </c>
      <c r="F261" s="16" t="inlineStr">
        <is>
          <t>丢包降频</t>
        </is>
      </c>
      <c r="G261" s="17" t="inlineStr">
        <is>
          <t xml:space="preserve"> 提供丢包率&gt;10%时自动倍频降频服务</t>
        </is>
      </c>
      <c r="H261" s="18" t="inlineStr">
        <is>
          <t>EI</t>
        </is>
      </c>
      <c r="I261" s="18">
        <f>IF(H261="ILF",10,IF(H261="EIF",7,IF(H261="EI",4,IF(H261="EO",5,IF(H261="EQ",4,"")))))</f>
        <v/>
      </c>
      <c r="J261" s="18" t="inlineStr">
        <is>
          <t>低</t>
        </is>
      </c>
      <c r="K261" s="18">
        <f>IF(J261="高",0.33,IF(J261="中",0.67,IF(J261="低",1,"")))</f>
        <v/>
      </c>
      <c r="L261" s="18" t="inlineStr">
        <is>
          <t>新增</t>
        </is>
      </c>
      <c r="M261" s="18">
        <f>IF(L261="新增",1,IF(L261="修改",0.8,IF(L261="删除",0.2,"")))</f>
        <v/>
      </c>
      <c r="N261" s="18">
        <f>I261*K261*M261</f>
        <v/>
      </c>
    </row>
    <row r="262" ht="19" customHeight="1" s="1">
      <c r="B262" s="16" t="n">
        <v>257</v>
      </c>
      <c r="C262" s="16" t="inlineStr">
        <is>
          <t>边缘层数据采集及历史数据模块开发</t>
        </is>
      </c>
      <c r="D262" s="16" t="inlineStr">
        <is>
          <t>高频采集调度</t>
        </is>
      </c>
      <c r="E262" s="16" t="inlineStr">
        <is>
          <t>弱网优化</t>
        </is>
      </c>
      <c r="F262" s="16" t="inlineStr">
        <is>
          <t>延迟降频</t>
        </is>
      </c>
      <c r="G262" s="17" t="inlineStr">
        <is>
          <t xml:space="preserve"> 提供响应延迟&gt;2000ms时自动降频服务</t>
        </is>
      </c>
      <c r="H262" s="18" t="inlineStr">
        <is>
          <t>EI</t>
        </is>
      </c>
      <c r="I262" s="18">
        <f>IF(H262="ILF",10,IF(H262="EIF",7,IF(H262="EI",4,IF(H262="EO",5,IF(H262="EQ",4,"")))))</f>
        <v/>
      </c>
      <c r="J262" s="18" t="inlineStr">
        <is>
          <t>低</t>
        </is>
      </c>
      <c r="K262" s="18">
        <f>IF(J262="高",0.33,IF(J262="中",0.67,IF(J262="低",1,"")))</f>
        <v/>
      </c>
      <c r="L262" s="18" t="inlineStr">
        <is>
          <t>新增</t>
        </is>
      </c>
      <c r="M262" s="18">
        <f>IF(L262="新增",1,IF(L262="修改",0.8,IF(L262="删除",0.2,"")))</f>
        <v/>
      </c>
      <c r="N262" s="18">
        <f>I262*K262*M262</f>
        <v/>
      </c>
    </row>
    <row r="263" ht="19" customHeight="1" s="1">
      <c r="B263" s="16" t="n">
        <v>258</v>
      </c>
      <c r="C263" s="16" t="inlineStr">
        <is>
          <t>边缘层数据采集及历史数据模块开发</t>
        </is>
      </c>
      <c r="D263" s="16" t="inlineStr">
        <is>
          <t>高频采集调度</t>
        </is>
      </c>
      <c r="E263" s="16" t="inlineStr">
        <is>
          <t>弱网优化</t>
        </is>
      </c>
      <c r="F263" s="16" t="inlineStr">
        <is>
          <t>链路配置</t>
        </is>
      </c>
      <c r="G263" s="17" t="inlineStr">
        <is>
          <t xml:space="preserve"> 提供TCP超时/重试次数/退避间隔独立配置服务</t>
        </is>
      </c>
      <c r="H263" s="18" t="inlineStr">
        <is>
          <t>EI</t>
        </is>
      </c>
      <c r="I263" s="18">
        <f>IF(H263="ILF",10,IF(H263="EIF",7,IF(H263="EI",4,IF(H263="EO",5,IF(H263="EQ",4,"")))))</f>
        <v/>
      </c>
      <c r="J263" s="18" t="inlineStr">
        <is>
          <t>低</t>
        </is>
      </c>
      <c r="K263" s="18">
        <f>IF(J263="高",0.33,IF(J263="中",0.67,IF(J263="低",1,"")))</f>
        <v/>
      </c>
      <c r="L263" s="18" t="inlineStr">
        <is>
          <t>新增</t>
        </is>
      </c>
      <c r="M263" s="18">
        <f>IF(L263="新增",1,IF(L263="修改",0.8,IF(L263="删除",0.2,"")))</f>
        <v/>
      </c>
      <c r="N263" s="18">
        <f>I263*K263*M263</f>
        <v/>
      </c>
    </row>
    <row r="264" ht="19" customHeight="1" s="1">
      <c r="B264" s="16" t="n">
        <v>259</v>
      </c>
      <c r="C264" s="16" t="inlineStr">
        <is>
          <t>边缘层数据采集及历史数据模块开发</t>
        </is>
      </c>
      <c r="D264" s="16" t="inlineStr">
        <is>
          <t>高频采集调度</t>
        </is>
      </c>
      <c r="E264" s="16" t="inlineStr">
        <is>
          <t>弱网优化</t>
        </is>
      </c>
      <c r="F264" s="16" t="inlineStr">
        <is>
          <t>弱网标记</t>
        </is>
      </c>
      <c r="G264" s="17" t="inlineStr">
        <is>
          <t xml:space="preserve"> 提供月成功率&lt;80%自动标记弱网设备服务</t>
        </is>
      </c>
      <c r="H264" s="18" t="inlineStr">
        <is>
          <t>EI</t>
        </is>
      </c>
      <c r="I264" s="18">
        <f>IF(H264="ILF",10,IF(H264="EIF",7,IF(H264="EI",4,IF(H264="EO",5,IF(H264="EQ",4,"")))))</f>
        <v/>
      </c>
      <c r="J264" s="18" t="inlineStr">
        <is>
          <t>低</t>
        </is>
      </c>
      <c r="K264" s="18">
        <f>IF(J264="高",0.33,IF(J264="中",0.67,IF(J264="低",1,"")))</f>
        <v/>
      </c>
      <c r="L264" s="18" t="inlineStr">
        <is>
          <t>新增</t>
        </is>
      </c>
      <c r="M264" s="18">
        <f>IF(L264="新增",1,IF(L264="修改",0.8,IF(L264="删除",0.2,"")))</f>
        <v/>
      </c>
      <c r="N264" s="18">
        <f>I264*K264*M264</f>
        <v/>
      </c>
    </row>
    <row r="265" ht="19" customHeight="1" s="1">
      <c r="B265" s="16" t="n">
        <v>260</v>
      </c>
      <c r="C265" s="16" t="inlineStr">
        <is>
          <t>边缘层数据采集及历史数据模块开发</t>
        </is>
      </c>
      <c r="D265" s="16" t="inlineStr">
        <is>
          <t>高频采集调度</t>
        </is>
      </c>
      <c r="E265" s="16" t="inlineStr">
        <is>
          <t>弱网优化</t>
        </is>
      </c>
      <c r="F265" s="16" t="inlineStr">
        <is>
          <t>补传验证</t>
        </is>
      </c>
      <c r="G265" s="17" t="inlineStr">
        <is>
          <t xml:space="preserve"> 提供网络恢复补传数据完整性和时序验证服务</t>
        </is>
      </c>
      <c r="H265" s="18" t="inlineStr">
        <is>
          <t>EI</t>
        </is>
      </c>
      <c r="I265" s="18">
        <f>IF(H265="ILF",10,IF(H265="EIF",7,IF(H265="EI",4,IF(H265="EO",5,IF(H265="EQ",4,"")))))</f>
        <v/>
      </c>
      <c r="J265" s="18" t="inlineStr">
        <is>
          <t>低</t>
        </is>
      </c>
      <c r="K265" s="18">
        <f>IF(J265="高",0.33,IF(J265="中",0.67,IF(J265="低",1,"")))</f>
        <v/>
      </c>
      <c r="L265" s="18" t="inlineStr">
        <is>
          <t>新增</t>
        </is>
      </c>
      <c r="M265" s="18">
        <f>IF(L265="新增",1,IF(L265="修改",0.8,IF(L265="删除",0.2,"")))</f>
        <v/>
      </c>
      <c r="N265" s="18">
        <f>I265*K265*M265</f>
        <v/>
      </c>
    </row>
    <row r="266" ht="19" customHeight="1" s="1">
      <c r="B266" s="16" t="n">
        <v>261</v>
      </c>
      <c r="C266" s="16" t="inlineStr">
        <is>
          <t>边缘层数据采集及历史数据模块开发</t>
        </is>
      </c>
      <c r="D266" s="16" t="inlineStr">
        <is>
          <t>A11协同保障</t>
        </is>
      </c>
      <c r="E266" s="16" t="inlineStr">
        <is>
          <t>ID与时序</t>
        </is>
      </c>
      <c r="F266" s="16" t="inlineStr">
        <is>
          <t>A11会话ID</t>
        </is>
      </c>
      <c r="G266" s="17" t="inlineStr">
        <is>
          <t xml:space="preserve"> 提供A11沿用原有编号1~100的会话ID管理服务</t>
        </is>
      </c>
      <c r="H266" s="18" t="inlineStr">
        <is>
          <t>EI</t>
        </is>
      </c>
      <c r="I266" s="18">
        <f>IF(H266="ILF",10,IF(H266="EIF",7,IF(H266="EI",4,IF(H266="EO",5,IF(H266="EQ",4,"")))))</f>
        <v/>
      </c>
      <c r="J266" s="18" t="inlineStr">
        <is>
          <t>低</t>
        </is>
      </c>
      <c r="K266" s="18">
        <f>IF(J266="高",0.33,IF(J266="中",0.67,IF(J266="低",1,"")))</f>
        <v/>
      </c>
      <c r="L266" s="18" t="inlineStr">
        <is>
          <t>新增</t>
        </is>
      </c>
      <c r="M266" s="18">
        <f>IF(L266="新增",1,IF(L266="修改",0.8,IF(L266="删除",0.2,"")))</f>
        <v/>
      </c>
      <c r="N266" s="18">
        <f>I266*K266*M266</f>
        <v/>
      </c>
    </row>
    <row r="267" ht="19" customHeight="1" s="1">
      <c r="B267" s="16" t="n">
        <v>262</v>
      </c>
      <c r="C267" s="16" t="inlineStr">
        <is>
          <t>边缘层数据采集及历史数据模块开发</t>
        </is>
      </c>
      <c r="D267" s="16" t="inlineStr">
        <is>
          <t>A11协同保障</t>
        </is>
      </c>
      <c r="E267" s="16" t="inlineStr">
        <is>
          <t>ID与时序</t>
        </is>
      </c>
      <c r="F267" s="16" t="inlineStr">
        <is>
          <t>我方会话ID</t>
        </is>
      </c>
      <c r="G267" s="17" t="inlineStr">
        <is>
          <t xml:space="preserve"> 提供我方独立段1001~2000会话ID管理服务</t>
        </is>
      </c>
      <c r="H267" s="18" t="inlineStr">
        <is>
          <t>EI</t>
        </is>
      </c>
      <c r="I267" s="18">
        <f>IF(H267="ILF",10,IF(H267="EIF",7,IF(H267="EI",4,IF(H267="EO",5,IF(H267="EQ",4,"")))))</f>
        <v/>
      </c>
      <c r="J267" s="18" t="inlineStr">
        <is>
          <t>低</t>
        </is>
      </c>
      <c r="K267" s="18">
        <f>IF(J267="高",0.33,IF(J267="中",0.67,IF(J267="低",1,"")))</f>
        <v/>
      </c>
      <c r="L267" s="18" t="inlineStr">
        <is>
          <t>新增</t>
        </is>
      </c>
      <c r="M267" s="18">
        <f>IF(L267="新增",1,IF(L267="修改",0.8,IF(L267="删除",0.2,"")))</f>
        <v/>
      </c>
      <c r="N267" s="18">
        <f>I267*K267*M267</f>
        <v/>
      </c>
    </row>
    <row r="268" ht="19" customHeight="1" s="1">
      <c r="B268" s="16" t="n">
        <v>263</v>
      </c>
      <c r="C268" s="16" t="inlineStr">
        <is>
          <t>边缘层数据采集及历史数据模块开发</t>
        </is>
      </c>
      <c r="D268" s="16" t="inlineStr">
        <is>
          <t>A11协同保障</t>
        </is>
      </c>
      <c r="E268" s="16" t="inlineStr">
        <is>
          <t>ID与时序</t>
        </is>
      </c>
      <c r="F268" s="16" t="inlineStr">
        <is>
          <t>ID冲突检测</t>
        </is>
      </c>
      <c r="G268" s="17" t="inlineStr">
        <is>
          <t xml:space="preserve"> 提供会话ID冲突实时检测服务</t>
        </is>
      </c>
      <c r="H268" s="18" t="inlineStr">
        <is>
          <t>EI</t>
        </is>
      </c>
      <c r="I268" s="18">
        <f>IF(H268="ILF",10,IF(H268="EIF",7,IF(H268="EI",4,IF(H268="EO",5,IF(H268="EQ",4,"")))))</f>
        <v/>
      </c>
      <c r="J268" s="18" t="inlineStr">
        <is>
          <t>低</t>
        </is>
      </c>
      <c r="K268" s="18">
        <f>IF(J268="高",0.33,IF(J268="中",0.67,IF(J268="低",1,"")))</f>
        <v/>
      </c>
      <c r="L268" s="18" t="inlineStr">
        <is>
          <t>新增</t>
        </is>
      </c>
      <c r="M268" s="18">
        <f>IF(L268="新增",1,IF(L268="修改",0.8,IF(L268="删除",0.2,"")))</f>
        <v/>
      </c>
      <c r="N268" s="18">
        <f>I268*K268*M268</f>
        <v/>
      </c>
    </row>
    <row r="269" ht="19" customHeight="1" s="1">
      <c r="B269" s="16" t="n">
        <v>264</v>
      </c>
      <c r="C269" s="16" t="inlineStr">
        <is>
          <t>边缘层数据采集及历史数据模块开发</t>
        </is>
      </c>
      <c r="D269" s="16" t="inlineStr">
        <is>
          <t>A11协同保障</t>
        </is>
      </c>
      <c r="E269" s="16" t="inlineStr">
        <is>
          <t>ID与时序</t>
        </is>
      </c>
      <c r="F269" s="16" t="inlineStr">
        <is>
          <t>ID回收</t>
        </is>
      </c>
      <c r="G269" s="17" t="inlineStr">
        <is>
          <t xml:space="preserve"> 提供会话结束后ID回收和复用服务</t>
        </is>
      </c>
      <c r="H269" s="18" t="inlineStr">
        <is>
          <t>EI</t>
        </is>
      </c>
      <c r="I269" s="18">
        <f>IF(H269="ILF",10,IF(H269="EIF",7,IF(H269="EI",4,IF(H269="EO",5,IF(H269="EQ",4,"")))))</f>
        <v/>
      </c>
      <c r="J269" s="18" t="inlineStr">
        <is>
          <t>低</t>
        </is>
      </c>
      <c r="K269" s="18">
        <f>IF(J269="高",0.33,IF(J269="中",0.67,IF(J269="低",1,"")))</f>
        <v/>
      </c>
      <c r="L269" s="18" t="inlineStr">
        <is>
          <t>新增</t>
        </is>
      </c>
      <c r="M269" s="18">
        <f>IF(L269="新增",1,IF(L269="修改",0.8,IF(L269="删除",0.2,"")))</f>
        <v/>
      </c>
      <c r="N269" s="18">
        <f>I269*K269*M269</f>
        <v/>
      </c>
    </row>
    <row r="270" ht="19" customHeight="1" s="1">
      <c r="B270" s="16" t="n">
        <v>265</v>
      </c>
      <c r="C270" s="16" t="inlineStr">
        <is>
          <t>边缘层数据采集及历史数据模块开发</t>
        </is>
      </c>
      <c r="D270" s="16" t="inlineStr">
        <is>
          <t>A11协同保障</t>
        </is>
      </c>
      <c r="E270" s="16" t="inlineStr">
        <is>
          <t>ID与时序</t>
        </is>
      </c>
      <c r="F270" s="16" t="inlineStr">
        <is>
          <t>ID统计</t>
        </is>
      </c>
      <c r="G270" s="17" t="inlineStr">
        <is>
          <t xml:space="preserve"> 提供会话ID使用率和分配统计服务</t>
        </is>
      </c>
      <c r="H270" s="18" t="inlineStr">
        <is>
          <t>EI</t>
        </is>
      </c>
      <c r="I270" s="18">
        <f>IF(H270="ILF",10,IF(H270="EIF",7,IF(H270="EI",4,IF(H270="EO",5,IF(H270="EQ",4,"")))))</f>
        <v/>
      </c>
      <c r="J270" s="18" t="inlineStr">
        <is>
          <t>低</t>
        </is>
      </c>
      <c r="K270" s="18">
        <f>IF(J270="高",0.33,IF(J270="中",0.67,IF(J270="低",1,"")))</f>
        <v/>
      </c>
      <c r="L270" s="18" t="inlineStr">
        <is>
          <t>新增</t>
        </is>
      </c>
      <c r="M270" s="18">
        <f>IF(L270="新增",1,IF(L270="修改",0.8,IF(L270="删除",0.2,"")))</f>
        <v/>
      </c>
      <c r="N270" s="18">
        <f>I270*K270*M270</f>
        <v/>
      </c>
    </row>
    <row r="271" ht="19" customHeight="1" s="1">
      <c r="B271" s="16" t="n">
        <v>266</v>
      </c>
      <c r="C271" s="16" t="inlineStr">
        <is>
          <t>边缘层数据采集及历史数据模块开发</t>
        </is>
      </c>
      <c r="D271" s="16" t="inlineStr">
        <is>
          <t>A11协同保障</t>
        </is>
      </c>
      <c r="E271" s="16" t="inlineStr">
        <is>
          <t>ID与时序</t>
        </is>
      </c>
      <c r="F271" s="16" t="inlineStr">
        <is>
          <t>串行队列</t>
        </is>
      </c>
      <c r="G271" s="17" t="inlineStr">
        <is>
          <t xml:space="preserve"> 提供按时间戳排序的串行化输出队列保障指令时序</t>
        </is>
      </c>
      <c r="H271" s="18" t="inlineStr">
        <is>
          <t>EI</t>
        </is>
      </c>
      <c r="I271" s="18">
        <f>IF(H271="ILF",10,IF(H271="EIF",7,IF(H271="EI",4,IF(H271="EO",5,IF(H271="EQ",4,"")))))</f>
        <v/>
      </c>
      <c r="J271" s="18" t="inlineStr">
        <is>
          <t>低</t>
        </is>
      </c>
      <c r="K271" s="18">
        <f>IF(J271="高",0.33,IF(J271="中",0.67,IF(J271="低",1,"")))</f>
        <v/>
      </c>
      <c r="L271" s="18" t="inlineStr">
        <is>
          <t>新增</t>
        </is>
      </c>
      <c r="M271" s="18">
        <f>IF(L271="新增",1,IF(L271="修改",0.8,IF(L271="删除",0.2,"")))</f>
        <v/>
      </c>
      <c r="N271" s="18">
        <f>I271*K271*M271</f>
        <v/>
      </c>
    </row>
    <row r="272" ht="19" customHeight="1" s="1">
      <c r="B272" s="16" t="n">
        <v>267</v>
      </c>
      <c r="C272" s="16" t="inlineStr">
        <is>
          <t>边缘层数据采集及历史数据模块开发</t>
        </is>
      </c>
      <c r="D272" s="16" t="inlineStr">
        <is>
          <t>A11协同保障</t>
        </is>
      </c>
      <c r="E272" s="16" t="inlineStr">
        <is>
          <t>ID与时序</t>
        </is>
      </c>
      <c r="F272" s="16" t="inlineStr">
        <is>
          <t>请求日志</t>
        </is>
      </c>
      <c r="G272" s="17" t="inlineStr">
        <is>
          <t xml:space="preserve"> 提供源会话ID/时间戳/报文内容记录服务</t>
        </is>
      </c>
      <c r="H272" s="18" t="inlineStr">
        <is>
          <t>EI</t>
        </is>
      </c>
      <c r="I272" s="18">
        <f>IF(H272="ILF",10,IF(H272="EIF",7,IF(H272="EI",4,IF(H272="EO",5,IF(H272="EQ",4,"")))))</f>
        <v/>
      </c>
      <c r="J272" s="18" t="inlineStr">
        <is>
          <t>低</t>
        </is>
      </c>
      <c r="K272" s="18">
        <f>IF(J272="高",0.33,IF(J272="中",0.67,IF(J272="低",1,"")))</f>
        <v/>
      </c>
      <c r="L272" s="18" t="inlineStr">
        <is>
          <t>新增</t>
        </is>
      </c>
      <c r="M272" s="18">
        <f>IF(L272="新增",1,IF(L272="修改",0.8,IF(L272="删除",0.2,"")))</f>
        <v/>
      </c>
      <c r="N272" s="18">
        <f>I272*K272*M272</f>
        <v/>
      </c>
    </row>
    <row r="273" ht="19" customHeight="1" s="1">
      <c r="B273" s="16" t="n">
        <v>268</v>
      </c>
      <c r="C273" s="16" t="inlineStr">
        <is>
          <t>边缘层数据采集及历史数据模块开发</t>
        </is>
      </c>
      <c r="D273" s="16" t="inlineStr">
        <is>
          <t>A11协同保障</t>
        </is>
      </c>
      <c r="E273" s="16" t="inlineStr">
        <is>
          <t>ID与时序</t>
        </is>
      </c>
      <c r="F273" s="16" t="inlineStr">
        <is>
          <t>归属识别</t>
        </is>
      </c>
      <c r="G273" s="17" t="inlineStr">
        <is>
          <t xml:space="preserve"> 提供代理根据请求ID识别应答归属转发服务</t>
        </is>
      </c>
      <c r="H273" s="18" t="inlineStr">
        <is>
          <t>EI</t>
        </is>
      </c>
      <c r="I273" s="18">
        <f>IF(H273="ILF",10,IF(H273="EIF",7,IF(H273="EI",4,IF(H273="EO",5,IF(H273="EQ",4,"")))))</f>
        <v/>
      </c>
      <c r="J273" s="18" t="inlineStr">
        <is>
          <t>中</t>
        </is>
      </c>
      <c r="K273" s="18">
        <f>IF(J273="高",0.33,IF(J273="中",0.67,IF(J273="低",1,"")))</f>
        <v/>
      </c>
      <c r="L273" s="18" t="inlineStr">
        <is>
          <t>新增</t>
        </is>
      </c>
      <c r="M273" s="18">
        <f>IF(L273="新增",1,IF(L273="修改",0.8,IF(L273="删除",0.2,"")))</f>
        <v/>
      </c>
      <c r="N273" s="18">
        <f>I273*K273*M273</f>
        <v/>
      </c>
    </row>
    <row r="274" ht="19" customHeight="1" s="1">
      <c r="B274" s="16" t="n">
        <v>269</v>
      </c>
      <c r="C274" s="16" t="inlineStr">
        <is>
          <t>边缘层数据采集及历史数据模块开发</t>
        </is>
      </c>
      <c r="D274" s="16" t="inlineStr">
        <is>
          <t>A11协同保障</t>
        </is>
      </c>
      <c r="E274" s="16" t="inlineStr">
        <is>
          <t>ID与时序</t>
        </is>
      </c>
      <c r="F274" s="16" t="inlineStr">
        <is>
          <t>优先级保障</t>
        </is>
      </c>
      <c r="G274" s="17" t="inlineStr">
        <is>
          <t xml:space="preserve"> 提供A11指令最高优先级调度服务</t>
        </is>
      </c>
      <c r="H274" s="18" t="inlineStr">
        <is>
          <t>EI</t>
        </is>
      </c>
      <c r="I274" s="18">
        <f>IF(H274="ILF",10,IF(H274="EIF",7,IF(H274="EI",4,IF(H274="EO",5,IF(H274="EQ",4,"")))))</f>
        <v/>
      </c>
      <c r="J274" s="18" t="inlineStr">
        <is>
          <t>中</t>
        </is>
      </c>
      <c r="K274" s="18">
        <f>IF(J274="高",0.33,IF(J274="中",0.67,IF(J274="低",1,"")))</f>
        <v/>
      </c>
      <c r="L274" s="18" t="inlineStr">
        <is>
          <t>新增</t>
        </is>
      </c>
      <c r="M274" s="18">
        <f>IF(L274="新增",1,IF(L274="修改",0.8,IF(L274="删除",0.2,"")))</f>
        <v/>
      </c>
      <c r="N274" s="18">
        <f>I274*K274*M274</f>
        <v/>
      </c>
    </row>
    <row r="275" ht="19" customHeight="1" s="1">
      <c r="B275" s="16" t="n">
        <v>270</v>
      </c>
      <c r="C275" s="16" t="inlineStr">
        <is>
          <t>边缘层数据采集及历史数据模块开发</t>
        </is>
      </c>
      <c r="D275" s="16" t="inlineStr">
        <is>
          <t>固定IP设备接入</t>
        </is>
      </c>
      <c r="E275" s="16" t="inlineStr">
        <is>
          <t>协议解析</t>
        </is>
      </c>
      <c r="F275" s="16" t="inlineStr">
        <is>
          <t>16位整数</t>
        </is>
      </c>
      <c r="G275" s="17" t="inlineStr">
        <is>
          <t xml:space="preserve"> 提供16位有符号/无符号整数解析服务</t>
        </is>
      </c>
      <c r="H275" s="18" t="inlineStr">
        <is>
          <t>EI</t>
        </is>
      </c>
      <c r="I275" s="18">
        <f>IF(H275="ILF",10,IF(H275="EIF",7,IF(H275="EI",4,IF(H275="EO",5,IF(H275="EQ",4,"")))))</f>
        <v/>
      </c>
      <c r="J275" s="18" t="inlineStr">
        <is>
          <t>中</t>
        </is>
      </c>
      <c r="K275" s="18">
        <f>IF(J275="高",0.33,IF(J275="中",0.67,IF(J275="低",1,"")))</f>
        <v/>
      </c>
      <c r="L275" s="18" t="inlineStr">
        <is>
          <t>新增</t>
        </is>
      </c>
      <c r="M275" s="18">
        <f>IF(L275="新增",1,IF(L275="修改",0.8,IF(L275="删除",0.2,"")))</f>
        <v/>
      </c>
      <c r="N275" s="18">
        <f>I275*K275*M275</f>
        <v/>
      </c>
    </row>
    <row r="276" ht="19" customHeight="1" s="1">
      <c r="B276" s="16" t="n">
        <v>271</v>
      </c>
      <c r="C276" s="16" t="inlineStr">
        <is>
          <t>边缘层数据采集及历史数据模块开发</t>
        </is>
      </c>
      <c r="D276" s="16" t="inlineStr">
        <is>
          <t>固定IP设备接入</t>
        </is>
      </c>
      <c r="E276" s="16" t="inlineStr">
        <is>
          <t>协议解析</t>
        </is>
      </c>
      <c r="F276" s="16" t="inlineStr">
        <is>
          <t>32位整数</t>
        </is>
      </c>
      <c r="G276" s="17" t="inlineStr">
        <is>
          <t xml:space="preserve"> 提供32位有符号/无符号整数解析服务</t>
        </is>
      </c>
      <c r="H276" s="18" t="inlineStr">
        <is>
          <t>EI</t>
        </is>
      </c>
      <c r="I276" s="18">
        <f>IF(H276="ILF",10,IF(H276="EIF",7,IF(H276="EI",4,IF(H276="EO",5,IF(H276="EQ",4,"")))))</f>
        <v/>
      </c>
      <c r="J276" s="18" t="inlineStr">
        <is>
          <t>中</t>
        </is>
      </c>
      <c r="K276" s="18">
        <f>IF(J276="高",0.33,IF(J276="中",0.67,IF(J276="低",1,"")))</f>
        <v/>
      </c>
      <c r="L276" s="18" t="inlineStr">
        <is>
          <t>新增</t>
        </is>
      </c>
      <c r="M276" s="18">
        <f>IF(L276="新增",1,IF(L276="修改",0.8,IF(L276="删除",0.2,"")))</f>
        <v/>
      </c>
      <c r="N276" s="18">
        <f>I276*K276*M276</f>
        <v/>
      </c>
    </row>
    <row r="277" ht="19" customHeight="1" s="1">
      <c r="B277" s="16" t="n">
        <v>272</v>
      </c>
      <c r="C277" s="16" t="inlineStr">
        <is>
          <t>边缘层数据采集及历史数据模块开发</t>
        </is>
      </c>
      <c r="D277" s="16" t="inlineStr">
        <is>
          <t>固定IP设备接入</t>
        </is>
      </c>
      <c r="E277" s="16" t="inlineStr">
        <is>
          <t>协议解析</t>
        </is>
      </c>
      <c r="F277" s="16" t="inlineStr">
        <is>
          <t>浮点数解析</t>
        </is>
      </c>
      <c r="G277" s="17" t="inlineStr">
        <is>
          <t xml:space="preserve"> 提供32位IEEE754浮点数解析服务</t>
        </is>
      </c>
      <c r="H277" s="18" t="inlineStr">
        <is>
          <t>EI</t>
        </is>
      </c>
      <c r="I277" s="18">
        <f>IF(H277="ILF",10,IF(H277="EIF",7,IF(H277="EI",4,IF(H277="EO",5,IF(H277="EQ",4,"")))))</f>
        <v/>
      </c>
      <c r="J277" s="18" t="inlineStr">
        <is>
          <t>中</t>
        </is>
      </c>
      <c r="K277" s="18">
        <f>IF(J277="高",0.33,IF(J277="中",0.67,IF(J277="低",1,"")))</f>
        <v/>
      </c>
      <c r="L277" s="18" t="inlineStr">
        <is>
          <t>新增</t>
        </is>
      </c>
      <c r="M277" s="18">
        <f>IF(L277="新增",1,IF(L277="修改",0.8,IF(L277="删除",0.2,"")))</f>
        <v/>
      </c>
      <c r="N277" s="18">
        <f>I277*K277*M277</f>
        <v/>
      </c>
    </row>
    <row r="278" ht="19" customHeight="1" s="1">
      <c r="B278" s="16" t="n">
        <v>273</v>
      </c>
      <c r="C278" s="16" t="inlineStr">
        <is>
          <t>边缘层数据采集及历史数据模块开发</t>
        </is>
      </c>
      <c r="D278" s="16" t="inlineStr">
        <is>
          <t>固定IP设备接入</t>
        </is>
      </c>
      <c r="E278" s="16" t="inlineStr">
        <is>
          <t>协议解析</t>
        </is>
      </c>
      <c r="F278" s="16" t="inlineStr">
        <is>
          <t>批量读取</t>
        </is>
      </c>
      <c r="G278" s="17" t="inlineStr">
        <is>
          <t xml:space="preserve"> 提供批量读取125个寄存器的数据采集服务</t>
        </is>
      </c>
      <c r="H278" s="18" t="inlineStr">
        <is>
          <t>EI</t>
        </is>
      </c>
      <c r="I278" s="18">
        <f>IF(H278="ILF",10,IF(H278="EIF",7,IF(H278="EI",4,IF(H278="EO",5,IF(H278="EQ",4,"")))))</f>
        <v/>
      </c>
      <c r="J278" s="18" t="inlineStr">
        <is>
          <t>中</t>
        </is>
      </c>
      <c r="K278" s="18">
        <f>IF(J278="高",0.33,IF(J278="中",0.67,IF(J278="低",1,"")))</f>
        <v/>
      </c>
      <c r="L278" s="18" t="inlineStr">
        <is>
          <t>新增</t>
        </is>
      </c>
      <c r="M278" s="18">
        <f>IF(L278="新增",1,IF(L278="修改",0.8,IF(L278="删除",0.2,"")))</f>
        <v/>
      </c>
      <c r="N278" s="18">
        <f>I278*K278*M278</f>
        <v/>
      </c>
    </row>
    <row r="279" ht="19" customHeight="1" s="1">
      <c r="B279" s="16" t="n">
        <v>274</v>
      </c>
      <c r="C279" s="16" t="inlineStr">
        <is>
          <t>边缘层数据采集及历史数据模块开发</t>
        </is>
      </c>
      <c r="D279" s="16" t="inlineStr">
        <is>
          <t>固定IP设备接入</t>
        </is>
      </c>
      <c r="E279" s="16" t="inlineStr">
        <is>
          <t>协议解析</t>
        </is>
      </c>
      <c r="F279" s="16" t="inlineStr">
        <is>
          <t>服务码3</t>
        </is>
      </c>
      <c r="G279" s="17" t="inlineStr">
        <is>
          <t xml:space="preserve"> 提供Modbus服务码3读取保持寄存器服务</t>
        </is>
      </c>
      <c r="H279" s="18" t="inlineStr">
        <is>
          <t>EI</t>
        </is>
      </c>
      <c r="I279" s="18">
        <f>IF(H279="ILF",10,IF(H279="EIF",7,IF(H279="EI",4,IF(H279="EO",5,IF(H279="EQ",4,"")))))</f>
        <v/>
      </c>
      <c r="J279" s="18" t="inlineStr">
        <is>
          <t>中</t>
        </is>
      </c>
      <c r="K279" s="18">
        <f>IF(J279="高",0.33,IF(J279="中",0.67,IF(J279="低",1,"")))</f>
        <v/>
      </c>
      <c r="L279" s="18" t="inlineStr">
        <is>
          <t>新增</t>
        </is>
      </c>
      <c r="M279" s="18">
        <f>IF(L279="新增",1,IF(L279="修改",0.8,IF(L279="删除",0.2,"")))</f>
        <v/>
      </c>
      <c r="N279" s="18">
        <f>I279*K279*M279</f>
        <v/>
      </c>
    </row>
    <row r="280" ht="19" customHeight="1" s="1">
      <c r="B280" s="16" t="n">
        <v>275</v>
      </c>
      <c r="C280" s="16" t="inlineStr">
        <is>
          <t>边缘层数据采集及历史数据模块开发</t>
        </is>
      </c>
      <c r="D280" s="16" t="inlineStr">
        <is>
          <t>固定IP设备接入</t>
        </is>
      </c>
      <c r="E280" s="16" t="inlineStr">
        <is>
          <t>协议解析</t>
        </is>
      </c>
      <c r="F280" s="16" t="inlineStr">
        <is>
          <t>服务码4</t>
        </is>
      </c>
      <c r="G280" s="17" t="inlineStr">
        <is>
          <t xml:space="preserve"> 提供Modbus服务码4读取输入寄存器服务</t>
        </is>
      </c>
      <c r="H280" s="18" t="inlineStr">
        <is>
          <t>EI</t>
        </is>
      </c>
      <c r="I280" s="18">
        <f>IF(H280="ILF",10,IF(H280="EIF",7,IF(H280="EI",4,IF(H280="EO",5,IF(H280="EQ",4,"")))))</f>
        <v/>
      </c>
      <c r="J280" s="18" t="inlineStr">
        <is>
          <t>中</t>
        </is>
      </c>
      <c r="K280" s="18">
        <f>IF(J280="高",0.33,IF(J280="中",0.67,IF(J280="低",1,"")))</f>
        <v/>
      </c>
      <c r="L280" s="18" t="inlineStr">
        <is>
          <t>新增</t>
        </is>
      </c>
      <c r="M280" s="18">
        <f>IF(L280="新增",1,IF(L280="修改",0.8,IF(L280="删除",0.2,"")))</f>
        <v/>
      </c>
      <c r="N280" s="18">
        <f>I280*K280*M280</f>
        <v/>
      </c>
    </row>
    <row r="281" ht="19" customHeight="1" s="1">
      <c r="B281" s="16" t="n">
        <v>276</v>
      </c>
      <c r="C281" s="16" t="inlineStr">
        <is>
          <t>边缘层数据采集及历史数据模块开发</t>
        </is>
      </c>
      <c r="D281" s="16" t="inlineStr">
        <is>
          <t>固定IP设备接入</t>
        </is>
      </c>
      <c r="E281" s="16" t="inlineStr">
        <is>
          <t>协议解析</t>
        </is>
      </c>
      <c r="F281" s="16" t="inlineStr">
        <is>
          <t>OPC DA读取</t>
        </is>
      </c>
      <c r="G281" s="17" t="inlineStr">
        <is>
          <t xml:space="preserve"> 提供Windows Agent读取OPC DA数据服务</t>
        </is>
      </c>
      <c r="H281" s="18" t="inlineStr">
        <is>
          <t>EI</t>
        </is>
      </c>
      <c r="I281" s="18">
        <f>IF(H281="ILF",10,IF(H281="EIF",7,IF(H281="EI",4,IF(H281="EO",5,IF(H281="EQ",4,"")))))</f>
        <v/>
      </c>
      <c r="J281" s="18" t="inlineStr">
        <is>
          <t>中</t>
        </is>
      </c>
      <c r="K281" s="18">
        <f>IF(J281="高",0.33,IF(J281="中",0.67,IF(J281="低",1,"")))</f>
        <v/>
      </c>
      <c r="L281" s="18" t="inlineStr">
        <is>
          <t>新增</t>
        </is>
      </c>
      <c r="M281" s="18">
        <f>IF(L281="新增",1,IF(L281="修改",0.8,IF(L281="删除",0.2,"")))</f>
        <v/>
      </c>
      <c r="N281" s="18">
        <f>I281*K281*M281</f>
        <v/>
      </c>
    </row>
    <row r="282" ht="19" customHeight="1" s="1">
      <c r="B282" s="16" t="n">
        <v>277</v>
      </c>
      <c r="C282" s="16" t="inlineStr">
        <is>
          <t>边缘层数据采集及历史数据模块开发</t>
        </is>
      </c>
      <c r="D282" s="16" t="inlineStr">
        <is>
          <t>固定IP设备接入</t>
        </is>
      </c>
      <c r="E282" s="16" t="inlineStr">
        <is>
          <t>协议解析</t>
        </is>
      </c>
      <c r="F282" s="16" t="inlineStr">
        <is>
          <t>OPC UA订阅</t>
        </is>
      </c>
      <c r="G282" s="17" t="inlineStr">
        <is>
          <t xml:space="preserve"> 提供OPC UA跨平台节点订阅和数据采集服务</t>
        </is>
      </c>
      <c r="H282" s="18" t="inlineStr">
        <is>
          <t>EI</t>
        </is>
      </c>
      <c r="I282" s="18">
        <f>IF(H282="ILF",10,IF(H282="EIF",7,IF(H282="EI",4,IF(H282="EO",5,IF(H282="EQ",4,"")))))</f>
        <v/>
      </c>
      <c r="J282" s="18" t="inlineStr">
        <is>
          <t>中</t>
        </is>
      </c>
      <c r="K282" s="18">
        <f>IF(J282="高",0.33,IF(J282="中",0.67,IF(J282="低",1,"")))</f>
        <v/>
      </c>
      <c r="L282" s="18" t="inlineStr">
        <is>
          <t>新增</t>
        </is>
      </c>
      <c r="M282" s="18">
        <f>IF(L282="新增",1,IF(L282="修改",0.8,IF(L282="删除",0.2,"")))</f>
        <v/>
      </c>
      <c r="N282" s="18">
        <f>I282*K282*M282</f>
        <v/>
      </c>
    </row>
    <row r="283" ht="19" customHeight="1" s="1">
      <c r="B283" s="16" t="n">
        <v>278</v>
      </c>
      <c r="C283" s="16" t="inlineStr">
        <is>
          <t>边缘层数据采集及历史数据模块开发</t>
        </is>
      </c>
      <c r="D283" s="16" t="inlineStr">
        <is>
          <t>固定IP设备接入</t>
        </is>
      </c>
      <c r="E283" s="16" t="inlineStr">
        <is>
          <t>协议解析</t>
        </is>
      </c>
      <c r="F283" s="16" t="inlineStr">
        <is>
          <t>MQTT订阅</t>
        </is>
      </c>
      <c r="G283" s="17" t="inlineStr">
        <is>
          <t xml:space="preserve"> 提供MQTT协议数据订阅和消息处理服务</t>
        </is>
      </c>
      <c r="H283" s="18" t="inlineStr">
        <is>
          <t>EI</t>
        </is>
      </c>
      <c r="I283" s="18">
        <f>IF(H283="ILF",10,IF(H283="EIF",7,IF(H283="EI",4,IF(H283="EO",5,IF(H283="EQ",4,"")))))</f>
        <v/>
      </c>
      <c r="J283" s="18" t="inlineStr">
        <is>
          <t>中</t>
        </is>
      </c>
      <c r="K283" s="18">
        <f>IF(J283="高",0.33,IF(J283="中",0.67,IF(J283="低",1,"")))</f>
        <v/>
      </c>
      <c r="L283" s="18" t="inlineStr">
        <is>
          <t>新增</t>
        </is>
      </c>
      <c r="M283" s="18">
        <f>IF(L283="新增",1,IF(L283="修改",0.8,IF(L283="删除",0.2,"")))</f>
        <v/>
      </c>
      <c r="N283" s="18">
        <f>I283*K283*M283</f>
        <v/>
      </c>
    </row>
    <row r="284" ht="19" customHeight="1" s="1">
      <c r="B284" s="16" t="n">
        <v>279</v>
      </c>
      <c r="C284" s="16" t="inlineStr">
        <is>
          <t>边缘层数据采集及历史数据模块开发</t>
        </is>
      </c>
      <c r="D284" s="16" t="inlineStr">
        <is>
          <t>固定IP设备接入</t>
        </is>
      </c>
      <c r="E284" s="16" t="inlineStr">
        <is>
          <t>协议解析</t>
        </is>
      </c>
      <c r="F284" s="16" t="inlineStr">
        <is>
          <t>自定义协议</t>
        </is>
      </c>
      <c r="G284" s="17" t="inlineStr">
        <is>
          <t xml:space="preserve"> 提供新型设备自定义协议适配≤3天/类服务</t>
        </is>
      </c>
      <c r="H284" s="18" t="inlineStr">
        <is>
          <t>EI</t>
        </is>
      </c>
      <c r="I284" s="18">
        <f>IF(H284="ILF",10,IF(H284="EIF",7,IF(H284="EI",4,IF(H284="EO",5,IF(H284="EQ",4,"")))))</f>
        <v/>
      </c>
      <c r="J284" s="18" t="inlineStr">
        <is>
          <t>中</t>
        </is>
      </c>
      <c r="K284" s="18">
        <f>IF(J284="高",0.33,IF(J284="中",0.67,IF(J284="低",1,"")))</f>
        <v/>
      </c>
      <c r="L284" s="18" t="inlineStr">
        <is>
          <t>新增</t>
        </is>
      </c>
      <c r="M284" s="18">
        <f>IF(L284="新增",1,IF(L284="修改",0.8,IF(L284="删除",0.2,"")))</f>
        <v/>
      </c>
      <c r="N284" s="18">
        <f>I284*K284*M284</f>
        <v/>
      </c>
    </row>
    <row r="285" ht="19" customHeight="1" s="1">
      <c r="B285" s="16" t="n">
        <v>280</v>
      </c>
      <c r="C285" s="16" t="inlineStr">
        <is>
          <t>边缘层数据采集及历史数据模块开发</t>
        </is>
      </c>
      <c r="D285" s="16" t="inlineStr">
        <is>
          <t>固定IP设备接入</t>
        </is>
      </c>
      <c r="E285" s="16" t="inlineStr">
        <is>
          <t>协议解析</t>
        </is>
      </c>
      <c r="F285" s="16" t="inlineStr">
        <is>
          <t>数据格式转换</t>
        </is>
      </c>
      <c r="G285" s="17" t="inlineStr">
        <is>
          <t xml:space="preserve"> 提供多协议数据统一转换为JSON服务</t>
        </is>
      </c>
      <c r="H285" s="18" t="inlineStr">
        <is>
          <t>EI</t>
        </is>
      </c>
      <c r="I285" s="18">
        <f>IF(H285="ILF",10,IF(H285="EIF",7,IF(H285="EI",4,IF(H285="EO",5,IF(H285="EQ",4,"")))))</f>
        <v/>
      </c>
      <c r="J285" s="18" t="inlineStr">
        <is>
          <t>中</t>
        </is>
      </c>
      <c r="K285" s="18">
        <f>IF(J285="高",0.33,IF(J285="中",0.67,IF(J285="低",1,"")))</f>
        <v/>
      </c>
      <c r="L285" s="18" t="inlineStr">
        <is>
          <t>新增</t>
        </is>
      </c>
      <c r="M285" s="18">
        <f>IF(L285="新增",1,IF(L285="修改",0.8,IF(L285="删除",0.2,"")))</f>
        <v/>
      </c>
      <c r="N285" s="18">
        <f>I285*K285*M285</f>
        <v/>
      </c>
    </row>
    <row r="286" ht="19" customHeight="1" s="1">
      <c r="B286" s="16" t="n">
        <v>281</v>
      </c>
      <c r="C286" s="16" t="inlineStr">
        <is>
          <t>边缘层数据采集及历史数据模块开发</t>
        </is>
      </c>
      <c r="D286" s="16" t="inlineStr">
        <is>
          <t>固定IP设备接入</t>
        </is>
      </c>
      <c r="E286" s="16" t="inlineStr">
        <is>
          <t>协议解析</t>
        </is>
      </c>
      <c r="F286" s="16" t="inlineStr">
        <is>
          <t>异常报文</t>
        </is>
      </c>
      <c r="G286" s="17" t="inlineStr">
        <is>
          <t xml:space="preserve"> 提供异常报文的鉴别和容错处理服务</t>
        </is>
      </c>
      <c r="H286" s="18" t="inlineStr">
        <is>
          <t>EI</t>
        </is>
      </c>
      <c r="I286" s="18">
        <f>IF(H286="ILF",10,IF(H286="EIF",7,IF(H286="EI",4,IF(H286="EO",5,IF(H286="EQ",4,"")))))</f>
        <v/>
      </c>
      <c r="J286" s="18" t="inlineStr">
        <is>
          <t>中</t>
        </is>
      </c>
      <c r="K286" s="18">
        <f>IF(J286="高",0.33,IF(J286="中",0.67,IF(J286="低",1,"")))</f>
        <v/>
      </c>
      <c r="L286" s="18" t="inlineStr">
        <is>
          <t>新增</t>
        </is>
      </c>
      <c r="M286" s="18">
        <f>IF(L286="新增",1,IF(L286="修改",0.8,IF(L286="删除",0.2,"")))</f>
        <v/>
      </c>
      <c r="N286" s="18">
        <f>I286*K286*M286</f>
        <v/>
      </c>
    </row>
    <row r="287" ht="19" customHeight="1" s="1">
      <c r="B287" s="16" t="n">
        <v>282</v>
      </c>
      <c r="C287" s="16" t="inlineStr">
        <is>
          <t>边缘层数据采集及历史数据模块开发</t>
        </is>
      </c>
      <c r="D287" s="16" t="inlineStr">
        <is>
          <t>固定IP设备接入</t>
        </is>
      </c>
      <c r="E287" s="16" t="inlineStr">
        <is>
          <t>协议解析</t>
        </is>
      </c>
      <c r="F287" s="16" t="inlineStr">
        <is>
          <t>版本兼容</t>
        </is>
      </c>
      <c r="G287" s="17" t="inlineStr">
        <is>
          <t xml:space="preserve"> 提供不同协议版本兼容处理服务</t>
        </is>
      </c>
      <c r="H287" s="18" t="inlineStr">
        <is>
          <t>EI</t>
        </is>
      </c>
      <c r="I287" s="18">
        <f>IF(H287="ILF",10,IF(H287="EIF",7,IF(H287="EI",4,IF(H287="EO",5,IF(H287="EQ",4,"")))))</f>
        <v/>
      </c>
      <c r="J287" s="18" t="inlineStr">
        <is>
          <t>中</t>
        </is>
      </c>
      <c r="K287" s="18">
        <f>IF(J287="高",0.33,IF(J287="中",0.67,IF(J287="低",1,"")))</f>
        <v/>
      </c>
      <c r="L287" s="18" t="inlineStr">
        <is>
          <t>新增</t>
        </is>
      </c>
      <c r="M287" s="18">
        <f>IF(L287="新增",1,IF(L287="修改",0.8,IF(L287="删除",0.2,"")))</f>
        <v/>
      </c>
      <c r="N287" s="18">
        <f>I287*K287*M287</f>
        <v/>
      </c>
    </row>
    <row r="288" ht="19" customHeight="1" s="1">
      <c r="B288" s="16" t="n">
        <v>283</v>
      </c>
      <c r="C288" s="16" t="inlineStr">
        <is>
          <t>边缘层数据采集及历史数据模块开发</t>
        </is>
      </c>
      <c r="D288" s="16" t="inlineStr">
        <is>
          <t>高频采集调度</t>
        </is>
      </c>
      <c r="E288" s="16" t="inlineStr">
        <is>
          <t>采集策略</t>
        </is>
      </c>
      <c r="F288" s="16" t="inlineStr">
        <is>
          <t>类型差异化</t>
        </is>
      </c>
      <c r="G288" s="17" t="inlineStr">
        <is>
          <t xml:space="preserve"> 提供按抽油机/电泵井/注入井差异化配置服务</t>
        </is>
      </c>
      <c r="H288" s="18" t="inlineStr">
        <is>
          <t>EI</t>
        </is>
      </c>
      <c r="I288" s="18">
        <f>IF(H288="ILF",10,IF(H288="EIF",7,IF(H288="EI",4,IF(H288="EO",5,IF(H288="EQ",4,"")))))</f>
        <v/>
      </c>
      <c r="J288" s="18" t="inlineStr">
        <is>
          <t>中</t>
        </is>
      </c>
      <c r="K288" s="18">
        <f>IF(J288="高",0.33,IF(J288="中",0.67,IF(J288="低",1,"")))</f>
        <v/>
      </c>
      <c r="L288" s="18" t="inlineStr">
        <is>
          <t>新增</t>
        </is>
      </c>
      <c r="M288" s="18">
        <f>IF(L288="新增",1,IF(L288="修改",0.8,IF(L288="删除",0.2,"")))</f>
        <v/>
      </c>
      <c r="N288" s="18">
        <f>I288*K288*M288</f>
        <v/>
      </c>
    </row>
    <row r="289" ht="19" customHeight="1" s="1">
      <c r="B289" s="16" t="n">
        <v>284</v>
      </c>
      <c r="C289" s="16" t="inlineStr">
        <is>
          <t>边缘层数据采集及历史数据模块开发</t>
        </is>
      </c>
      <c r="D289" s="16" t="inlineStr">
        <is>
          <t>高频采集调度</t>
        </is>
      </c>
      <c r="E289" s="16" t="inlineStr">
        <is>
          <t>采集策略</t>
        </is>
      </c>
      <c r="F289" s="16" t="inlineStr">
        <is>
          <t>状态自适应</t>
        </is>
      </c>
      <c r="G289" s="17" t="inlineStr">
        <is>
          <t xml:space="preserve"> 提供停机降频/复产恢复等状态调整采集频率服务</t>
        </is>
      </c>
      <c r="H289" s="18" t="inlineStr">
        <is>
          <t>EI</t>
        </is>
      </c>
      <c r="I289" s="18">
        <f>IF(H289="ILF",10,IF(H289="EIF",7,IF(H289="EI",4,IF(H289="EO",5,IF(H289="EQ",4,"")))))</f>
        <v/>
      </c>
      <c r="J289" s="18" t="inlineStr">
        <is>
          <t>中</t>
        </is>
      </c>
      <c r="K289" s="18">
        <f>IF(J289="高",0.33,IF(J289="中",0.67,IF(J289="低",1,"")))</f>
        <v/>
      </c>
      <c r="L289" s="18" t="inlineStr">
        <is>
          <t>新增</t>
        </is>
      </c>
      <c r="M289" s="18">
        <f>IF(L289="新增",1,IF(L289="修改",0.8,IF(L289="删除",0.2,"")))</f>
        <v/>
      </c>
      <c r="N289" s="18">
        <f>I289*K289*M289</f>
        <v/>
      </c>
    </row>
    <row r="290" ht="19" customHeight="1" s="1">
      <c r="B290" s="16" t="n">
        <v>285</v>
      </c>
      <c r="C290" s="16" t="inlineStr">
        <is>
          <t>边缘层数据采集及历史数据模块开发</t>
        </is>
      </c>
      <c r="D290" s="16" t="inlineStr">
        <is>
          <t>高频采集调度</t>
        </is>
      </c>
      <c r="E290" s="16" t="inlineStr">
        <is>
          <t>采集策略</t>
        </is>
      </c>
      <c r="F290" s="16" t="inlineStr">
        <is>
          <t>时段差异化</t>
        </is>
      </c>
      <c r="G290" s="17" t="inlineStr">
        <is>
          <t xml:space="preserve"> 提供白天加密/夜间降频的时段差异化采集服务</t>
        </is>
      </c>
      <c r="H290" s="18" t="inlineStr">
        <is>
          <t>EI</t>
        </is>
      </c>
      <c r="I290" s="18">
        <f>IF(H290="ILF",10,IF(H290="EIF",7,IF(H290="EI",4,IF(H290="EO",5,IF(H290="EQ",4,"")))))</f>
        <v/>
      </c>
      <c r="J290" s="18" t="inlineStr">
        <is>
          <t>中</t>
        </is>
      </c>
      <c r="K290" s="18">
        <f>IF(J290="高",0.33,IF(J290="中",0.67,IF(J290="低",1,"")))</f>
        <v/>
      </c>
      <c r="L290" s="18" t="inlineStr">
        <is>
          <t>新增</t>
        </is>
      </c>
      <c r="M290" s="18">
        <f>IF(L290="新增",1,IF(L290="修改",0.8,IF(L290="删除",0.2,"")))</f>
        <v/>
      </c>
      <c r="N290" s="18">
        <f>I290*K290*M290</f>
        <v/>
      </c>
    </row>
    <row r="291" ht="19" customHeight="1" s="1">
      <c r="B291" s="16" t="n">
        <v>286</v>
      </c>
      <c r="C291" s="16" t="inlineStr">
        <is>
          <t>边缘层数据采集及历史数据模块开发</t>
        </is>
      </c>
      <c r="D291" s="16" t="inlineStr">
        <is>
          <t>高频采集调度</t>
        </is>
      </c>
      <c r="E291" s="16" t="inlineStr">
        <is>
          <t>采集策略</t>
        </is>
      </c>
      <c r="F291" s="16" t="inlineStr">
        <is>
          <t>值变化触发</t>
        </is>
      </c>
      <c r="G291" s="17" t="inlineStr">
        <is>
          <t xml:space="preserve"> 提供参数变化超过0.5MPa触发即时采集服务</t>
        </is>
      </c>
      <c r="H291" s="18" t="inlineStr">
        <is>
          <t>EI</t>
        </is>
      </c>
      <c r="I291" s="18">
        <f>IF(H291="ILF",10,IF(H291="EIF",7,IF(H291="EI",4,IF(H291="EO",5,IF(H291="EQ",4,"")))))</f>
        <v/>
      </c>
      <c r="J291" s="18" t="inlineStr">
        <is>
          <t>中</t>
        </is>
      </c>
      <c r="K291" s="18">
        <f>IF(J291="高",0.33,IF(J291="中",0.67,IF(J291="低",1,"")))</f>
        <v/>
      </c>
      <c r="L291" s="18" t="inlineStr">
        <is>
          <t>新增</t>
        </is>
      </c>
      <c r="M291" s="18">
        <f>IF(L291="新增",1,IF(L291="修改",0.8,IF(L291="删除",0.2,"")))</f>
        <v/>
      </c>
      <c r="N291" s="18">
        <f>I291*K291*M291</f>
        <v/>
      </c>
    </row>
    <row r="292" ht="19" customHeight="1" s="1">
      <c r="B292" s="16" t="n">
        <v>287</v>
      </c>
      <c r="C292" s="16" t="inlineStr">
        <is>
          <t>边缘层数据采集及历史数据模块开发</t>
        </is>
      </c>
      <c r="D292" s="16" t="inlineStr">
        <is>
          <t>高频采集调度</t>
        </is>
      </c>
      <c r="E292" s="16" t="inlineStr">
        <is>
          <t>采集策略</t>
        </is>
      </c>
      <c r="F292" s="16" t="inlineStr">
        <is>
          <t>网络自适应</t>
        </is>
      </c>
      <c r="G292" s="17" t="inlineStr">
        <is>
          <t xml:space="preserve"> 提供根据丢包率和延迟调整采集频率服务</t>
        </is>
      </c>
      <c r="H292" s="18" t="inlineStr">
        <is>
          <t>EI</t>
        </is>
      </c>
      <c r="I292" s="18">
        <f>IF(H292="ILF",10,IF(H292="EIF",7,IF(H292="EI",4,IF(H292="EO",5,IF(H292="EQ",4,"")))))</f>
        <v/>
      </c>
      <c r="J292" s="18" t="inlineStr">
        <is>
          <t>中</t>
        </is>
      </c>
      <c r="K292" s="18">
        <f>IF(J292="高",0.33,IF(J292="中",0.67,IF(J292="低",1,"")))</f>
        <v/>
      </c>
      <c r="L292" s="18" t="inlineStr">
        <is>
          <t>新增</t>
        </is>
      </c>
      <c r="M292" s="18">
        <f>IF(L292="新增",1,IF(L292="修改",0.8,IF(L292="删除",0.2,"")))</f>
        <v/>
      </c>
      <c r="N292" s="18">
        <f>I292*K292*M292</f>
        <v/>
      </c>
    </row>
    <row r="293" ht="19" customHeight="1" s="1">
      <c r="B293" s="16" t="n">
        <v>288</v>
      </c>
      <c r="C293" s="16" t="inlineStr">
        <is>
          <t>边缘层数据采集及历史数据模块开发</t>
        </is>
      </c>
      <c r="D293" s="16" t="inlineStr">
        <is>
          <t>高频采集调度</t>
        </is>
      </c>
      <c r="E293" s="16" t="inlineStr">
        <is>
          <t>采集策略</t>
        </is>
      </c>
      <c r="F293" s="16" t="inlineStr">
        <is>
          <t>线程池</t>
        </is>
      </c>
      <c r="G293" s="17" t="inlineStr">
        <is>
          <t xml:space="preserve"> 提供线程池并发采集max_workers可配服务</t>
        </is>
      </c>
      <c r="H293" s="18" t="inlineStr">
        <is>
          <t>EI</t>
        </is>
      </c>
      <c r="I293" s="18">
        <f>IF(H293="ILF",10,IF(H293="EIF",7,IF(H293="EI",4,IF(H293="EO",5,IF(H293="EQ",4,"")))))</f>
        <v/>
      </c>
      <c r="J293" s="18" t="inlineStr">
        <is>
          <t>中</t>
        </is>
      </c>
      <c r="K293" s="18">
        <f>IF(J293="高",0.33,IF(J293="中",0.67,IF(J293="低",1,"")))</f>
        <v/>
      </c>
      <c r="L293" s="18" t="inlineStr">
        <is>
          <t>新增</t>
        </is>
      </c>
      <c r="M293" s="18">
        <f>IF(L293="新增",1,IF(L293="修改",0.8,IF(L293="删除",0.2,"")))</f>
        <v/>
      </c>
      <c r="N293" s="18">
        <f>I293*K293*M293</f>
        <v/>
      </c>
    </row>
    <row r="294" ht="19" customHeight="1" s="1">
      <c r="B294" s="16" t="n">
        <v>289</v>
      </c>
      <c r="C294" s="16" t="inlineStr">
        <is>
          <t>边缘层数据采集及历史数据模块开发</t>
        </is>
      </c>
      <c r="D294" s="16" t="inlineStr">
        <is>
          <t>高频采集调度</t>
        </is>
      </c>
      <c r="E294" s="16" t="inlineStr">
        <is>
          <t>采集策略</t>
        </is>
      </c>
      <c r="F294" s="16" t="inlineStr">
        <is>
          <t>退避重试</t>
        </is>
      </c>
      <c r="G294" s="17" t="inlineStr">
        <is>
          <t xml:space="preserve"> 提供3次退避重试1s/5s/30s间隔服务</t>
        </is>
      </c>
      <c r="H294" s="18" t="inlineStr">
        <is>
          <t>EI</t>
        </is>
      </c>
      <c r="I294" s="18">
        <f>IF(H294="ILF",10,IF(H294="EIF",7,IF(H294="EI",4,IF(H294="EO",5,IF(H294="EQ",4,"")))))</f>
        <v/>
      </c>
      <c r="J294" s="18" t="inlineStr">
        <is>
          <t>中</t>
        </is>
      </c>
      <c r="K294" s="18">
        <f>IF(J294="高",0.33,IF(J294="中",0.67,IF(J294="低",1,"")))</f>
        <v/>
      </c>
      <c r="L294" s="18" t="inlineStr">
        <is>
          <t>新增</t>
        </is>
      </c>
      <c r="M294" s="18">
        <f>IF(L294="新增",1,IF(L294="修改",0.8,IF(L294="删除",0.2,"")))</f>
        <v/>
      </c>
      <c r="N294" s="18">
        <f>I294*K294*M294</f>
        <v/>
      </c>
    </row>
    <row r="295" ht="19" customHeight="1" s="1">
      <c r="B295" s="16" t="n">
        <v>290</v>
      </c>
      <c r="C295" s="16" t="inlineStr">
        <is>
          <t>边缘层数据采集及历史数据模块开发</t>
        </is>
      </c>
      <c r="D295" s="16" t="inlineStr">
        <is>
          <t>高频采集调度</t>
        </is>
      </c>
      <c r="E295" s="16" t="inlineStr">
        <is>
          <t>采集策略</t>
        </is>
      </c>
      <c r="F295" s="16" t="inlineStr">
        <is>
          <t>错峰调度</t>
        </is>
      </c>
      <c r="G295" s="17" t="inlineStr">
        <is>
          <t xml:space="preserve"> 提供同一网关下采集错峰避免广播风暴服务</t>
        </is>
      </c>
      <c r="H295" s="18" t="inlineStr">
        <is>
          <t>EI</t>
        </is>
      </c>
      <c r="I295" s="18">
        <f>IF(H295="ILF",10,IF(H295="EIF",7,IF(H295="EI",4,IF(H295="EO",5,IF(H295="EQ",4,"")))))</f>
        <v/>
      </c>
      <c r="J295" s="18" t="inlineStr">
        <is>
          <t>中</t>
        </is>
      </c>
      <c r="K295" s="18">
        <f>IF(J295="高",0.33,IF(J295="中",0.67,IF(J295="低",1,"")))</f>
        <v/>
      </c>
      <c r="L295" s="18" t="inlineStr">
        <is>
          <t>新增</t>
        </is>
      </c>
      <c r="M295" s="18">
        <f>IF(L295="新增",1,IF(L295="修改",0.8,IF(L295="删除",0.2,"")))</f>
        <v/>
      </c>
      <c r="N295" s="18">
        <f>I295*K295*M295</f>
        <v/>
      </c>
    </row>
    <row r="296" ht="19" customHeight="1" s="1">
      <c r="B296" s="16" t="n">
        <v>291</v>
      </c>
      <c r="C296" s="16" t="inlineStr">
        <is>
          <t>边缘层数据采集及历史数据模块开发</t>
        </is>
      </c>
      <c r="D296" s="16" t="inlineStr">
        <is>
          <t>高频采集调度</t>
        </is>
      </c>
      <c r="E296" s="16" t="inlineStr">
        <is>
          <t>采集策略</t>
        </is>
      </c>
      <c r="F296" s="16" t="inlineStr">
        <is>
          <t>任务编排</t>
        </is>
      </c>
      <c r="G296" s="17" t="inlineStr">
        <is>
          <t xml:space="preserve"> 提供采集任务调度编排和优先级管理服务</t>
        </is>
      </c>
      <c r="H296" s="18" t="inlineStr">
        <is>
          <t>EI</t>
        </is>
      </c>
      <c r="I296" s="18">
        <f>IF(H296="ILF",10,IF(H296="EIF",7,IF(H296="EI",4,IF(H296="EO",5,IF(H296="EQ",4,"")))))</f>
        <v/>
      </c>
      <c r="J296" s="18" t="inlineStr">
        <is>
          <t>中</t>
        </is>
      </c>
      <c r="K296" s="18">
        <f>IF(J296="高",0.33,IF(J296="中",0.67,IF(J296="低",1,"")))</f>
        <v/>
      </c>
      <c r="L296" s="18" t="inlineStr">
        <is>
          <t>新增</t>
        </is>
      </c>
      <c r="M296" s="18">
        <f>IF(L296="新增",1,IF(L296="修改",0.8,IF(L296="删除",0.2,"")))</f>
        <v/>
      </c>
      <c r="N296" s="18">
        <f>I296*K296*M296</f>
        <v/>
      </c>
    </row>
    <row r="297" ht="19" customHeight="1" s="1">
      <c r="B297" s="16" t="n">
        <v>292</v>
      </c>
      <c r="C297" s="16" t="inlineStr">
        <is>
          <t>边缘层数据采集及历史数据模块开发</t>
        </is>
      </c>
      <c r="D297" s="16" t="inlineStr">
        <is>
          <t>高频采集调度</t>
        </is>
      </c>
      <c r="E297" s="16" t="inlineStr">
        <is>
          <t>采集策略</t>
        </is>
      </c>
      <c r="F297" s="16" t="inlineStr">
        <is>
          <t>负载均衡</t>
        </is>
      </c>
      <c r="G297" s="17" t="inlineStr">
        <is>
          <t xml:space="preserve"> 提供多节点间采集任务负载均衡服务</t>
        </is>
      </c>
      <c r="H297" s="18" t="inlineStr">
        <is>
          <t>EI</t>
        </is>
      </c>
      <c r="I297" s="18">
        <f>IF(H297="ILF",10,IF(H297="EIF",7,IF(H297="EI",4,IF(H297="EO",5,IF(H297="EQ",4,"")))))</f>
        <v/>
      </c>
      <c r="J297" s="18" t="inlineStr">
        <is>
          <t>中</t>
        </is>
      </c>
      <c r="K297" s="18">
        <f>IF(J297="高",0.33,IF(J297="中",0.67,IF(J297="低",1,"")))</f>
        <v/>
      </c>
      <c r="L297" s="18" t="inlineStr">
        <is>
          <t>新增</t>
        </is>
      </c>
      <c r="M297" s="18">
        <f>IF(L297="新增",1,IF(L297="修改",0.8,IF(L297="删除",0.2,"")))</f>
        <v/>
      </c>
      <c r="N297" s="18">
        <f>I297*K297*M297</f>
        <v/>
      </c>
    </row>
    <row r="298" ht="19" customHeight="1" s="1">
      <c r="B298" s="16" t="n">
        <v>293</v>
      </c>
      <c r="C298" s="16" t="inlineStr">
        <is>
          <t>边缘层数据采集及历史数据模块开发</t>
        </is>
      </c>
      <c r="D298" s="16" t="inlineStr">
        <is>
          <t>高频采集调度</t>
        </is>
      </c>
      <c r="E298" s="16" t="inlineStr">
        <is>
          <t>采集策略</t>
        </is>
      </c>
      <c r="F298" s="16" t="inlineStr">
        <is>
          <t>策略热加载</t>
        </is>
      </c>
      <c r="G298" s="17" t="inlineStr">
        <is>
          <t xml:space="preserve"> 提供采集策略变更后热加载生效服务</t>
        </is>
      </c>
      <c r="H298" s="18" t="inlineStr">
        <is>
          <t>EI</t>
        </is>
      </c>
      <c r="I298" s="18">
        <f>IF(H298="ILF",10,IF(H298="EIF",7,IF(H298="EI",4,IF(H298="EO",5,IF(H298="EQ",4,"")))))</f>
        <v/>
      </c>
      <c r="J298" s="18" t="inlineStr">
        <is>
          <t>中</t>
        </is>
      </c>
      <c r="K298" s="18">
        <f>IF(J298="高",0.33,IF(J298="中",0.67,IF(J298="低",1,"")))</f>
        <v/>
      </c>
      <c r="L298" s="18" t="inlineStr">
        <is>
          <t>新增</t>
        </is>
      </c>
      <c r="M298" s="18">
        <f>IF(L298="新增",1,IF(L298="修改",0.8,IF(L298="删除",0.2,"")))</f>
        <v/>
      </c>
      <c r="N298" s="18">
        <f>I298*K298*M298</f>
        <v/>
      </c>
    </row>
    <row r="299" ht="19" customHeight="1" s="1">
      <c r="B299" s="16" t="n">
        <v>294</v>
      </c>
      <c r="C299" s="16" t="inlineStr">
        <is>
          <t>边缘层数据采集及历史数据模块开发</t>
        </is>
      </c>
      <c r="D299" s="16" t="inlineStr">
        <is>
          <t>高频采集调度</t>
        </is>
      </c>
      <c r="E299" s="16" t="inlineStr">
        <is>
          <t>采集策略</t>
        </is>
      </c>
      <c r="F299" s="16" t="inlineStr">
        <is>
          <t>策略版本</t>
        </is>
      </c>
      <c r="G299" s="17" t="inlineStr">
        <is>
          <t xml:space="preserve"> 提供采集策略版本历史追溯和回滚服务</t>
        </is>
      </c>
      <c r="H299" s="18" t="inlineStr">
        <is>
          <t>EI</t>
        </is>
      </c>
      <c r="I299" s="18">
        <f>IF(H299="ILF",10,IF(H299="EIF",7,IF(H299="EI",4,IF(H299="EO",5,IF(H299="EQ",4,"")))))</f>
        <v/>
      </c>
      <c r="J299" s="18" t="inlineStr">
        <is>
          <t>中</t>
        </is>
      </c>
      <c r="K299" s="18">
        <f>IF(J299="高",0.33,IF(J299="中",0.67,IF(J299="低",1,"")))</f>
        <v/>
      </c>
      <c r="L299" s="18" t="inlineStr">
        <is>
          <t>新增</t>
        </is>
      </c>
      <c r="M299" s="18">
        <f>IF(L299="新增",1,IF(L299="修改",0.8,IF(L299="删除",0.2,"")))</f>
        <v/>
      </c>
      <c r="N299" s="18">
        <f>I299*K299*M299</f>
        <v/>
      </c>
    </row>
    <row r="300" ht="19" customHeight="1" s="1">
      <c r="B300" s="16" t="n">
        <v>295</v>
      </c>
      <c r="C300" s="16" t="inlineStr">
        <is>
          <t>边缘层数据采集及历史数据模块开发</t>
        </is>
      </c>
      <c r="D300" s="16" t="inlineStr">
        <is>
          <t>高频采集调度</t>
        </is>
      </c>
      <c r="E300" s="16" t="inlineStr">
        <is>
          <t>弱网优化</t>
        </is>
      </c>
      <c r="F300" s="16" t="inlineStr">
        <is>
          <t>4G分时</t>
        </is>
      </c>
      <c r="G300" s="17" t="inlineStr">
        <is>
          <t xml:space="preserve"> 提供按地理位置分组编排时间窗避免通频拥塞服务</t>
        </is>
      </c>
      <c r="H300" s="18" t="inlineStr">
        <is>
          <t>EI</t>
        </is>
      </c>
      <c r="I300" s="18">
        <f>IF(H300="ILF",10,IF(H300="EIF",7,IF(H300="EI",4,IF(H300="EO",5,IF(H300="EQ",4,"")))))</f>
        <v/>
      </c>
      <c r="J300" s="18" t="inlineStr">
        <is>
          <t>中</t>
        </is>
      </c>
      <c r="K300" s="18">
        <f>IF(J300="高",0.33,IF(J300="中",0.67,IF(J300="低",1,"")))</f>
        <v/>
      </c>
      <c r="L300" s="18" t="inlineStr">
        <is>
          <t>新增</t>
        </is>
      </c>
      <c r="M300" s="18">
        <f>IF(L300="新增",1,IF(L300="修改",0.8,IF(L300="删除",0.2,"")))</f>
        <v/>
      </c>
      <c r="N300" s="18">
        <f>I300*K300*M300</f>
        <v/>
      </c>
    </row>
    <row r="301" ht="19" customHeight="1" s="1">
      <c r="B301" s="16" t="n">
        <v>296</v>
      </c>
      <c r="C301" s="16" t="inlineStr">
        <is>
          <t>边缘层数据采集及历史数据模块开发</t>
        </is>
      </c>
      <c r="D301" s="16" t="inlineStr">
        <is>
          <t>高频采集调度</t>
        </is>
      </c>
      <c r="E301" s="16" t="inlineStr">
        <is>
          <t>弱网优化</t>
        </is>
      </c>
      <c r="F301" s="16" t="inlineStr">
        <is>
          <t>低电量优化</t>
        </is>
      </c>
      <c r="G301" s="17" t="inlineStr">
        <is>
          <t xml:space="preserve"> 提供电池供电设备减少采集频次延长续航服务</t>
        </is>
      </c>
      <c r="H301" s="18" t="inlineStr">
        <is>
          <t>EI</t>
        </is>
      </c>
      <c r="I301" s="18">
        <f>IF(H301="ILF",10,IF(H301="EIF",7,IF(H301="EI",4,IF(H301="EO",5,IF(H301="EQ",4,"")))))</f>
        <v/>
      </c>
      <c r="J301" s="18" t="inlineStr">
        <is>
          <t>中</t>
        </is>
      </c>
      <c r="K301" s="18">
        <f>IF(J301="高",0.33,IF(J301="中",0.67,IF(J301="低",1,"")))</f>
        <v/>
      </c>
      <c r="L301" s="18" t="inlineStr">
        <is>
          <t>新增</t>
        </is>
      </c>
      <c r="M301" s="18">
        <f>IF(L301="新增",1,IF(L301="修改",0.8,IF(L301="删除",0.2,"")))</f>
        <v/>
      </c>
      <c r="N301" s="18">
        <f>I301*K301*M301</f>
        <v/>
      </c>
    </row>
    <row r="302" ht="19" customHeight="1" s="1">
      <c r="B302" s="16" t="n">
        <v>297</v>
      </c>
      <c r="C302" s="16" t="inlineStr">
        <is>
          <t>边缘层数据采集及历史数据模块开发</t>
        </is>
      </c>
      <c r="D302" s="16" t="inlineStr">
        <is>
          <t>高频采集调度</t>
        </is>
      </c>
      <c r="E302" s="16" t="inlineStr">
        <is>
          <t>弱网优化</t>
        </is>
      </c>
      <c r="F302" s="16" t="inlineStr">
        <is>
          <t>断网缓存</t>
        </is>
      </c>
      <c r="G302" s="17" t="inlineStr">
        <is>
          <t xml:space="preserve"> 提供断网时数据缓存至本地SQLite≥7天服务</t>
        </is>
      </c>
      <c r="H302" s="18" t="inlineStr">
        <is>
          <t>EI</t>
        </is>
      </c>
      <c r="I302" s="18">
        <f>IF(H302="ILF",10,IF(H302="EIF",7,IF(H302="EI",4,IF(H302="EO",5,IF(H302="EQ",4,"")))))</f>
        <v/>
      </c>
      <c r="J302" s="18" t="inlineStr">
        <is>
          <t>中</t>
        </is>
      </c>
      <c r="K302" s="18">
        <f>IF(J302="高",0.33,IF(J302="中",0.67,IF(J302="低",1,"")))</f>
        <v/>
      </c>
      <c r="L302" s="18" t="inlineStr">
        <is>
          <t>新增</t>
        </is>
      </c>
      <c r="M302" s="18">
        <f>IF(L302="新增",1,IF(L302="修改",0.8,IF(L302="删除",0.2,"")))</f>
        <v/>
      </c>
      <c r="N302" s="18">
        <f>I302*K302*M302</f>
        <v/>
      </c>
    </row>
    <row r="303" ht="19" customHeight="1" s="1">
      <c r="B303" s="16" t="n">
        <v>298</v>
      </c>
      <c r="C303" s="16" t="inlineStr">
        <is>
          <t>边缘层数据采集及历史数据模块开发</t>
        </is>
      </c>
      <c r="D303" s="16" t="inlineStr">
        <is>
          <t>高频采集调度</t>
        </is>
      </c>
      <c r="E303" s="16" t="inlineStr">
        <is>
          <t>弱网优化</t>
        </is>
      </c>
      <c r="F303" s="16" t="inlineStr">
        <is>
          <t>自动补传</t>
        </is>
      </c>
      <c r="G303" s="17" t="inlineStr">
        <is>
          <t xml:space="preserve"> 提供网络恢复后按时间戳顺序自动补传数据服务</t>
        </is>
      </c>
      <c r="H303" s="18" t="inlineStr">
        <is>
          <t>EI</t>
        </is>
      </c>
      <c r="I303" s="18">
        <f>IF(H303="ILF",10,IF(H303="EIF",7,IF(H303="EI",4,IF(H303="EO",5,IF(H303="EQ",4,"")))))</f>
        <v/>
      </c>
      <c r="J303" s="18" t="inlineStr">
        <is>
          <t>中</t>
        </is>
      </c>
      <c r="K303" s="18">
        <f>IF(J303="高",0.33,IF(J303="中",0.67,IF(J303="低",1,"")))</f>
        <v/>
      </c>
      <c r="L303" s="18" t="inlineStr">
        <is>
          <t>新增</t>
        </is>
      </c>
      <c r="M303" s="18">
        <f>IF(L303="新增",1,IF(L303="修改",0.8,IF(L303="删除",0.2,"")))</f>
        <v/>
      </c>
      <c r="N303" s="18">
        <f>I303*K303*M303</f>
        <v/>
      </c>
    </row>
    <row r="304" ht="19" customHeight="1" s="1">
      <c r="B304" s="16" t="n">
        <v>299</v>
      </c>
      <c r="C304" s="16" t="inlineStr">
        <is>
          <t>边缘层数据采集及历史数据模块开发</t>
        </is>
      </c>
      <c r="D304" s="16" t="inlineStr">
        <is>
          <t>高频采集调度</t>
        </is>
      </c>
      <c r="E304" s="16" t="inlineStr">
        <is>
          <t>弱网优化</t>
        </is>
      </c>
      <c r="F304" s="16" t="inlineStr">
        <is>
          <t>丢包降频</t>
        </is>
      </c>
      <c r="G304" s="17" t="inlineStr">
        <is>
          <t xml:space="preserve"> 提供丢包率&gt;10%时自动倍频降频服务</t>
        </is>
      </c>
      <c r="H304" s="18" t="inlineStr">
        <is>
          <t>EI</t>
        </is>
      </c>
      <c r="I304" s="18">
        <f>IF(H304="ILF",10,IF(H304="EIF",7,IF(H304="EI",4,IF(H304="EO",5,IF(H304="EQ",4,"")))))</f>
        <v/>
      </c>
      <c r="J304" s="18" t="inlineStr">
        <is>
          <t>中</t>
        </is>
      </c>
      <c r="K304" s="18">
        <f>IF(J304="高",0.33,IF(J304="中",0.67,IF(J304="低",1,"")))</f>
        <v/>
      </c>
      <c r="L304" s="18" t="inlineStr">
        <is>
          <t>新增</t>
        </is>
      </c>
      <c r="M304" s="18">
        <f>IF(L304="新增",1,IF(L304="修改",0.8,IF(L304="删除",0.2,"")))</f>
        <v/>
      </c>
      <c r="N304" s="18">
        <f>I304*K304*M304</f>
        <v/>
      </c>
    </row>
    <row r="305" ht="19" customHeight="1" s="1">
      <c r="B305" s="16" t="n">
        <v>300</v>
      </c>
      <c r="C305" s="16" t="inlineStr">
        <is>
          <t>边缘层数据采集及历史数据模块开发</t>
        </is>
      </c>
      <c r="D305" s="16" t="inlineStr">
        <is>
          <t>高频采集调度</t>
        </is>
      </c>
      <c r="E305" s="16" t="inlineStr">
        <is>
          <t>弱网优化</t>
        </is>
      </c>
      <c r="F305" s="16" t="inlineStr">
        <is>
          <t>延迟降频</t>
        </is>
      </c>
      <c r="G305" s="17" t="inlineStr">
        <is>
          <t xml:space="preserve"> 提供响应延迟&gt;2000ms时自动降频服务</t>
        </is>
      </c>
      <c r="H305" s="18" t="inlineStr">
        <is>
          <t>EI</t>
        </is>
      </c>
      <c r="I305" s="18">
        <f>IF(H305="ILF",10,IF(H305="EIF",7,IF(H305="EI",4,IF(H305="EO",5,IF(H305="EQ",4,"")))))</f>
        <v/>
      </c>
      <c r="J305" s="18" t="inlineStr">
        <is>
          <t>中</t>
        </is>
      </c>
      <c r="K305" s="18">
        <f>IF(J305="高",0.33,IF(J305="中",0.67,IF(J305="低",1,"")))</f>
        <v/>
      </c>
      <c r="L305" s="18" t="inlineStr">
        <is>
          <t>新增</t>
        </is>
      </c>
      <c r="M305" s="18">
        <f>IF(L305="新增",1,IF(L305="修改",0.8,IF(L305="删除",0.2,"")))</f>
        <v/>
      </c>
      <c r="N305" s="18">
        <f>I305*K305*M305</f>
        <v/>
      </c>
    </row>
    <row r="306" ht="19" customHeight="1" s="1">
      <c r="B306" s="16" t="n">
        <v>301</v>
      </c>
      <c r="C306" s="16" t="inlineStr">
        <is>
          <t>边缘层数据采集及历史数据模块开发</t>
        </is>
      </c>
      <c r="D306" s="16" t="inlineStr">
        <is>
          <t>高频采集调度</t>
        </is>
      </c>
      <c r="E306" s="16" t="inlineStr">
        <is>
          <t>弱网优化</t>
        </is>
      </c>
      <c r="F306" s="16" t="inlineStr">
        <is>
          <t>链路配置</t>
        </is>
      </c>
      <c r="G306" s="17" t="inlineStr">
        <is>
          <t xml:space="preserve"> 提供TCP超时/重试次数/退避间隔独立配置服务</t>
        </is>
      </c>
      <c r="H306" s="18" t="inlineStr">
        <is>
          <t>EI</t>
        </is>
      </c>
      <c r="I306" s="18">
        <f>IF(H306="ILF",10,IF(H306="EIF",7,IF(H306="EI",4,IF(H306="EO",5,IF(H306="EQ",4,"")))))</f>
        <v/>
      </c>
      <c r="J306" s="18" t="inlineStr">
        <is>
          <t>中</t>
        </is>
      </c>
      <c r="K306" s="18">
        <f>IF(J306="高",0.33,IF(J306="中",0.67,IF(J306="低",1,"")))</f>
        <v/>
      </c>
      <c r="L306" s="18" t="inlineStr">
        <is>
          <t>新增</t>
        </is>
      </c>
      <c r="M306" s="18">
        <f>IF(L306="新增",1,IF(L306="修改",0.8,IF(L306="删除",0.2,"")))</f>
        <v/>
      </c>
      <c r="N306" s="18">
        <f>I306*K306*M306</f>
        <v/>
      </c>
    </row>
    <row r="307" ht="19" customHeight="1" s="1">
      <c r="B307" s="16" t="n">
        <v>302</v>
      </c>
      <c r="C307" s="16" t="inlineStr">
        <is>
          <t>边缘层数据采集及历史数据模块开发</t>
        </is>
      </c>
      <c r="D307" s="16" t="inlineStr">
        <is>
          <t>高频采集调度</t>
        </is>
      </c>
      <c r="E307" s="16" t="inlineStr">
        <is>
          <t>弱网优化</t>
        </is>
      </c>
      <c r="F307" s="16" t="inlineStr">
        <is>
          <t>弱网标记</t>
        </is>
      </c>
      <c r="G307" s="17" t="inlineStr">
        <is>
          <t xml:space="preserve"> 提供月成功率&lt;80%自动标记弱网设备服务</t>
        </is>
      </c>
      <c r="H307" s="18" t="inlineStr">
        <is>
          <t>EI</t>
        </is>
      </c>
      <c r="I307" s="18">
        <f>IF(H307="ILF",10,IF(H307="EIF",7,IF(H307="EI",4,IF(H307="EO",5,IF(H307="EQ",4,"")))))</f>
        <v/>
      </c>
      <c r="J307" s="18" t="inlineStr">
        <is>
          <t>中</t>
        </is>
      </c>
      <c r="K307" s="18">
        <f>IF(J307="高",0.33,IF(J307="中",0.67,IF(J307="低",1,"")))</f>
        <v/>
      </c>
      <c r="L307" s="18" t="inlineStr">
        <is>
          <t>新增</t>
        </is>
      </c>
      <c r="M307" s="18">
        <f>IF(L307="新增",1,IF(L307="修改",0.8,IF(L307="删除",0.2,"")))</f>
        <v/>
      </c>
      <c r="N307" s="18">
        <f>I307*K307*M307</f>
        <v/>
      </c>
    </row>
    <row r="308" ht="19" customHeight="1" s="1">
      <c r="B308" s="16" t="n">
        <v>303</v>
      </c>
      <c r="C308" s="16" t="inlineStr">
        <is>
          <t>边缘层数据采集及历史数据模块开发</t>
        </is>
      </c>
      <c r="D308" s="16" t="inlineStr">
        <is>
          <t>高频采集调度</t>
        </is>
      </c>
      <c r="E308" s="16" t="inlineStr">
        <is>
          <t>弱网优化</t>
        </is>
      </c>
      <c r="F308" s="16" t="inlineStr">
        <is>
          <t>补传验证</t>
        </is>
      </c>
      <c r="G308" s="17" t="inlineStr">
        <is>
          <t xml:space="preserve"> 提供网络恢复补传数据完整性和时序验证服务</t>
        </is>
      </c>
      <c r="H308" s="18" t="inlineStr">
        <is>
          <t>EI</t>
        </is>
      </c>
      <c r="I308" s="18">
        <f>IF(H308="ILF",10,IF(H308="EIF",7,IF(H308="EI",4,IF(H308="EO",5,IF(H308="EQ",4,"")))))</f>
        <v/>
      </c>
      <c r="J308" s="18" t="inlineStr">
        <is>
          <t>中</t>
        </is>
      </c>
      <c r="K308" s="18">
        <f>IF(J308="高",0.33,IF(J308="中",0.67,IF(J308="低",1,"")))</f>
        <v/>
      </c>
      <c r="L308" s="18" t="inlineStr">
        <is>
          <t>新增</t>
        </is>
      </c>
      <c r="M308" s="18">
        <f>IF(L308="新增",1,IF(L308="修改",0.8,IF(L308="删除",0.2,"")))</f>
        <v/>
      </c>
      <c r="N308" s="18">
        <f>I308*K308*M308</f>
        <v/>
      </c>
    </row>
    <row r="309" ht="19" customHeight="1" s="1">
      <c r="B309" s="16" t="n">
        <v>304</v>
      </c>
      <c r="C309" s="16" t="inlineStr">
        <is>
          <t>边缘层数据采集及历史数据模块开发</t>
        </is>
      </c>
      <c r="D309" s="16" t="inlineStr">
        <is>
          <t>A11协同保障</t>
        </is>
      </c>
      <c r="E309" s="16" t="inlineStr">
        <is>
          <t>ID与时序</t>
        </is>
      </c>
      <c r="F309" s="16" t="inlineStr">
        <is>
          <t>A11会话ID</t>
        </is>
      </c>
      <c r="G309" s="17" t="inlineStr">
        <is>
          <t xml:space="preserve"> 提供A11沿用原有编号1~100的会话ID管理服务</t>
        </is>
      </c>
      <c r="H309" s="18" t="inlineStr">
        <is>
          <t>EI</t>
        </is>
      </c>
      <c r="I309" s="18">
        <f>IF(H309="ILF",10,IF(H309="EIF",7,IF(H309="EI",4,IF(H309="EO",5,IF(H309="EQ",4,"")))))</f>
        <v/>
      </c>
      <c r="J309" s="18" t="inlineStr">
        <is>
          <t>中</t>
        </is>
      </c>
      <c r="K309" s="18">
        <f>IF(J309="高",0.33,IF(J309="中",0.67,IF(J309="低",1,"")))</f>
        <v/>
      </c>
      <c r="L309" s="18" t="inlineStr">
        <is>
          <t>新增</t>
        </is>
      </c>
      <c r="M309" s="18">
        <f>IF(L309="新增",1,IF(L309="修改",0.8,IF(L309="删除",0.2,"")))</f>
        <v/>
      </c>
      <c r="N309" s="18">
        <f>I309*K309*M309</f>
        <v/>
      </c>
    </row>
    <row r="310" ht="19" customHeight="1" s="1">
      <c r="B310" s="16" t="n">
        <v>305</v>
      </c>
      <c r="C310" s="16" t="inlineStr">
        <is>
          <t>边缘层数据采集及历史数据模块开发</t>
        </is>
      </c>
      <c r="D310" s="16" t="inlineStr">
        <is>
          <t>A11协同保障</t>
        </is>
      </c>
      <c r="E310" s="16" t="inlineStr">
        <is>
          <t>ID与时序</t>
        </is>
      </c>
      <c r="F310" s="16" t="inlineStr">
        <is>
          <t>我方会话ID</t>
        </is>
      </c>
      <c r="G310" s="17" t="inlineStr">
        <is>
          <t xml:space="preserve"> 提供我方独立段1001~2000会话ID管理服务</t>
        </is>
      </c>
      <c r="H310" s="18" t="inlineStr">
        <is>
          <t>EI</t>
        </is>
      </c>
      <c r="I310" s="18">
        <f>IF(H310="ILF",10,IF(H310="EIF",7,IF(H310="EI",4,IF(H310="EO",5,IF(H310="EQ",4,"")))))</f>
        <v/>
      </c>
      <c r="J310" s="18" t="inlineStr">
        <is>
          <t>中</t>
        </is>
      </c>
      <c r="K310" s="18">
        <f>IF(J310="高",0.33,IF(J310="中",0.67,IF(J310="低",1,"")))</f>
        <v/>
      </c>
      <c r="L310" s="18" t="inlineStr">
        <is>
          <t>新增</t>
        </is>
      </c>
      <c r="M310" s="18">
        <f>IF(L310="新增",1,IF(L310="修改",0.8,IF(L310="删除",0.2,"")))</f>
        <v/>
      </c>
      <c r="N310" s="18">
        <f>I310*K310*M310</f>
        <v/>
      </c>
    </row>
    <row r="311" ht="19" customHeight="1" s="1">
      <c r="B311" s="16" t="n">
        <v>306</v>
      </c>
      <c r="C311" s="16" t="inlineStr">
        <is>
          <t>边缘层数据采集及历史数据模块开发</t>
        </is>
      </c>
      <c r="D311" s="16" t="inlineStr">
        <is>
          <t>A11协同保障</t>
        </is>
      </c>
      <c r="E311" s="16" t="inlineStr">
        <is>
          <t>ID与时序</t>
        </is>
      </c>
      <c r="F311" s="16" t="inlineStr">
        <is>
          <t>ID冲突检测</t>
        </is>
      </c>
      <c r="G311" s="17" t="inlineStr">
        <is>
          <t xml:space="preserve"> 提供会话ID冲突实时检测服务</t>
        </is>
      </c>
      <c r="H311" s="18" t="inlineStr">
        <is>
          <t>EI</t>
        </is>
      </c>
      <c r="I311" s="18">
        <f>IF(H311="ILF",10,IF(H311="EIF",7,IF(H311="EI",4,IF(H311="EO",5,IF(H311="EQ",4,"")))))</f>
        <v/>
      </c>
      <c r="J311" s="18" t="inlineStr">
        <is>
          <t>中</t>
        </is>
      </c>
      <c r="K311" s="18">
        <f>IF(J311="高",0.33,IF(J311="中",0.67,IF(J311="低",1,"")))</f>
        <v/>
      </c>
      <c r="L311" s="18" t="inlineStr">
        <is>
          <t>新增</t>
        </is>
      </c>
      <c r="M311" s="18">
        <f>IF(L311="新增",1,IF(L311="修改",0.8,IF(L311="删除",0.2,"")))</f>
        <v/>
      </c>
      <c r="N311" s="18">
        <f>I311*K311*M311</f>
        <v/>
      </c>
    </row>
    <row r="312" ht="19" customHeight="1" s="1">
      <c r="B312" s="16" t="n">
        <v>307</v>
      </c>
      <c r="C312" s="16" t="inlineStr">
        <is>
          <t>边缘层数据采集及历史数据模块开发</t>
        </is>
      </c>
      <c r="D312" s="16" t="inlineStr">
        <is>
          <t>A11协同保障</t>
        </is>
      </c>
      <c r="E312" s="16" t="inlineStr">
        <is>
          <t>ID与时序</t>
        </is>
      </c>
      <c r="F312" s="16" t="inlineStr">
        <is>
          <t>ID回收</t>
        </is>
      </c>
      <c r="G312" s="17" t="inlineStr">
        <is>
          <t xml:space="preserve"> 提供会话结束后ID回收和复用服务</t>
        </is>
      </c>
      <c r="H312" s="18" t="inlineStr">
        <is>
          <t>EI</t>
        </is>
      </c>
      <c r="I312" s="18">
        <f>IF(H312="ILF",10,IF(H312="EIF",7,IF(H312="EI",4,IF(H312="EO",5,IF(H312="EQ",4,"")))))</f>
        <v/>
      </c>
      <c r="J312" s="18" t="inlineStr">
        <is>
          <t>中</t>
        </is>
      </c>
      <c r="K312" s="18">
        <f>IF(J312="高",0.33,IF(J312="中",0.67,IF(J312="低",1,"")))</f>
        <v/>
      </c>
      <c r="L312" s="18" t="inlineStr">
        <is>
          <t>新增</t>
        </is>
      </c>
      <c r="M312" s="18">
        <f>IF(L312="新增",1,IF(L312="修改",0.8,IF(L312="删除",0.2,"")))</f>
        <v/>
      </c>
      <c r="N312" s="18">
        <f>I312*K312*M312</f>
        <v/>
      </c>
    </row>
    <row r="313" ht="19" customHeight="1" s="1">
      <c r="B313" s="16" t="n">
        <v>308</v>
      </c>
      <c r="C313" s="16" t="inlineStr">
        <is>
          <t>边缘层数据采集及历史数据模块开发</t>
        </is>
      </c>
      <c r="D313" s="16" t="inlineStr">
        <is>
          <t>A11协同保障</t>
        </is>
      </c>
      <c r="E313" s="16" t="inlineStr">
        <is>
          <t>ID与时序</t>
        </is>
      </c>
      <c r="F313" s="16" t="inlineStr">
        <is>
          <t>ID统计</t>
        </is>
      </c>
      <c r="G313" s="17" t="inlineStr">
        <is>
          <t xml:space="preserve"> 提供会话ID使用率和分配统计服务</t>
        </is>
      </c>
      <c r="H313" s="18" t="inlineStr">
        <is>
          <t>EI</t>
        </is>
      </c>
      <c r="I313" s="18">
        <f>IF(H313="ILF",10,IF(H313="EIF",7,IF(H313="EI",4,IF(H313="EO",5,IF(H313="EQ",4,"")))))</f>
        <v/>
      </c>
      <c r="J313" s="18" t="inlineStr">
        <is>
          <t>中</t>
        </is>
      </c>
      <c r="K313" s="18">
        <f>IF(J313="高",0.33,IF(J313="中",0.67,IF(J313="低",1,"")))</f>
        <v/>
      </c>
      <c r="L313" s="18" t="inlineStr">
        <is>
          <t>新增</t>
        </is>
      </c>
      <c r="M313" s="18">
        <f>IF(L313="新增",1,IF(L313="修改",0.8,IF(L313="删除",0.2,"")))</f>
        <v/>
      </c>
      <c r="N313" s="18">
        <f>I313*K313*M313</f>
        <v/>
      </c>
    </row>
    <row r="314" ht="19" customHeight="1" s="1">
      <c r="B314" s="16" t="n">
        <v>309</v>
      </c>
      <c r="C314" s="16" t="inlineStr">
        <is>
          <t>边缘层数据采集及历史数据模块开发</t>
        </is>
      </c>
      <c r="D314" s="16" t="inlineStr">
        <is>
          <t>A11协同保障</t>
        </is>
      </c>
      <c r="E314" s="16" t="inlineStr">
        <is>
          <t>ID与时序</t>
        </is>
      </c>
      <c r="F314" s="16" t="inlineStr">
        <is>
          <t>串行队列</t>
        </is>
      </c>
      <c r="G314" s="17" t="inlineStr">
        <is>
          <t xml:space="preserve"> 提供按时间戳排序的串行化输出队列保障指令时序</t>
        </is>
      </c>
      <c r="H314" s="18" t="inlineStr">
        <is>
          <t>EI</t>
        </is>
      </c>
      <c r="I314" s="18">
        <f>IF(H314="ILF",10,IF(H314="EIF",7,IF(H314="EI",4,IF(H314="EO",5,IF(H314="EQ",4,"")))))</f>
        <v/>
      </c>
      <c r="J314" s="18" t="inlineStr">
        <is>
          <t>中</t>
        </is>
      </c>
      <c r="K314" s="18">
        <f>IF(J314="高",0.33,IF(J314="中",0.67,IF(J314="低",1,"")))</f>
        <v/>
      </c>
      <c r="L314" s="18" t="inlineStr">
        <is>
          <t>新增</t>
        </is>
      </c>
      <c r="M314" s="18">
        <f>IF(L314="新增",1,IF(L314="修改",0.8,IF(L314="删除",0.2,"")))</f>
        <v/>
      </c>
      <c r="N314" s="18">
        <f>I314*K314*M314</f>
        <v/>
      </c>
    </row>
    <row r="315" ht="19" customHeight="1" s="1">
      <c r="B315" s="16" t="n">
        <v>310</v>
      </c>
      <c r="C315" s="16" t="inlineStr">
        <is>
          <t>边缘层数据采集及历史数据模块开发</t>
        </is>
      </c>
      <c r="D315" s="16" t="inlineStr">
        <is>
          <t>A11协同保障</t>
        </is>
      </c>
      <c r="E315" s="16" t="inlineStr">
        <is>
          <t>ID与时序</t>
        </is>
      </c>
      <c r="F315" s="16" t="inlineStr">
        <is>
          <t>请求日志</t>
        </is>
      </c>
      <c r="G315" s="17" t="inlineStr">
        <is>
          <t xml:space="preserve"> 提供源会话ID/时间戳/报文内容记录服务</t>
        </is>
      </c>
      <c r="H315" s="18" t="inlineStr">
        <is>
          <t>EI</t>
        </is>
      </c>
      <c r="I315" s="18">
        <f>IF(H315="ILF",10,IF(H315="EIF",7,IF(H315="EI",4,IF(H315="EO",5,IF(H315="EQ",4,"")))))</f>
        <v/>
      </c>
      <c r="J315" s="18" t="inlineStr">
        <is>
          <t>中</t>
        </is>
      </c>
      <c r="K315" s="18">
        <f>IF(J315="高",0.33,IF(J315="中",0.67,IF(J315="低",1,"")))</f>
        <v/>
      </c>
      <c r="L315" s="18" t="inlineStr">
        <is>
          <t>新增</t>
        </is>
      </c>
      <c r="M315" s="18">
        <f>IF(L315="新增",1,IF(L315="修改",0.8,IF(L315="删除",0.2,"")))</f>
        <v/>
      </c>
      <c r="N315" s="18">
        <f>I315*K315*M315</f>
        <v/>
      </c>
    </row>
    <row r="316" ht="19" customHeight="1" s="1">
      <c r="B316" s="16" t="n">
        <v>311</v>
      </c>
      <c r="C316" s="16" t="inlineStr">
        <is>
          <t>边缘层数据采集及历史数据模块开发</t>
        </is>
      </c>
      <c r="D316" s="16" t="inlineStr">
        <is>
          <t>A11协同保障</t>
        </is>
      </c>
      <c r="E316" s="16" t="inlineStr">
        <is>
          <t>ID与时序</t>
        </is>
      </c>
      <c r="F316" s="16" t="inlineStr">
        <is>
          <t>归属识别</t>
        </is>
      </c>
      <c r="G316" s="17" t="inlineStr">
        <is>
          <t xml:space="preserve"> 提供代理根据请求ID识别应答归属转发服务</t>
        </is>
      </c>
      <c r="H316" s="18" t="inlineStr">
        <is>
          <t>EI</t>
        </is>
      </c>
      <c r="I316" s="18">
        <f>IF(H316="ILF",10,IF(H316="EIF",7,IF(H316="EI",4,IF(H316="EO",5,IF(H316="EQ",4,"")))))</f>
        <v/>
      </c>
      <c r="J316" s="18" t="inlineStr">
        <is>
          <t>中</t>
        </is>
      </c>
      <c r="K316" s="18">
        <f>IF(J316="高",0.33,IF(J316="中",0.67,IF(J316="低",1,"")))</f>
        <v/>
      </c>
      <c r="L316" s="18" t="inlineStr">
        <is>
          <t>新增</t>
        </is>
      </c>
      <c r="M316" s="18">
        <f>IF(L316="新增",1,IF(L316="修改",0.8,IF(L316="删除",0.2,"")))</f>
        <v/>
      </c>
      <c r="N316" s="18">
        <f>I316*K316*M316</f>
        <v/>
      </c>
    </row>
    <row r="317" ht="19" customHeight="1" s="1">
      <c r="B317" s="16" t="n">
        <v>312</v>
      </c>
      <c r="C317" s="16" t="inlineStr">
        <is>
          <t>边缘层数据采集及历史数据模块开发</t>
        </is>
      </c>
      <c r="D317" s="16" t="inlineStr">
        <is>
          <t>A11协同保障</t>
        </is>
      </c>
      <c r="E317" s="16" t="inlineStr">
        <is>
          <t>ID与时序</t>
        </is>
      </c>
      <c r="F317" s="16" t="inlineStr">
        <is>
          <t>优先级保障</t>
        </is>
      </c>
      <c r="G317" s="17" t="inlineStr">
        <is>
          <t xml:space="preserve"> 提供A11指令最高优先级调度服务</t>
        </is>
      </c>
      <c r="H317" s="18" t="inlineStr">
        <is>
          <t>EI</t>
        </is>
      </c>
      <c r="I317" s="18">
        <f>IF(H317="ILF",10,IF(H317="EIF",7,IF(H317="EI",4,IF(H317="EO",5,IF(H317="EQ",4,"")))))</f>
        <v/>
      </c>
      <c r="J317" s="18" t="inlineStr">
        <is>
          <t>中</t>
        </is>
      </c>
      <c r="K317" s="18">
        <f>IF(J317="高",0.33,IF(J317="中",0.67,IF(J317="低",1,"")))</f>
        <v/>
      </c>
      <c r="L317" s="18" t="inlineStr">
        <is>
          <t>新增</t>
        </is>
      </c>
      <c r="M317" s="18">
        <f>IF(L317="新增",1,IF(L317="修改",0.8,IF(L317="删除",0.2,"")))</f>
        <v/>
      </c>
      <c r="N317" s="18">
        <f>I317*K317*M317</f>
        <v/>
      </c>
    </row>
    <row r="318" ht="19" customHeight="1" s="1">
      <c r="B318" s="16" t="n">
        <v>313</v>
      </c>
      <c r="C318" s="16" t="inlineStr">
        <is>
          <t>边缘层数据采集及历史数据模块开发</t>
        </is>
      </c>
      <c r="D318" s="16" t="inlineStr">
        <is>
          <t>A11协同保障</t>
        </is>
      </c>
      <c r="E318" s="16" t="inlineStr">
        <is>
          <t>ID与时序</t>
        </is>
      </c>
      <c r="F318" s="16" t="inlineStr">
        <is>
          <t>时序告警</t>
        </is>
      </c>
      <c r="G318" s="17" t="inlineStr">
        <is>
          <t xml:space="preserve"> 提供指令时序异常检测和告警服务</t>
        </is>
      </c>
      <c r="H318" s="18" t="inlineStr">
        <is>
          <t>EI</t>
        </is>
      </c>
      <c r="I318" s="18">
        <f>IF(H318="ILF",10,IF(H318="EIF",7,IF(H318="EI",4,IF(H318="EO",5,IF(H318="EQ",4,"")))))</f>
        <v/>
      </c>
      <c r="J318" s="18" t="inlineStr">
        <is>
          <t>高</t>
        </is>
      </c>
      <c r="K318" s="18">
        <f>IF(J318="高",0.33,IF(J318="中",0.67,IF(J318="低",1,"")))</f>
        <v/>
      </c>
      <c r="L318" s="18" t="inlineStr">
        <is>
          <t>新增</t>
        </is>
      </c>
      <c r="M318" s="18">
        <f>IF(L318="新增",1,IF(L318="修改",0.8,IF(L318="删除",0.2,"")))</f>
        <v/>
      </c>
      <c r="N318" s="18">
        <f>I318*K318*M318</f>
        <v/>
      </c>
    </row>
    <row r="319" ht="19" customHeight="1" s="1">
      <c r="B319" s="16" t="n">
        <v>314</v>
      </c>
      <c r="C319" s="16" t="inlineStr">
        <is>
          <t>边缘层数据采集及历史数据模块开发</t>
        </is>
      </c>
      <c r="D319" s="16" t="inlineStr">
        <is>
          <t>高频采集调度</t>
        </is>
      </c>
      <c r="E319" s="16" t="inlineStr">
        <is>
          <t>采集效率管理</t>
        </is>
      </c>
      <c r="F319" s="16" t="inlineStr">
        <is>
          <t>采集覆盖率统计</t>
        </is>
      </c>
      <c r="G319" s="17" t="inlineStr">
        <is>
          <t xml:space="preserve"> 提供采集设备覆盖率的统计分析技术服务</t>
        </is>
      </c>
      <c r="H319" s="18" t="inlineStr">
        <is>
          <t>EI</t>
        </is>
      </c>
      <c r="I319" s="18">
        <f>IF(H319="ILF",10,IF(H319="EIF",7,IF(H319="EI",4,IF(H319="EO",5,IF(H319="EQ",4,"")))))</f>
        <v/>
      </c>
      <c r="J319" s="18" t="inlineStr">
        <is>
          <t>高</t>
        </is>
      </c>
      <c r="K319" s="18">
        <f>IF(J319="高",0.33,IF(J319="中",0.67,IF(J319="低",1,"")))</f>
        <v/>
      </c>
      <c r="L319" s="18" t="inlineStr">
        <is>
          <t>新增</t>
        </is>
      </c>
      <c r="M319" s="18">
        <f>IF(L319="新增",1,IF(L319="修改",0.8,IF(L319="删除",0.2,"")))</f>
        <v/>
      </c>
      <c r="N319" s="18">
        <f>I319*K319*M319</f>
        <v/>
      </c>
    </row>
    <row r="320" ht="19" customHeight="1" s="1">
      <c r="B320" s="16" t="n">
        <v>315</v>
      </c>
      <c r="C320" s="16" t="inlineStr">
        <is>
          <t>边缘层数据采集及历史数据模块开发</t>
        </is>
      </c>
      <c r="D320" s="16" t="inlineStr">
        <is>
          <t>高频采集调度</t>
        </is>
      </c>
      <c r="E320" s="16" t="inlineStr">
        <is>
          <t>采集效率管理</t>
        </is>
      </c>
      <c r="F320" s="16" t="inlineStr">
        <is>
          <t>采集数据质量统计</t>
        </is>
      </c>
      <c r="G320" s="17" t="inlineStr">
        <is>
          <t xml:space="preserve"> 提供采集数据质量的统计分析技术服务</t>
        </is>
      </c>
      <c r="H320" s="18" t="inlineStr">
        <is>
          <t>EI</t>
        </is>
      </c>
      <c r="I320" s="18">
        <f>IF(H320="ILF",10,IF(H320="EIF",7,IF(H320="EI",4,IF(H320="EO",5,IF(H320="EQ",4,"")))))</f>
        <v/>
      </c>
      <c r="J320" s="18" t="inlineStr">
        <is>
          <t>高</t>
        </is>
      </c>
      <c r="K320" s="18">
        <f>IF(J320="高",0.33,IF(J320="中",0.67,IF(J320="低",1,"")))</f>
        <v/>
      </c>
      <c r="L320" s="18" t="inlineStr">
        <is>
          <t>新增</t>
        </is>
      </c>
      <c r="M320" s="18">
        <f>IF(L320="新增",1,IF(L320="修改",0.8,IF(L320="删除",0.2,"")))</f>
        <v/>
      </c>
      <c r="N320" s="18">
        <f>I320*K320*M320</f>
        <v/>
      </c>
    </row>
    <row r="321" ht="19" customHeight="1" s="1">
      <c r="B321" s="16" t="n">
        <v>316</v>
      </c>
      <c r="C321" s="16" t="inlineStr">
        <is>
          <t>边缘层数据采集及历史数据模块开发</t>
        </is>
      </c>
      <c r="D321" s="16" t="inlineStr">
        <is>
          <t>高频采集调度</t>
        </is>
      </c>
      <c r="E321" s="16" t="inlineStr">
        <is>
          <t>采集效率管理</t>
        </is>
      </c>
      <c r="F321" s="16" t="inlineStr">
        <is>
          <t>采集链路可用率统计</t>
        </is>
      </c>
      <c r="G321" s="17" t="inlineStr">
        <is>
          <t xml:space="preserve"> 提供采集链路可用率的统计分析技术服务</t>
        </is>
      </c>
      <c r="H321" s="18" t="inlineStr">
        <is>
          <t>EI</t>
        </is>
      </c>
      <c r="I321" s="18">
        <f>IF(H321="ILF",10,IF(H321="EIF",7,IF(H321="EI",4,IF(H321="EO",5,IF(H321="EQ",4,"")))))</f>
        <v/>
      </c>
      <c r="J321" s="18" t="inlineStr">
        <is>
          <t>高</t>
        </is>
      </c>
      <c r="K321" s="18">
        <f>IF(J321="高",0.33,IF(J321="中",0.67,IF(J321="低",1,"")))</f>
        <v/>
      </c>
      <c r="L321" s="18" t="inlineStr">
        <is>
          <t>新增</t>
        </is>
      </c>
      <c r="M321" s="18">
        <f>IF(L321="新增",1,IF(L321="修改",0.8,IF(L321="删除",0.2,"")))</f>
        <v/>
      </c>
      <c r="N321" s="18">
        <f>I321*K321*M321</f>
        <v/>
      </c>
    </row>
    <row r="322" ht="19" customHeight="1" s="1">
      <c r="B322" s="16" t="n">
        <v>317</v>
      </c>
      <c r="C322" s="16" t="inlineStr">
        <is>
          <t>边缘层数据采集及历史数据模块开发</t>
        </is>
      </c>
      <c r="D322" s="16" t="inlineStr">
        <is>
          <t>高频采集调度</t>
        </is>
      </c>
      <c r="E322" s="16" t="inlineStr">
        <is>
          <t>采集任务管理</t>
        </is>
      </c>
      <c r="F322" s="16" t="inlineStr">
        <is>
          <t>采集任务优先级配置</t>
        </is>
      </c>
      <c r="G322" s="17" t="inlineStr">
        <is>
          <t xml:space="preserve"> 提供采集任务优先级参数配置服务</t>
        </is>
      </c>
      <c r="H322" s="18" t="inlineStr">
        <is>
          <t>EI</t>
        </is>
      </c>
      <c r="I322" s="18">
        <f>IF(H322="ILF",10,IF(H322="EIF",7,IF(H322="EI",4,IF(H322="EO",5,IF(H322="EQ",4,"")))))</f>
        <v/>
      </c>
      <c r="J322" s="18" t="inlineStr">
        <is>
          <t>高</t>
        </is>
      </c>
      <c r="K322" s="18">
        <f>IF(J322="高",0.33,IF(J322="中",0.67,IF(J322="低",1,"")))</f>
        <v/>
      </c>
      <c r="L322" s="18" t="inlineStr">
        <is>
          <t>新增</t>
        </is>
      </c>
      <c r="M322" s="18">
        <f>IF(L322="新增",1,IF(L322="修改",0.8,IF(L322="删除",0.2,"")))</f>
        <v/>
      </c>
      <c r="N322" s="18">
        <f>I322*K322*M322</f>
        <v/>
      </c>
    </row>
    <row r="323" ht="19" customHeight="1" s="1">
      <c r="B323" s="16" t="n">
        <v>318</v>
      </c>
      <c r="C323" s="16" t="inlineStr">
        <is>
          <t>边缘层数据采集及历史数据模块开发</t>
        </is>
      </c>
      <c r="D323" s="16" t="inlineStr">
        <is>
          <t>高频采集调度</t>
        </is>
      </c>
      <c r="E323" s="16" t="inlineStr">
        <is>
          <t>采集任务管理</t>
        </is>
      </c>
      <c r="F323" s="16" t="inlineStr">
        <is>
          <t>采集任务依赖配置</t>
        </is>
      </c>
      <c r="G323" s="17" t="inlineStr">
        <is>
          <t xml:space="preserve"> 提供采集任务依赖关系配置服务</t>
        </is>
      </c>
      <c r="H323" s="18" t="inlineStr">
        <is>
          <t>EI</t>
        </is>
      </c>
      <c r="I323" s="18">
        <f>IF(H323="ILF",10,IF(H323="EIF",7,IF(H323="EI",4,IF(H323="EO",5,IF(H323="EQ",4,"")))))</f>
        <v/>
      </c>
      <c r="J323" s="18" t="inlineStr">
        <is>
          <t>高</t>
        </is>
      </c>
      <c r="K323" s="18">
        <f>IF(J323="高",0.33,IF(J323="中",0.67,IF(J323="低",1,"")))</f>
        <v/>
      </c>
      <c r="L323" s="18" t="inlineStr">
        <is>
          <t>新增</t>
        </is>
      </c>
      <c r="M323" s="18">
        <f>IF(L323="新增",1,IF(L323="修改",0.8,IF(L323="删除",0.2,"")))</f>
        <v/>
      </c>
      <c r="N323" s="18">
        <f>I323*K323*M323</f>
        <v/>
      </c>
    </row>
    <row r="324" ht="19" customHeight="1" s="1">
      <c r="B324" s="16" t="n">
        <v>319</v>
      </c>
      <c r="C324" s="16" t="inlineStr">
        <is>
          <t>边缘层数据采集及历史数据模块开发</t>
        </is>
      </c>
      <c r="D324" s="16" t="inlineStr">
        <is>
          <t>高频采集调度</t>
        </is>
      </c>
      <c r="E324" s="16" t="inlineStr">
        <is>
          <t>采集任务管理</t>
        </is>
      </c>
      <c r="F324" s="16" t="inlineStr">
        <is>
          <t>采集任务日历配置</t>
        </is>
      </c>
      <c r="G324" s="17" t="inlineStr">
        <is>
          <t xml:space="preserve"> 提供采集任务执行日历配置服务</t>
        </is>
      </c>
      <c r="H324" s="18" t="inlineStr">
        <is>
          <t>EO</t>
        </is>
      </c>
      <c r="I324" s="18">
        <f>IF(H324="ILF",10,IF(H324="EIF",7,IF(H324="EI",4,IF(H324="EO",5,IF(H324="EQ",4,"")))))</f>
        <v/>
      </c>
      <c r="J324" s="18" t="inlineStr">
        <is>
          <t>低</t>
        </is>
      </c>
      <c r="K324" s="18">
        <f>IF(J324="高",0.33,IF(J324="中",0.67,IF(J324="低",1,"")))</f>
        <v/>
      </c>
      <c r="L324" s="18" t="inlineStr">
        <is>
          <t>新增</t>
        </is>
      </c>
      <c r="M324" s="18">
        <f>IF(L324="新增",1,IF(L324="修改",0.8,IF(L324="删除",0.2,"")))</f>
        <v/>
      </c>
      <c r="N324" s="18">
        <f>I324*K324*M324</f>
        <v/>
      </c>
    </row>
    <row r="325" ht="19" customHeight="1" s="1">
      <c r="B325" s="16" t="n">
        <v>320</v>
      </c>
      <c r="C325" s="16" t="inlineStr">
        <is>
          <t>边缘层数据采集及历史数据模块开发</t>
        </is>
      </c>
      <c r="D325" s="16" t="inlineStr">
        <is>
          <t>高频采集调度</t>
        </is>
      </c>
      <c r="E325" s="16" t="inlineStr">
        <is>
          <t>采集效率统计</t>
        </is>
      </c>
      <c r="F325" s="16" t="inlineStr">
        <is>
          <t>采集成功率统计报表</t>
        </is>
      </c>
      <c r="G325" s="17" t="inlineStr">
        <is>
          <t xml:space="preserve"> 提供采集成功率统计报表服务</t>
        </is>
      </c>
      <c r="H325" s="18" t="inlineStr">
        <is>
          <t>EO</t>
        </is>
      </c>
      <c r="I325" s="18">
        <f>IF(H325="ILF",10,IF(H325="EIF",7,IF(H325="EI",4,IF(H325="EO",5,IF(H325="EQ",4,"")))))</f>
        <v/>
      </c>
      <c r="J325" s="18" t="inlineStr">
        <is>
          <t>低</t>
        </is>
      </c>
      <c r="K325" s="18">
        <f>IF(J325="高",0.33,IF(J325="中",0.67,IF(J325="低",1,"")))</f>
        <v/>
      </c>
      <c r="L325" s="18" t="inlineStr">
        <is>
          <t>新增</t>
        </is>
      </c>
      <c r="M325" s="18">
        <f>IF(L325="新增",1,IF(L325="修改",0.8,IF(L325="删除",0.2,"")))</f>
        <v/>
      </c>
      <c r="N325" s="18">
        <f>I325*K325*M325</f>
        <v/>
      </c>
    </row>
    <row r="326" ht="19" customHeight="1" s="1">
      <c r="B326" s="16" t="n">
        <v>321</v>
      </c>
      <c r="C326" s="16" t="inlineStr">
        <is>
          <t>边缘层数据采集及历史数据模块开发</t>
        </is>
      </c>
      <c r="D326" s="16" t="inlineStr">
        <is>
          <t>高频采集调度</t>
        </is>
      </c>
      <c r="E326" s="16" t="inlineStr">
        <is>
          <t>采集效率统计</t>
        </is>
      </c>
      <c r="F326" s="16" t="inlineStr">
        <is>
          <t>采集延迟统计报表</t>
        </is>
      </c>
      <c r="G326" s="17" t="inlineStr">
        <is>
          <t xml:space="preserve"> 提供采集延迟统计报表服务</t>
        </is>
      </c>
      <c r="H326" s="18" t="inlineStr">
        <is>
          <t>EO</t>
        </is>
      </c>
      <c r="I326" s="18">
        <f>IF(H326="ILF",10,IF(H326="EIF",7,IF(H326="EI",4,IF(H326="EO",5,IF(H326="EQ",4,"")))))</f>
        <v/>
      </c>
      <c r="J326" s="18" t="inlineStr">
        <is>
          <t>低</t>
        </is>
      </c>
      <c r="K326" s="18">
        <f>IF(J326="高",0.33,IF(J326="中",0.67,IF(J326="低",1,"")))</f>
        <v/>
      </c>
      <c r="L326" s="18" t="inlineStr">
        <is>
          <t>新增</t>
        </is>
      </c>
      <c r="M326" s="18">
        <f>IF(L326="新增",1,IF(L326="修改",0.8,IF(L326="删除",0.2,"")))</f>
        <v/>
      </c>
      <c r="N326" s="18">
        <f>I326*K326*M326</f>
        <v/>
      </c>
    </row>
    <row r="327" ht="19" customHeight="1" s="1">
      <c r="B327" s="16" t="n">
        <v>322</v>
      </c>
      <c r="C327" s="16" t="inlineStr">
        <is>
          <t>边缘层数据采集及历史数据模块开发</t>
        </is>
      </c>
      <c r="D327" s="16" t="inlineStr">
        <is>
          <t>A11协同保障</t>
        </is>
      </c>
      <c r="E327" s="16" t="inlineStr">
        <is>
          <t>协同保障服务</t>
        </is>
      </c>
      <c r="F327" s="16" t="inlineStr">
        <is>
          <t>数据一致性比对</t>
        </is>
      </c>
      <c r="G327" s="17" t="inlineStr">
        <is>
          <t xml:space="preserve"> 提供A11与边缘中枢数据一致性比对服务</t>
        </is>
      </c>
      <c r="H327" s="18" t="inlineStr">
        <is>
          <t>EO</t>
        </is>
      </c>
      <c r="I327" s="18">
        <f>IF(H327="ILF",10,IF(H327="EIF",7,IF(H327="EI",4,IF(H327="EO",5,IF(H327="EQ",4,"")))))</f>
        <v/>
      </c>
      <c r="J327" s="18" t="inlineStr">
        <is>
          <t>低</t>
        </is>
      </c>
      <c r="K327" s="18">
        <f>IF(J327="高",0.33,IF(J327="中",0.67,IF(J327="低",1,"")))</f>
        <v/>
      </c>
      <c r="L327" s="18" t="inlineStr">
        <is>
          <t>新增</t>
        </is>
      </c>
      <c r="M327" s="18">
        <f>IF(L327="新增",1,IF(L327="修改",0.8,IF(L327="删除",0.2,"")))</f>
        <v/>
      </c>
      <c r="N327" s="18">
        <f>I327*K327*M327</f>
        <v/>
      </c>
    </row>
    <row r="328" ht="19" customHeight="1" s="1">
      <c r="B328" s="16" t="n">
        <v>323</v>
      </c>
      <c r="C328" s="16" t="inlineStr">
        <is>
          <t>边缘层数据采集及历史数据模块开发</t>
        </is>
      </c>
      <c r="D328" s="16" t="inlineStr">
        <is>
          <t>A11协同保障</t>
        </is>
      </c>
      <c r="E328" s="16" t="inlineStr">
        <is>
          <t>协同保障服务</t>
        </is>
      </c>
      <c r="F328" s="16" t="inlineStr">
        <is>
          <t>数据差异报告生成</t>
        </is>
      </c>
      <c r="G328" s="17" t="inlineStr">
        <is>
          <t xml:space="preserve"> 提供A11与边缘中枢数据差异报告服务</t>
        </is>
      </c>
      <c r="H328" s="18" t="inlineStr">
        <is>
          <t>EO</t>
        </is>
      </c>
      <c r="I328" s="18">
        <f>IF(H328="ILF",10,IF(H328="EIF",7,IF(H328="EI",4,IF(H328="EO",5,IF(H328="EQ",4,"")))))</f>
        <v/>
      </c>
      <c r="J328" s="18" t="inlineStr">
        <is>
          <t>低</t>
        </is>
      </c>
      <c r="K328" s="18">
        <f>IF(J328="高",0.33,IF(J328="中",0.67,IF(J328="低",1,"")))</f>
        <v/>
      </c>
      <c r="L328" s="18" t="inlineStr">
        <is>
          <t>新增</t>
        </is>
      </c>
      <c r="M328" s="18">
        <f>IF(L328="新增",1,IF(L328="修改",0.8,IF(L328="删除",0.2,"")))</f>
        <v/>
      </c>
      <c r="N328" s="18">
        <f>I328*K328*M328</f>
        <v/>
      </c>
    </row>
    <row r="329" ht="19" customHeight="1" s="1">
      <c r="B329" s="16" t="n">
        <v>324</v>
      </c>
      <c r="C329" s="16" t="inlineStr">
        <is>
          <t>边缘层数据采集及历史数据模块开发</t>
        </is>
      </c>
      <c r="D329" s="16" t="inlineStr">
        <is>
          <t>固定IP设备接入</t>
        </is>
      </c>
      <c r="E329" s="16" t="inlineStr">
        <is>
          <t>设备接入服务</t>
        </is>
      </c>
      <c r="F329" s="16" t="inlineStr">
        <is>
          <t>设备注册信息同步</t>
        </is>
      </c>
      <c r="G329" s="17" t="inlineStr">
        <is>
          <t xml:space="preserve"> 提供设备注册信息同步服务</t>
        </is>
      </c>
      <c r="H329" s="18" t="inlineStr">
        <is>
          <t>EO</t>
        </is>
      </c>
      <c r="I329" s="18">
        <f>IF(H329="ILF",10,IF(H329="EIF",7,IF(H329="EI",4,IF(H329="EO",5,IF(H329="EQ",4,"")))))</f>
        <v/>
      </c>
      <c r="J329" s="18" t="inlineStr">
        <is>
          <t>中</t>
        </is>
      </c>
      <c r="K329" s="18">
        <f>IF(J329="高",0.33,IF(J329="中",0.67,IF(J329="低",1,"")))</f>
        <v/>
      </c>
      <c r="L329" s="18" t="inlineStr">
        <is>
          <t>新增</t>
        </is>
      </c>
      <c r="M329" s="18">
        <f>IF(L329="新增",1,IF(L329="修改",0.8,IF(L329="删除",0.2,"")))</f>
        <v/>
      </c>
      <c r="N329" s="18">
        <f>I329*K329*M329</f>
        <v/>
      </c>
    </row>
    <row r="330" ht="19" customHeight="1" s="1">
      <c r="B330" s="16" t="n">
        <v>325</v>
      </c>
      <c r="C330" s="16" t="inlineStr">
        <is>
          <t>边缘层数据采集及历史数据模块开发</t>
        </is>
      </c>
      <c r="D330" s="16" t="inlineStr">
        <is>
          <t>高频采集调度</t>
        </is>
      </c>
      <c r="E330" s="16" t="inlineStr">
        <is>
          <t>采集任务管理</t>
        </is>
      </c>
      <c r="F330" s="16" t="inlineStr">
        <is>
          <t>采集任务超时配置</t>
        </is>
      </c>
      <c r="G330" s="17" t="inlineStr">
        <is>
          <t xml:space="preserve"> 提供采集任务超时参数配置服务</t>
        </is>
      </c>
      <c r="H330" s="18" t="inlineStr">
        <is>
          <t>EO</t>
        </is>
      </c>
      <c r="I330" s="18">
        <f>IF(H330="ILF",10,IF(H330="EIF",7,IF(H330="EI",4,IF(H330="EO",5,IF(H330="EQ",4,"")))))</f>
        <v/>
      </c>
      <c r="J330" s="18" t="inlineStr">
        <is>
          <t>中</t>
        </is>
      </c>
      <c r="K330" s="18">
        <f>IF(J330="高",0.33,IF(J330="中",0.67,IF(J330="低",1,"")))</f>
        <v/>
      </c>
      <c r="L330" s="18" t="inlineStr">
        <is>
          <t>新增</t>
        </is>
      </c>
      <c r="M330" s="18">
        <f>IF(L330="新增",1,IF(L330="修改",0.8,IF(L330="删除",0.2,"")))</f>
        <v/>
      </c>
      <c r="N330" s="18">
        <f>I330*K330*M330</f>
        <v/>
      </c>
    </row>
    <row r="331" ht="19" customHeight="1" s="1">
      <c r="B331" s="16" t="n">
        <v>326</v>
      </c>
      <c r="C331" s="16" t="inlineStr">
        <is>
          <t>边缘层数据采集及历史数据模块开发</t>
        </is>
      </c>
      <c r="D331" s="16" t="inlineStr">
        <is>
          <t>动态IP设备接入</t>
        </is>
      </c>
      <c r="E331" s="16" t="inlineStr">
        <is>
          <t>端口路由</t>
        </is>
      </c>
      <c r="F331" s="16" t="inlineStr">
        <is>
          <t>53001路由</t>
        </is>
      </c>
      <c r="G331" s="17" t="inlineStr">
        <is>
          <t xml:space="preserve"> 提供IO服务器53001端口流量路由至新系统端口配置服务</t>
        </is>
      </c>
      <c r="H331" s="18" t="inlineStr">
        <is>
          <t>EO</t>
        </is>
      </c>
      <c r="I331" s="18">
        <f>IF(H331="ILF",10,IF(H331="EIF",7,IF(H331="EI",4,IF(H331="EO",5,IF(H331="EQ",4,"")))))</f>
        <v/>
      </c>
      <c r="J331" s="18" t="inlineStr">
        <is>
          <t>中</t>
        </is>
      </c>
      <c r="K331" s="18">
        <f>IF(J331="高",0.33,IF(J331="中",0.67,IF(J331="低",1,"")))</f>
        <v/>
      </c>
      <c r="L331" s="18" t="inlineStr">
        <is>
          <t>新增</t>
        </is>
      </c>
      <c r="M331" s="18">
        <f>IF(L331="新增",1,IF(L331="修改",0.8,IF(L331="删除",0.2,"")))</f>
        <v/>
      </c>
      <c r="N331" s="18">
        <f>I331*K331*M331</f>
        <v/>
      </c>
    </row>
    <row r="332" ht="19" customHeight="1" s="1">
      <c r="B332" s="16" t="n">
        <v>327</v>
      </c>
      <c r="C332" s="16" t="inlineStr">
        <is>
          <t>边缘层数据采集及历史数据模块开发</t>
        </is>
      </c>
      <c r="D332" s="16" t="inlineStr">
        <is>
          <t>动态IP设备接入</t>
        </is>
      </c>
      <c r="E332" s="16" t="inlineStr">
        <is>
          <t>端口路由</t>
        </is>
      </c>
      <c r="F332" s="16" t="inlineStr">
        <is>
          <t>53002转发</t>
        </is>
      </c>
      <c r="G332" s="17" t="inlineStr">
        <is>
          <t xml:space="preserve"> 提供DMZ代理转发端口53002接收和转发配置服务</t>
        </is>
      </c>
      <c r="H332" s="18" t="inlineStr">
        <is>
          <t>EO</t>
        </is>
      </c>
      <c r="I332" s="18">
        <f>IF(H332="ILF",10,IF(H332="EIF",7,IF(H332="EI",4,IF(H332="EO",5,IF(H332="EQ",4,"")))))</f>
        <v/>
      </c>
      <c r="J332" s="18" t="inlineStr">
        <is>
          <t>中</t>
        </is>
      </c>
      <c r="K332" s="18">
        <f>IF(J332="高",0.33,IF(J332="中",0.67,IF(J332="低",1,"")))</f>
        <v/>
      </c>
      <c r="L332" s="18" t="inlineStr">
        <is>
          <t>新增</t>
        </is>
      </c>
      <c r="M332" s="18">
        <f>IF(L332="新增",1,IF(L332="修改",0.8,IF(L332="删除",0.2,"")))</f>
        <v/>
      </c>
      <c r="N332" s="18">
        <f>I332*K332*M332</f>
        <v/>
      </c>
    </row>
    <row r="333" ht="19" customHeight="1" s="1">
      <c r="B333" s="16" t="n">
        <v>328</v>
      </c>
      <c r="C333" s="16" t="inlineStr">
        <is>
          <t>边缘层数据采集及历史数据模块开发</t>
        </is>
      </c>
      <c r="D333" s="16" t="inlineStr">
        <is>
          <t>动态IP设备接入</t>
        </is>
      </c>
      <c r="E333" s="16" t="inlineStr">
        <is>
          <t>端口路由</t>
        </is>
      </c>
      <c r="F333" s="16" t="inlineStr">
        <is>
          <t>路由正确性验证</t>
        </is>
      </c>
      <c r="G333" s="17" t="inlineStr">
        <is>
          <t xml:space="preserve"> 提供路由转发策略正确性验证服务</t>
        </is>
      </c>
      <c r="H333" s="18" t="inlineStr">
        <is>
          <t>EO</t>
        </is>
      </c>
      <c r="I333" s="18">
        <f>IF(H333="ILF",10,IF(H333="EIF",7,IF(H333="EI",4,IF(H333="EO",5,IF(H333="EQ",4,"")))))</f>
        <v/>
      </c>
      <c r="J333" s="18" t="inlineStr">
        <is>
          <t>中</t>
        </is>
      </c>
      <c r="K333" s="18">
        <f>IF(J333="高",0.33,IF(J333="中",0.67,IF(J333="低",1,"")))</f>
        <v/>
      </c>
      <c r="L333" s="18" t="inlineStr">
        <is>
          <t>新增</t>
        </is>
      </c>
      <c r="M333" s="18">
        <f>IF(L333="新增",1,IF(L333="修改",0.8,IF(L333="删除",0.2,"")))</f>
        <v/>
      </c>
      <c r="N333" s="18">
        <f>I333*K333*M333</f>
        <v/>
      </c>
    </row>
    <row r="334" ht="19" customHeight="1" s="1">
      <c r="B334" s="16" t="n">
        <v>329</v>
      </c>
      <c r="C334" s="16" t="inlineStr">
        <is>
          <t>边缘层数据采集及历史数据模块开发</t>
        </is>
      </c>
      <c r="D334" s="16" t="inlineStr">
        <is>
          <t>动态IP设备接入</t>
        </is>
      </c>
      <c r="E334" s="16" t="inlineStr">
        <is>
          <t>端口路由</t>
        </is>
      </c>
      <c r="F334" s="16" t="inlineStr">
        <is>
          <t>路由稳定性验证</t>
        </is>
      </c>
      <c r="G334" s="17" t="inlineStr">
        <is>
          <t xml:space="preserve"> 提供路由转发策略长期稳定性验证服务</t>
        </is>
      </c>
      <c r="H334" s="18" t="inlineStr">
        <is>
          <t>EQ</t>
        </is>
      </c>
      <c r="I334" s="18">
        <f>IF(H334="ILF",10,IF(H334="EIF",7,IF(H334="EI",4,IF(H334="EO",5,IF(H334="EQ",4,"")))))</f>
        <v/>
      </c>
      <c r="J334" s="18" t="inlineStr">
        <is>
          <t>低</t>
        </is>
      </c>
      <c r="K334" s="18">
        <f>IF(J334="高",0.33,IF(J334="中",0.67,IF(J334="低",1,"")))</f>
        <v/>
      </c>
      <c r="L334" s="18" t="inlineStr">
        <is>
          <t>新增</t>
        </is>
      </c>
      <c r="M334" s="18">
        <f>IF(L334="新增",1,IF(L334="修改",0.8,IF(L334="删除",0.2,"")))</f>
        <v/>
      </c>
      <c r="N334" s="18">
        <f>I334*K334*M334</f>
        <v/>
      </c>
    </row>
    <row r="335" ht="19" customHeight="1" s="1">
      <c r="B335" s="16" t="n">
        <v>330</v>
      </c>
      <c r="C335" s="16" t="inlineStr">
        <is>
          <t>边缘层数据采集及历史数据模块开发</t>
        </is>
      </c>
      <c r="D335" s="16" t="inlineStr">
        <is>
          <t>动态IP设备接入</t>
        </is>
      </c>
      <c r="E335" s="16" t="inlineStr">
        <is>
          <t>端口路由</t>
        </is>
      </c>
      <c r="F335" s="16" t="inlineStr">
        <is>
          <t>端口映射管理</t>
        </is>
      </c>
      <c r="G335" s="17" t="inlineStr">
        <is>
          <t xml:space="preserve"> 提供端口映射规则创建/修改/删除/查询管理服务</t>
        </is>
      </c>
      <c r="H335" s="18" t="inlineStr">
        <is>
          <t>EQ</t>
        </is>
      </c>
      <c r="I335" s="18">
        <f>IF(H335="ILF",10,IF(H335="EIF",7,IF(H335="EI",4,IF(H335="EO",5,IF(H335="EQ",4,"")))))</f>
        <v/>
      </c>
      <c r="J335" s="18" t="inlineStr">
        <is>
          <t>低</t>
        </is>
      </c>
      <c r="K335" s="18">
        <f>IF(J335="高",0.33,IF(J335="中",0.67,IF(J335="低",1,"")))</f>
        <v/>
      </c>
      <c r="L335" s="18" t="inlineStr">
        <is>
          <t>新增</t>
        </is>
      </c>
      <c r="M335" s="18">
        <f>IF(L335="新增",1,IF(L335="修改",0.8,IF(L335="删除",0.2,"")))</f>
        <v/>
      </c>
      <c r="N335" s="18">
        <f>I335*K335*M335</f>
        <v/>
      </c>
    </row>
    <row r="336" ht="19" customHeight="1" s="1">
      <c r="B336" s="16" t="n">
        <v>331</v>
      </c>
      <c r="C336" s="16" t="inlineStr">
        <is>
          <t>边缘层数据采集及历史数据模块开发</t>
        </is>
      </c>
      <c r="D336" s="16" t="inlineStr">
        <is>
          <t>动态IP设备接入</t>
        </is>
      </c>
      <c r="E336" s="16" t="inlineStr">
        <is>
          <t>端口路由</t>
        </is>
      </c>
      <c r="F336" s="16" t="inlineStr">
        <is>
          <t>端口映射追溯</t>
        </is>
      </c>
      <c r="G336" s="17" t="inlineStr">
        <is>
          <t xml:space="preserve"> 提供端口映射规则变更历史记录和追溯服务</t>
        </is>
      </c>
      <c r="H336" s="18" t="inlineStr">
        <is>
          <t>EQ</t>
        </is>
      </c>
      <c r="I336" s="18">
        <f>IF(H336="ILF",10,IF(H336="EIF",7,IF(H336="EI",4,IF(H336="EO",5,IF(H336="EQ",4,"")))))</f>
        <v/>
      </c>
      <c r="J336" s="18" t="inlineStr">
        <is>
          <t>低</t>
        </is>
      </c>
      <c r="K336" s="18">
        <f>IF(J336="高",0.33,IF(J336="中",0.67,IF(J336="低",1,"")))</f>
        <v/>
      </c>
      <c r="L336" s="18" t="inlineStr">
        <is>
          <t>新增</t>
        </is>
      </c>
      <c r="M336" s="18">
        <f>IF(L336="新增",1,IF(L336="修改",0.8,IF(L336="删除",0.2,"")))</f>
        <v/>
      </c>
      <c r="N336" s="18">
        <f>I336*K336*M336</f>
        <v/>
      </c>
    </row>
    <row r="337" ht="19" customHeight="1" s="1">
      <c r="B337" s="16" t="n">
        <v>332</v>
      </c>
      <c r="C337" s="16" t="inlineStr">
        <is>
          <t>边缘层数据采集及历史数据模块开发</t>
        </is>
      </c>
      <c r="D337" s="16" t="inlineStr">
        <is>
          <t>动态IP设备接入</t>
        </is>
      </c>
      <c r="E337" s="16" t="inlineStr">
        <is>
          <t>端口路由</t>
        </is>
      </c>
      <c r="F337" s="16" t="inlineStr">
        <is>
          <t>路由流量监控</t>
        </is>
      </c>
      <c r="G337" s="17" t="inlineStr">
        <is>
          <t xml:space="preserve"> 提供端口路由转发流量实时监控服务</t>
        </is>
      </c>
      <c r="H337" s="18" t="inlineStr">
        <is>
          <t>EQ</t>
        </is>
      </c>
      <c r="I337" s="18">
        <f>IF(H337="ILF",10,IF(H337="EIF",7,IF(H337="EI",4,IF(H337="EO",5,IF(H337="EQ",4,"")))))</f>
        <v/>
      </c>
      <c r="J337" s="18" t="inlineStr">
        <is>
          <t>低</t>
        </is>
      </c>
      <c r="K337" s="18">
        <f>IF(J337="高",0.33,IF(J337="中",0.67,IF(J337="低",1,"")))</f>
        <v/>
      </c>
      <c r="L337" s="18" t="inlineStr">
        <is>
          <t>新增</t>
        </is>
      </c>
      <c r="M337" s="18">
        <f>IF(L337="新增",1,IF(L337="修改",0.8,IF(L337="删除",0.2,"")))</f>
        <v/>
      </c>
      <c r="N337" s="18">
        <f>I337*K337*M337</f>
        <v/>
      </c>
    </row>
    <row r="338" ht="19" customHeight="1" s="1">
      <c r="B338" s="16" t="n">
        <v>333</v>
      </c>
      <c r="C338" s="16" t="inlineStr">
        <is>
          <t>边缘层数据采集及历史数据模块开发</t>
        </is>
      </c>
      <c r="D338" s="16" t="inlineStr">
        <is>
          <t>动态IP设备接入</t>
        </is>
      </c>
      <c r="E338" s="16" t="inlineStr">
        <is>
          <t>端口路由</t>
        </is>
      </c>
      <c r="F338" s="16" t="inlineStr">
        <is>
          <t>路由延迟监控</t>
        </is>
      </c>
      <c r="G338" s="17" t="inlineStr">
        <is>
          <t xml:space="preserve"> 提供端口路由转发延迟实时监控服务</t>
        </is>
      </c>
      <c r="H338" s="18" t="inlineStr">
        <is>
          <t>EQ</t>
        </is>
      </c>
      <c r="I338" s="18">
        <f>IF(H338="ILF",10,IF(H338="EIF",7,IF(H338="EI",4,IF(H338="EO",5,IF(H338="EQ",4,"")))))</f>
        <v/>
      </c>
      <c r="J338" s="18" t="inlineStr">
        <is>
          <t>低</t>
        </is>
      </c>
      <c r="K338" s="18">
        <f>IF(J338="高",0.33,IF(J338="中",0.67,IF(J338="低",1,"")))</f>
        <v/>
      </c>
      <c r="L338" s="18" t="inlineStr">
        <is>
          <t>新增</t>
        </is>
      </c>
      <c r="M338" s="18">
        <f>IF(L338="新增",1,IF(L338="修改",0.8,IF(L338="删除",0.2,"")))</f>
        <v/>
      </c>
      <c r="N338" s="18">
        <f>I338*K338*M338</f>
        <v/>
      </c>
    </row>
    <row r="339" ht="19" customHeight="1" s="1">
      <c r="B339" s="16" t="n">
        <v>334</v>
      </c>
      <c r="C339" s="16" t="inlineStr">
        <is>
          <t>边缘层数据采集及历史数据模块开发</t>
        </is>
      </c>
      <c r="D339" s="16" t="inlineStr">
        <is>
          <t>动态IP设备接入</t>
        </is>
      </c>
      <c r="E339" s="16" t="inlineStr">
        <is>
          <t>端口路由</t>
        </is>
      </c>
      <c r="F339" s="16" t="inlineStr">
        <is>
          <t>路由故障切换</t>
        </is>
      </c>
      <c r="G339" s="17" t="inlineStr">
        <is>
          <t xml:space="preserve"> 提供端口路由主备故障自动切换服务</t>
        </is>
      </c>
      <c r="H339" s="18" t="inlineStr">
        <is>
          <t>EQ</t>
        </is>
      </c>
      <c r="I339" s="18">
        <f>IF(H339="ILF",10,IF(H339="EIF",7,IF(H339="EI",4,IF(H339="EO",5,IF(H339="EQ",4,"")))))</f>
        <v/>
      </c>
      <c r="J339" s="18" t="inlineStr">
        <is>
          <t>低</t>
        </is>
      </c>
      <c r="K339" s="18">
        <f>IF(J339="高",0.33,IF(J339="中",0.67,IF(J339="低",1,"")))</f>
        <v/>
      </c>
      <c r="L339" s="18" t="inlineStr">
        <is>
          <t>新增</t>
        </is>
      </c>
      <c r="M339" s="18">
        <f>IF(L339="新增",1,IF(L339="修改",0.8,IF(L339="删除",0.2,"")))</f>
        <v/>
      </c>
      <c r="N339" s="18">
        <f>I339*K339*M339</f>
        <v/>
      </c>
    </row>
    <row r="340" ht="19" customHeight="1" s="1">
      <c r="B340" s="16" t="n">
        <v>335</v>
      </c>
      <c r="C340" s="16" t="inlineStr">
        <is>
          <t>边缘层数据采集及历史数据模块开发</t>
        </is>
      </c>
      <c r="D340" s="16" t="inlineStr">
        <is>
          <t>动态IP设备接入</t>
        </is>
      </c>
      <c r="E340" s="16" t="inlineStr">
        <is>
          <t>端口路由</t>
        </is>
      </c>
      <c r="F340" s="16" t="inlineStr">
        <is>
          <t>路由备份</t>
        </is>
      </c>
      <c r="G340" s="17" t="inlineStr">
        <is>
          <t xml:space="preserve"> 提供路由配置备份和恢复服务</t>
        </is>
      </c>
      <c r="H340" s="18" t="inlineStr">
        <is>
          <t>EQ</t>
        </is>
      </c>
      <c r="I340" s="18">
        <f>IF(H340="ILF",10,IF(H340="EIF",7,IF(H340="EI",4,IF(H340="EO",5,IF(H340="EQ",4,"")))))</f>
        <v/>
      </c>
      <c r="J340" s="18" t="inlineStr">
        <is>
          <t>低</t>
        </is>
      </c>
      <c r="K340" s="18">
        <f>IF(J340="高",0.33,IF(J340="中",0.67,IF(J340="低",1,"")))</f>
        <v/>
      </c>
      <c r="L340" s="18" t="inlineStr">
        <is>
          <t>新增</t>
        </is>
      </c>
      <c r="M340" s="18">
        <f>IF(L340="新增",1,IF(L340="修改",0.8,IF(L340="删除",0.2,"")))</f>
        <v/>
      </c>
      <c r="N340" s="18">
        <f>I340*K340*M340</f>
        <v/>
      </c>
    </row>
    <row r="341" ht="19" customHeight="1" s="1">
      <c r="B341" s="16" t="n">
        <v>336</v>
      </c>
      <c r="C341" s="16" t="inlineStr">
        <is>
          <t>边缘层数据采集及历史数据模块开发</t>
        </is>
      </c>
      <c r="D341" s="16" t="inlineStr">
        <is>
          <t>动态IP设备接入</t>
        </is>
      </c>
      <c r="E341" s="16" t="inlineStr">
        <is>
          <t>DMZ代理</t>
        </is>
      </c>
      <c r="F341" s="16" t="inlineStr">
        <is>
          <t>DMZ部署</t>
        </is>
      </c>
      <c r="G341" s="17" t="inlineStr">
        <is>
          <t xml:space="preserve"> 提供DMZ区轻量级代理转发服务部署技术服务</t>
        </is>
      </c>
      <c r="H341" s="18" t="inlineStr">
        <is>
          <t>EQ</t>
        </is>
      </c>
      <c r="I341" s="18">
        <f>IF(H341="ILF",10,IF(H341="EIF",7,IF(H341="EI",4,IF(H341="EO",5,IF(H341="EQ",4,"")))))</f>
        <v/>
      </c>
      <c r="J341" s="18" t="inlineStr">
        <is>
          <t>低</t>
        </is>
      </c>
      <c r="K341" s="18">
        <f>IF(J341="高",0.33,IF(J341="中",0.67,IF(J341="低",1,"")))</f>
        <v/>
      </c>
      <c r="L341" s="18" t="inlineStr">
        <is>
          <t>新增</t>
        </is>
      </c>
      <c r="M341" s="18">
        <f>IF(L341="新增",1,IF(L341="修改",0.8,IF(L341="删除",0.2,"")))</f>
        <v/>
      </c>
      <c r="N341" s="18">
        <f>I341*K341*M341</f>
        <v/>
      </c>
    </row>
    <row r="342" ht="19" customHeight="1" s="1">
      <c r="B342" s="16" t="n">
        <v>337</v>
      </c>
      <c r="C342" s="16" t="inlineStr">
        <is>
          <t>边缘层数据采集及历史数据模块开发</t>
        </is>
      </c>
      <c r="D342" s="16" t="inlineStr">
        <is>
          <t>动态IP设备接入</t>
        </is>
      </c>
      <c r="E342" s="16" t="inlineStr">
        <is>
          <t>DMZ代理</t>
        </is>
      </c>
      <c r="F342" s="16" t="inlineStr">
        <is>
          <t>A0注册帧</t>
        </is>
      </c>
      <c r="G342" s="17" t="inlineStr">
        <is>
          <t xml:space="preserve"> 提供兼容A0注册帧协议格式的报文解析服务</t>
        </is>
      </c>
      <c r="H342" s="18" t="inlineStr">
        <is>
          <t>EQ</t>
        </is>
      </c>
      <c r="I342" s="18">
        <f>IF(H342="ILF",10,IF(H342="EIF",7,IF(H342="EI",4,IF(H342="EO",5,IF(H342="EQ",4,"")))))</f>
        <v/>
      </c>
      <c r="J342" s="18" t="inlineStr">
        <is>
          <t>低</t>
        </is>
      </c>
      <c r="K342" s="18">
        <f>IF(J342="高",0.33,IF(J342="中",0.67,IF(J342="低",1,"")))</f>
        <v/>
      </c>
      <c r="L342" s="18" t="inlineStr">
        <is>
          <t>新增</t>
        </is>
      </c>
      <c r="M342" s="18">
        <f>IF(L342="新增",1,IF(L342="修改",0.8,IF(L342="删除",0.2,"")))</f>
        <v/>
      </c>
      <c r="N342" s="18">
        <f>I342*K342*M342</f>
        <v/>
      </c>
    </row>
    <row r="343" ht="19" customHeight="1" s="1">
      <c r="B343" s="16" t="n">
        <v>338</v>
      </c>
      <c r="C343" s="16" t="inlineStr">
        <is>
          <t>边缘层数据采集及历史数据模块开发</t>
        </is>
      </c>
      <c r="D343" s="16" t="inlineStr">
        <is>
          <t>动态IP设备接入</t>
        </is>
      </c>
      <c r="E343" s="16" t="inlineStr">
        <is>
          <t>DMZ代理</t>
        </is>
      </c>
      <c r="F343" s="16" t="inlineStr">
        <is>
          <t>A81注册帧</t>
        </is>
      </c>
      <c r="G343" s="17" t="inlineStr">
        <is>
          <t xml:space="preserve"> 提供兼容A81注册帧协议格式的报文解析服务</t>
        </is>
      </c>
      <c r="H343" s="18" t="inlineStr">
        <is>
          <t>EQ</t>
        </is>
      </c>
      <c r="I343" s="18">
        <f>IF(H343="ILF",10,IF(H343="EIF",7,IF(H343="EI",4,IF(H343="EO",5,IF(H343="EQ",4,"")))))</f>
        <v/>
      </c>
      <c r="J343" s="18" t="inlineStr">
        <is>
          <t>中</t>
        </is>
      </c>
      <c r="K343" s="18">
        <f>IF(J343="高",0.33,IF(J343="中",0.67,IF(J343="低",1,"")))</f>
        <v/>
      </c>
      <c r="L343" s="18" t="inlineStr">
        <is>
          <t>新增</t>
        </is>
      </c>
      <c r="M343" s="18">
        <f>IF(L343="新增",1,IF(L343="修改",0.8,IF(L343="删除",0.2,"")))</f>
        <v/>
      </c>
      <c r="N343" s="18">
        <f>I343*K343*M343</f>
        <v/>
      </c>
    </row>
    <row r="344" ht="19" customHeight="1" s="1">
      <c r="B344" s="16" t="n">
        <v>339</v>
      </c>
      <c r="C344" s="16" t="inlineStr">
        <is>
          <t>边缘层数据采集及历史数据模块开发</t>
        </is>
      </c>
      <c r="D344" s="16" t="inlineStr">
        <is>
          <t>动态IP设备接入</t>
        </is>
      </c>
      <c r="E344" s="16" t="inlineStr">
        <is>
          <t>DMZ代理</t>
        </is>
      </c>
      <c r="F344" s="16" t="inlineStr">
        <is>
          <t>进程号会话</t>
        </is>
      </c>
      <c r="G344" s="17" t="inlineStr">
        <is>
          <t xml:space="preserve"> 提供基于进程号而非IP地址的稳定会话维持服务</t>
        </is>
      </c>
      <c r="H344" s="18" t="inlineStr">
        <is>
          <t>EQ</t>
        </is>
      </c>
      <c r="I344" s="18">
        <f>IF(H344="ILF",10,IF(H344="EIF",7,IF(H344="EI",4,IF(H344="EO",5,IF(H344="EQ",4,"")))))</f>
        <v/>
      </c>
      <c r="J344" s="18" t="inlineStr">
        <is>
          <t>中</t>
        </is>
      </c>
      <c r="K344" s="18">
        <f>IF(J344="高",0.33,IF(J344="中",0.67,IF(J344="低",1,"")))</f>
        <v/>
      </c>
      <c r="L344" s="18" t="inlineStr">
        <is>
          <t>新增</t>
        </is>
      </c>
      <c r="M344" s="18">
        <f>IF(L344="新增",1,IF(L344="修改",0.8,IF(L344="删除",0.2,"")))</f>
        <v/>
      </c>
      <c r="N344" s="18">
        <f>I344*K344*M344</f>
        <v/>
      </c>
    </row>
    <row r="345" ht="19" customHeight="1" s="1">
      <c r="B345" s="16" t="n">
        <v>340</v>
      </c>
      <c r="C345" s="16" t="inlineStr">
        <is>
          <t>边缘层数据采集及历史数据模块开发</t>
        </is>
      </c>
      <c r="D345" s="16" t="inlineStr">
        <is>
          <t>动态IP设备接入</t>
        </is>
      </c>
      <c r="E345" s="16" t="inlineStr">
        <is>
          <t>DMZ代理</t>
        </is>
      </c>
      <c r="F345" s="16" t="inlineStr">
        <is>
          <t>设备ID绑定</t>
        </is>
      </c>
      <c r="G345" s="17" t="inlineStr">
        <is>
          <t xml:space="preserve"> 提供设备ID与会话的绑定和映射关系管理服务</t>
        </is>
      </c>
      <c r="H345" s="18" t="inlineStr">
        <is>
          <t>EQ</t>
        </is>
      </c>
      <c r="I345" s="18">
        <f>IF(H345="ILF",10,IF(H345="EIF",7,IF(H345="EI",4,IF(H345="EO",5,IF(H345="EQ",4,"")))))</f>
        <v/>
      </c>
      <c r="J345" s="18" t="inlineStr">
        <is>
          <t>中</t>
        </is>
      </c>
      <c r="K345" s="18">
        <f>IF(J345="高",0.33,IF(J345="中",0.67,IF(J345="低",1,"")))</f>
        <v/>
      </c>
      <c r="L345" s="18" t="inlineStr">
        <is>
          <t>新增</t>
        </is>
      </c>
      <c r="M345" s="18">
        <f>IF(L345="新增",1,IF(L345="修改",0.8,IF(L345="删除",0.2,"")))</f>
        <v/>
      </c>
      <c r="N345" s="18">
        <f>I345*K345*M345</f>
        <v/>
      </c>
    </row>
    <row r="346" ht="19" customHeight="1" s="1">
      <c r="B346" s="16" t="n">
        <v>341</v>
      </c>
      <c r="C346" s="16" t="inlineStr">
        <is>
          <t>边缘层数据采集及历史数据模块开发</t>
        </is>
      </c>
      <c r="D346" s="16" t="inlineStr">
        <is>
          <t>动态IP设备接入</t>
        </is>
      </c>
      <c r="E346" s="16" t="inlineStr">
        <is>
          <t>DMZ代理</t>
        </is>
      </c>
      <c r="F346" s="16" t="inlineStr">
        <is>
          <t>时间戳同步</t>
        </is>
      </c>
      <c r="G346" s="17" t="inlineStr">
        <is>
          <t xml:space="preserve"> 提供代理与设备间时间戳交互和同步服务</t>
        </is>
      </c>
      <c r="H346" s="18" t="inlineStr">
        <is>
          <t>EQ</t>
        </is>
      </c>
      <c r="I346" s="18">
        <f>IF(H346="ILF",10,IF(H346="EIF",7,IF(H346="EI",4,IF(H346="EO",5,IF(H346="EQ",4,"")))))</f>
        <v/>
      </c>
      <c r="J346" s="18" t="inlineStr">
        <is>
          <t>中</t>
        </is>
      </c>
      <c r="K346" s="18">
        <f>IF(J346="高",0.33,IF(J346="中",0.67,IF(J346="低",1,"")))</f>
        <v/>
      </c>
      <c r="L346" s="18" t="inlineStr">
        <is>
          <t>新增</t>
        </is>
      </c>
      <c r="M346" s="18">
        <f>IF(L346="新增",1,IF(L346="修改",0.8,IF(L346="删除",0.2,"")))</f>
        <v/>
      </c>
      <c r="N346" s="18">
        <f>I346*K346*M346</f>
        <v/>
      </c>
    </row>
    <row r="347" ht="19" customHeight="1" s="1">
      <c r="B347" s="16" t="n">
        <v>342</v>
      </c>
      <c r="C347" s="16" t="inlineStr">
        <is>
          <t>边缘层数据采集及历史数据模块开发</t>
        </is>
      </c>
      <c r="D347" s="16" t="inlineStr">
        <is>
          <t>动态IP设备接入</t>
        </is>
      </c>
      <c r="E347" s="16" t="inlineStr">
        <is>
          <t>DMZ代理</t>
        </is>
      </c>
      <c r="F347" s="16" t="inlineStr">
        <is>
          <t>数据透传</t>
        </is>
      </c>
      <c r="G347" s="17" t="inlineStr">
        <is>
          <t xml:space="preserve"> 提供数据帧原样透传至A11 IO端口转发服务</t>
        </is>
      </c>
      <c r="H347" s="18" t="inlineStr">
        <is>
          <t>EQ</t>
        </is>
      </c>
      <c r="I347" s="18">
        <f>IF(H347="ILF",10,IF(H347="EIF",7,IF(H347="EI",4,IF(H347="EO",5,IF(H347="EQ",4,"")))))</f>
        <v/>
      </c>
      <c r="J347" s="18" t="inlineStr">
        <is>
          <t>中</t>
        </is>
      </c>
      <c r="K347" s="18">
        <f>IF(J347="高",0.33,IF(J347="中",0.67,IF(J347="低",1,"")))</f>
        <v/>
      </c>
      <c r="L347" s="18" t="inlineStr">
        <is>
          <t>新增</t>
        </is>
      </c>
      <c r="M347" s="18">
        <f>IF(L347="新增",1,IF(L347="修改",0.8,IF(L347="删除",0.2,"")))</f>
        <v/>
      </c>
      <c r="N347" s="18">
        <f>I347*K347*M347</f>
        <v/>
      </c>
    </row>
    <row r="348" ht="19" customHeight="1" s="1">
      <c r="B348" s="16" t="n">
        <v>343</v>
      </c>
      <c r="C348" s="16" t="inlineStr">
        <is>
          <t>边缘层数据采集及历史数据模块开发</t>
        </is>
      </c>
      <c r="D348" s="16" t="inlineStr">
        <is>
          <t>动态IP设备接入</t>
        </is>
      </c>
      <c r="E348" s="16" t="inlineStr">
        <is>
          <t>DMZ代理</t>
        </is>
      </c>
      <c r="F348" s="16" t="inlineStr">
        <is>
          <t>双客户端</t>
        </is>
      </c>
      <c r="G348" s="17" t="inlineStr">
        <is>
          <t xml:space="preserve"> 提供A11+代理双客户端数据管理服务</t>
        </is>
      </c>
      <c r="H348" s="18" t="inlineStr">
        <is>
          <t>EQ</t>
        </is>
      </c>
      <c r="I348" s="18">
        <f>IF(H348="ILF",10,IF(H348="EIF",7,IF(H348="EI",4,IF(H348="EO",5,IF(H348="EQ",4,"")))))</f>
        <v/>
      </c>
      <c r="J348" s="18" t="inlineStr">
        <is>
          <t>中</t>
        </is>
      </c>
      <c r="K348" s="18">
        <f>IF(J348="高",0.33,IF(J348="中",0.67,IF(J348="低",1,"")))</f>
        <v/>
      </c>
      <c r="L348" s="18" t="inlineStr">
        <is>
          <t>新增</t>
        </is>
      </c>
      <c r="M348" s="18">
        <f>IF(L348="新增",1,IF(L348="修改",0.8,IF(L348="删除",0.2,"")))</f>
        <v/>
      </c>
      <c r="N348" s="18">
        <f>I348*K348*M348</f>
        <v/>
      </c>
    </row>
    <row r="349" ht="19" customHeight="1" s="1">
      <c r="B349" s="16" t="n">
        <v>344</v>
      </c>
      <c r="C349" s="16" t="inlineStr">
        <is>
          <t>边缘层数据采集及历史数据模块开发</t>
        </is>
      </c>
      <c r="D349" s="16" t="inlineStr">
        <is>
          <t>动态IP设备接入</t>
        </is>
      </c>
      <c r="E349" s="16" t="inlineStr">
        <is>
          <t>DMZ代理</t>
        </is>
      </c>
      <c r="F349" s="16" t="inlineStr">
        <is>
          <t>串行队列</t>
        </is>
      </c>
      <c r="G349" s="17" t="inlineStr">
        <is>
          <t xml:space="preserve"> 提供请求按时间戳排序的串行化队列保障服务</t>
        </is>
      </c>
      <c r="H349" s="18" t="inlineStr">
        <is>
          <t>EQ</t>
        </is>
      </c>
      <c r="I349" s="18">
        <f>IF(H349="ILF",10,IF(H349="EIF",7,IF(H349="EI",4,IF(H349="EO",5,IF(H349="EQ",4,"")))))</f>
        <v/>
      </c>
      <c r="J349" s="18" t="inlineStr">
        <is>
          <t>中</t>
        </is>
      </c>
      <c r="K349" s="18">
        <f>IF(J349="高",0.33,IF(J349="中",0.67,IF(J349="低",1,"")))</f>
        <v/>
      </c>
      <c r="L349" s="18" t="inlineStr">
        <is>
          <t>新增</t>
        </is>
      </c>
      <c r="M349" s="18">
        <f>IF(L349="新增",1,IF(L349="修改",0.8,IF(L349="删除",0.2,"")))</f>
        <v/>
      </c>
      <c r="N349" s="18">
        <f>I349*K349*M349</f>
        <v/>
      </c>
    </row>
    <row r="350" ht="19" customHeight="1" s="1">
      <c r="B350" s="16" t="n">
        <v>345</v>
      </c>
      <c r="C350" s="16" t="inlineStr">
        <is>
          <t>边缘层数据采集及历史数据模块开发</t>
        </is>
      </c>
      <c r="D350" s="16" t="inlineStr">
        <is>
          <t>动态IP设备接入</t>
        </is>
      </c>
      <c r="E350" s="16" t="inlineStr">
        <is>
          <t>DMZ代理</t>
        </is>
      </c>
      <c r="F350" s="16" t="inlineStr">
        <is>
          <t>代理健康监控</t>
        </is>
      </c>
      <c r="G350" s="17" t="inlineStr">
        <is>
          <t xml:space="preserve"> 提供DMZ代理运行状态和健康度实时监控服务</t>
        </is>
      </c>
      <c r="H350" s="18" t="inlineStr">
        <is>
          <t>EQ</t>
        </is>
      </c>
      <c r="I350" s="18">
        <f>IF(H350="ILF",10,IF(H350="EIF",7,IF(H350="EI",4,IF(H350="EO",5,IF(H350="EQ",4,"")))))</f>
        <v/>
      </c>
      <c r="J350" s="18" t="inlineStr">
        <is>
          <t>中</t>
        </is>
      </c>
      <c r="K350" s="18">
        <f>IF(J350="高",0.33,IF(J350="中",0.67,IF(J350="低",1,"")))</f>
        <v/>
      </c>
      <c r="L350" s="18" t="inlineStr">
        <is>
          <t>新增</t>
        </is>
      </c>
      <c r="M350" s="18">
        <f>IF(L350="新增",1,IF(L350="修改",0.8,IF(L350="删除",0.2,"")))</f>
        <v/>
      </c>
      <c r="N350" s="18">
        <f>I350*K350*M350</f>
        <v/>
      </c>
    </row>
    <row r="351" ht="19" customHeight="1" s="1">
      <c r="B351" s="16" t="n">
        <v>346</v>
      </c>
      <c r="C351" s="16" t="inlineStr">
        <is>
          <t>边缘层数据采集及历史数据模块开发</t>
        </is>
      </c>
      <c r="D351" s="16" t="inlineStr">
        <is>
          <t>动态IP设备接入</t>
        </is>
      </c>
      <c r="E351" s="16" t="inlineStr">
        <is>
          <t>DMZ代理</t>
        </is>
      </c>
      <c r="F351" s="16" t="inlineStr">
        <is>
          <t>代理负载</t>
        </is>
      </c>
      <c r="G351" s="17" t="inlineStr">
        <is>
          <t xml:space="preserve"> 提供代理服务并发连接数和资源使用率监控</t>
        </is>
      </c>
      <c r="H351" s="18" t="inlineStr">
        <is>
          <t>EQ</t>
        </is>
      </c>
      <c r="I351" s="18">
        <f>IF(H351="ILF",10,IF(H351="EIF",7,IF(H351="EI",4,IF(H351="EO",5,IF(H351="EQ",4,"")))))</f>
        <v/>
      </c>
      <c r="J351" s="18" t="inlineStr">
        <is>
          <t>中</t>
        </is>
      </c>
      <c r="K351" s="18">
        <f>IF(J351="高",0.33,IF(J351="中",0.67,IF(J351="低",1,"")))</f>
        <v/>
      </c>
      <c r="L351" s="18" t="inlineStr">
        <is>
          <t>新增</t>
        </is>
      </c>
      <c r="M351" s="18">
        <f>IF(L351="新增",1,IF(L351="修改",0.8,IF(L351="删除",0.2,"")))</f>
        <v/>
      </c>
      <c r="N351" s="18">
        <f>I351*K351*M351</f>
        <v/>
      </c>
    </row>
    <row r="352" ht="19" customHeight="1" s="1">
      <c r="B352" s="16" t="n">
        <v>347</v>
      </c>
      <c r="C352" s="16" t="inlineStr">
        <is>
          <t>边缘层数据采集及历史数据模块开发</t>
        </is>
      </c>
      <c r="D352" s="16" t="inlineStr">
        <is>
          <t>动态IP设备接入</t>
        </is>
      </c>
      <c r="E352" s="16" t="inlineStr">
        <is>
          <t>DMZ代理</t>
        </is>
      </c>
      <c r="F352" s="16" t="inlineStr">
        <is>
          <t>代理日志</t>
        </is>
      </c>
      <c r="G352" s="17" t="inlineStr">
        <is>
          <t xml:space="preserve"> 提供代理服务操作日志和异常日志记录服务</t>
        </is>
      </c>
      <c r="H352" s="18" t="inlineStr">
        <is>
          <t>EQ</t>
        </is>
      </c>
      <c r="I352" s="18">
        <f>IF(H352="ILF",10,IF(H352="EIF",7,IF(H352="EI",4,IF(H352="EO",5,IF(H352="EQ",4,"")))))</f>
        <v/>
      </c>
      <c r="J352" s="18" t="inlineStr">
        <is>
          <t>中</t>
        </is>
      </c>
      <c r="K352" s="18">
        <f>IF(J352="高",0.33,IF(J352="中",0.67,IF(J352="低",1,"")))</f>
        <v/>
      </c>
      <c r="L352" s="18" t="inlineStr">
        <is>
          <t>新增</t>
        </is>
      </c>
      <c r="M352" s="18">
        <f>IF(L352="新增",1,IF(L352="修改",0.8,IF(L352="删除",0.2,"")))</f>
        <v/>
      </c>
      <c r="N352" s="18">
        <f>I352*K352*M352</f>
        <v/>
      </c>
    </row>
    <row r="353" ht="19" customHeight="1" s="1">
      <c r="B353" s="16" t="n">
        <v>348</v>
      </c>
      <c r="C353" s="16" t="inlineStr">
        <is>
          <t>边缘层数据采集及历史数据模块开发</t>
        </is>
      </c>
      <c r="D353" s="16" t="inlineStr">
        <is>
          <t>动态IP设备接入</t>
        </is>
      </c>
      <c r="E353" s="16" t="inlineStr">
        <is>
          <t>DMZ代理</t>
        </is>
      </c>
      <c r="F353" s="16" t="inlineStr">
        <is>
          <t>代理扩展</t>
        </is>
      </c>
      <c r="G353" s="17" t="inlineStr">
        <is>
          <t xml:space="preserve"> 提供代理服务按负载自动扩展的技术服务</t>
        </is>
      </c>
      <c r="H353" s="18" t="inlineStr">
        <is>
          <t>EQ</t>
        </is>
      </c>
      <c r="I353" s="18">
        <f>IF(H353="ILF",10,IF(H353="EIF",7,IF(H353="EI",4,IF(H353="EO",5,IF(H353="EQ",4,"")))))</f>
        <v/>
      </c>
      <c r="J353" s="18" t="inlineStr">
        <is>
          <t>中</t>
        </is>
      </c>
      <c r="K353" s="18">
        <f>IF(J353="高",0.33,IF(J353="中",0.67,IF(J353="低",1,"")))</f>
        <v/>
      </c>
      <c r="L353" s="18" t="inlineStr">
        <is>
          <t>新增</t>
        </is>
      </c>
      <c r="M353" s="18">
        <f>IF(L353="新增",1,IF(L353="修改",0.8,IF(L353="删除",0.2,"")))</f>
        <v/>
      </c>
      <c r="N353" s="18">
        <f>I353*K353*M353</f>
        <v/>
      </c>
    </row>
    <row r="354" ht="19" customHeight="1" s="1">
      <c r="B354" s="16" t="n">
        <v>349</v>
      </c>
      <c r="C354" s="16" t="inlineStr">
        <is>
          <t>边缘层数据采集及历史数据模块开发</t>
        </is>
      </c>
      <c r="D354" s="16" t="inlineStr">
        <is>
          <t>动态IP设备接入</t>
        </is>
      </c>
      <c r="E354" s="16" t="inlineStr">
        <is>
          <t>DMZ代理</t>
        </is>
      </c>
      <c r="F354" s="16" t="inlineStr">
        <is>
          <t>代理切换</t>
        </is>
      </c>
      <c r="G354" s="17" t="inlineStr">
        <is>
          <t xml:space="preserve"> 提供代理服务主备自动故障切换服务</t>
        </is>
      </c>
      <c r="H354" s="18" t="inlineStr">
        <is>
          <t>EQ</t>
        </is>
      </c>
      <c r="I354" s="18">
        <f>IF(H354="ILF",10,IF(H354="EIF",7,IF(H354="EI",4,IF(H354="EO",5,IF(H354="EQ",4,"")))))</f>
        <v/>
      </c>
      <c r="J354" s="18" t="inlineStr">
        <is>
          <t>中</t>
        </is>
      </c>
      <c r="K354" s="18">
        <f>IF(J354="高",0.33,IF(J354="中",0.67,IF(J354="低",1,"")))</f>
        <v/>
      </c>
      <c r="L354" s="18" t="inlineStr">
        <is>
          <t>新增</t>
        </is>
      </c>
      <c r="M354" s="18">
        <f>IF(L354="新增",1,IF(L354="修改",0.8,IF(L354="删除",0.2,"")))</f>
        <v/>
      </c>
      <c r="N354" s="18">
        <f>I354*K354*M354</f>
        <v/>
      </c>
    </row>
    <row r="355" ht="19" customHeight="1" s="1">
      <c r="B355" s="16" t="n">
        <v>350</v>
      </c>
      <c r="C355" s="16" t="inlineStr">
        <is>
          <t>边缘层数据采集及历史数据模块开发</t>
        </is>
      </c>
      <c r="D355" s="16" t="inlineStr">
        <is>
          <t>固定IP设备接入</t>
        </is>
      </c>
      <c r="E355" s="16" t="inlineStr">
        <is>
          <t>主动扫描</t>
        </is>
      </c>
      <c r="F355" s="16" t="inlineStr">
        <is>
          <t>Modbus扫描</t>
        </is>
      </c>
      <c r="G355" s="17" t="inlineStr">
        <is>
          <t xml:space="preserve"> 提供Modbus TCP扫描1-247地址范围从机设备服务</t>
        </is>
      </c>
      <c r="H355" s="18" t="inlineStr">
        <is>
          <t>EQ</t>
        </is>
      </c>
      <c r="I355" s="18">
        <f>IF(H355="ILF",10,IF(H355="EIF",7,IF(H355="EI",4,IF(H355="EO",5,IF(H355="EQ",4,"")))))</f>
        <v/>
      </c>
      <c r="J355" s="18" t="inlineStr">
        <is>
          <t>中</t>
        </is>
      </c>
      <c r="K355" s="18">
        <f>IF(J355="高",0.33,IF(J355="中",0.67,IF(J355="低",1,"")))</f>
        <v/>
      </c>
      <c r="L355" s="18" t="inlineStr">
        <is>
          <t>新增</t>
        </is>
      </c>
      <c r="M355" s="18">
        <f>IF(L355="新增",1,IF(L355="修改",0.8,IF(L355="删除",0.2,"")))</f>
        <v/>
      </c>
      <c r="N355" s="18">
        <f>I355*K355*M355</f>
        <v/>
      </c>
    </row>
    <row r="356" ht="19" customHeight="1" s="1">
      <c r="B356" s="16" t="n">
        <v>351</v>
      </c>
      <c r="C356" s="16" t="inlineStr">
        <is>
          <t>边缘层数据采集及历史数据模块开发</t>
        </is>
      </c>
      <c r="D356" s="16" t="inlineStr">
        <is>
          <t>固定IP设备接入</t>
        </is>
      </c>
      <c r="E356" s="16" t="inlineStr">
        <is>
          <t>主动扫描</t>
        </is>
      </c>
      <c r="F356" s="16" t="inlineStr">
        <is>
          <t>设备发现</t>
        </is>
      </c>
      <c r="G356" s="17" t="inlineStr">
        <is>
          <t xml:space="preserve"> 提供自动发现在线RTU设备并获取设备信息服务</t>
        </is>
      </c>
      <c r="H356" s="18" t="inlineStr">
        <is>
          <t>EQ</t>
        </is>
      </c>
      <c r="I356" s="18">
        <f>IF(H356="ILF",10,IF(H356="EIF",7,IF(H356="EI",4,IF(H356="EO",5,IF(H356="EQ",4,"")))))</f>
        <v/>
      </c>
      <c r="J356" s="18" t="inlineStr">
        <is>
          <t>高</t>
        </is>
      </c>
      <c r="K356" s="18">
        <f>IF(J356="高",0.33,IF(J356="中",0.67,IF(J356="低",1,"")))</f>
        <v/>
      </c>
      <c r="L356" s="18" t="inlineStr">
        <is>
          <t>新增</t>
        </is>
      </c>
      <c r="M356" s="18">
        <f>IF(L356="新增",1,IF(L356="修改",0.8,IF(L356="删除",0.2,"")))</f>
        <v/>
      </c>
      <c r="N356" s="18">
        <f>I356*K356*M356</f>
        <v/>
      </c>
    </row>
    <row r="357" ht="19" customHeight="1" s="1">
      <c r="B357" s="16" t="n">
        <v>352</v>
      </c>
      <c r="C357" s="16" t="inlineStr">
        <is>
          <t>边缘层数据采集及历史数据模块开发</t>
        </is>
      </c>
      <c r="D357" s="16" t="inlineStr">
        <is>
          <t>固定IP设备接入</t>
        </is>
      </c>
      <c r="E357" s="16" t="inlineStr">
        <is>
          <t>主动扫描</t>
        </is>
      </c>
      <c r="F357" s="16" t="inlineStr">
        <is>
          <t>报文解析</t>
        </is>
      </c>
      <c r="G357" s="17" t="inlineStr">
        <is>
          <t xml:space="preserve"> 提供解析注册报文获取设备ID/IP/端口/从机地址服务</t>
        </is>
      </c>
      <c r="H357" s="18" t="inlineStr">
        <is>
          <t>EQ</t>
        </is>
      </c>
      <c r="I357" s="18">
        <f>IF(H357="ILF",10,IF(H357="EIF",7,IF(H357="EI",4,IF(H357="EO",5,IF(H357="EQ",4,"")))))</f>
        <v/>
      </c>
      <c r="J357" s="18" t="inlineStr">
        <is>
          <t>高</t>
        </is>
      </c>
      <c r="K357" s="18">
        <f>IF(J357="高",0.33,IF(J357="中",0.67,IF(J357="低",1,"")))</f>
        <v/>
      </c>
      <c r="L357" s="18" t="inlineStr">
        <is>
          <t>新增</t>
        </is>
      </c>
      <c r="M357" s="18">
        <f>IF(L357="新增",1,IF(L357="修改",0.8,IF(L357="删除",0.2,"")))</f>
        <v/>
      </c>
      <c r="N357" s="18">
        <f>I357*K357*M357</f>
        <v/>
      </c>
    </row>
    <row r="358" ht="19" customHeight="1" s="1">
      <c r="B358" s="16" t="n">
        <v>353</v>
      </c>
      <c r="C358" s="16" t="inlineStr">
        <is>
          <t>边缘层数据采集及历史数据模块开发</t>
        </is>
      </c>
      <c r="D358" s="16" t="inlineStr">
        <is>
          <t>固定IP设备接入</t>
        </is>
      </c>
      <c r="E358" s="16" t="inlineStr">
        <is>
          <t>主动扫描</t>
        </is>
      </c>
      <c r="F358" s="16" t="inlineStr">
        <is>
          <t>连接维护</t>
        </is>
      </c>
      <c r="G358" s="17" t="inlineStr">
        <is>
          <t xml:space="preserve"> 提供设备连接稳定状态维护服务</t>
        </is>
      </c>
      <c r="H358" s="18" t="inlineStr">
        <is>
          <t>EQ</t>
        </is>
      </c>
      <c r="I358" s="18">
        <f>IF(H358="ILF",10,IF(H358="EIF",7,IF(H358="EI",4,IF(H358="EO",5,IF(H358="EQ",4,"")))))</f>
        <v/>
      </c>
      <c r="J358" s="18" t="inlineStr">
        <is>
          <t>高</t>
        </is>
      </c>
      <c r="K358" s="18">
        <f>IF(J358="高",0.33,IF(J358="中",0.67,IF(J358="低",1,"")))</f>
        <v/>
      </c>
      <c r="L358" s="18" t="inlineStr">
        <is>
          <t>新增</t>
        </is>
      </c>
      <c r="M358" s="18">
        <f>IF(L358="新增",1,IF(L358="修改",0.8,IF(L358="删除",0.2,"")))</f>
        <v/>
      </c>
      <c r="N358" s="18">
        <f>I358*K358*M358</f>
        <v/>
      </c>
    </row>
    <row r="359" ht="19" customHeight="1" s="1">
      <c r="B359" s="16" t="n">
        <v>354</v>
      </c>
      <c r="C359" s="16" t="inlineStr">
        <is>
          <t>边缘层数据采集及历史数据模块开发</t>
        </is>
      </c>
      <c r="D359" s="16" t="inlineStr">
        <is>
          <t>固定IP设备接入</t>
        </is>
      </c>
      <c r="E359" s="16" t="inlineStr">
        <is>
          <t>主动扫描</t>
        </is>
      </c>
      <c r="F359" s="16" t="inlineStr">
        <is>
          <t>自动重连</t>
        </is>
      </c>
      <c r="G359" s="17" t="inlineStr">
        <is>
          <t xml:space="preserve"> 提供设备断开后自动重新连接服务</t>
        </is>
      </c>
      <c r="H359" s="18" t="inlineStr">
        <is>
          <t>EQ</t>
        </is>
      </c>
      <c r="I359" s="18">
        <f>IF(H359="ILF",10,IF(H359="EIF",7,IF(H359="EI",4,IF(H359="EO",5,IF(H359="EQ",4,"")))))</f>
        <v/>
      </c>
      <c r="J359" s="18" t="inlineStr">
        <is>
          <t>高</t>
        </is>
      </c>
      <c r="K359" s="18">
        <f>IF(J359="高",0.33,IF(J359="中",0.67,IF(J359="低",1,"")))</f>
        <v/>
      </c>
      <c r="L359" s="18" t="inlineStr">
        <is>
          <t>新增</t>
        </is>
      </c>
      <c r="M359" s="18">
        <f>IF(L359="新增",1,IF(L359="修改",0.8,IF(L359="删除",0.2,"")))</f>
        <v/>
      </c>
      <c r="N359" s="18">
        <f>I359*K359*M359</f>
        <v/>
      </c>
    </row>
    <row r="360" ht="19" customHeight="1" s="1">
      <c r="B360" s="16" t="n">
        <v>355</v>
      </c>
      <c r="C360" s="16" t="inlineStr">
        <is>
          <t>定制化流式计算及IO计算及物模型配置</t>
        </is>
      </c>
      <c r="D360" s="16" t="inlineStr">
        <is>
          <t>边缘平台联动</t>
        </is>
      </c>
      <c r="E360" s="16" t="inlineStr">
        <is>
          <t>边缘判定</t>
        </is>
      </c>
      <c r="F360" s="16" t="inlineStr">
        <is>
          <t>结构化上报</t>
        </is>
      </c>
      <c r="G360" s="17" t="inlineStr">
        <is>
          <t xml:space="preserve"> 提供边缘仅上报标准化告警码/时间/设备事件服务</t>
        </is>
      </c>
      <c r="H360" s="18" t="inlineStr">
        <is>
          <t>ILF</t>
        </is>
      </c>
      <c r="I360" s="18">
        <f>IF(H360="ILF",10,IF(H360="EIF",7,IF(H360="EI",4,IF(H360="EO",5,IF(H360="EQ",4,"")))))</f>
        <v/>
      </c>
      <c r="J360" s="18" t="inlineStr">
        <is>
          <t>低</t>
        </is>
      </c>
      <c r="K360" s="18">
        <f>IF(J360="高",0.33,IF(J360="中",0.67,IF(J360="低",1,"")))</f>
        <v/>
      </c>
      <c r="L360" s="18" t="inlineStr">
        <is>
          <t>新增</t>
        </is>
      </c>
      <c r="M360" s="18">
        <f>IF(L360="新增",1,IF(L360="修改",0.8,IF(L360="删除",0.2,"")))</f>
        <v/>
      </c>
      <c r="N360" s="18">
        <f>I360*K360*M360</f>
        <v/>
      </c>
    </row>
    <row r="361" ht="19" customHeight="1" s="1">
      <c r="B361" s="16" t="n">
        <v>356</v>
      </c>
      <c r="C361" s="16" t="inlineStr">
        <is>
          <t>定制化流式计算及IO计算及物模型配置</t>
        </is>
      </c>
      <c r="D361" s="16" t="inlineStr">
        <is>
          <t>边缘平台联动</t>
        </is>
      </c>
      <c r="E361" s="16" t="inlineStr">
        <is>
          <t>边缘判定</t>
        </is>
      </c>
      <c r="F361" s="16" t="inlineStr">
        <is>
          <t>断网缓存</t>
        </is>
      </c>
      <c r="G361" s="17" t="inlineStr">
        <is>
          <t xml:space="preserve"> 提供边缘断网时告警数据缓存≥100万条服务</t>
        </is>
      </c>
      <c r="H361" s="18" t="inlineStr">
        <is>
          <t>ILF</t>
        </is>
      </c>
      <c r="I361" s="18">
        <f>IF(H361="ILF",10,IF(H361="EIF",7,IF(H361="EI",4,IF(H361="EO",5,IF(H361="EQ",4,"")))))</f>
        <v/>
      </c>
      <c r="J361" s="18" t="inlineStr">
        <is>
          <t>低</t>
        </is>
      </c>
      <c r="K361" s="18">
        <f>IF(J361="高",0.33,IF(J361="中",0.67,IF(J361="低",1,"")))</f>
        <v/>
      </c>
      <c r="L361" s="18" t="inlineStr">
        <is>
          <t>新增</t>
        </is>
      </c>
      <c r="M361" s="18">
        <f>IF(L361="新增",1,IF(L361="修改",0.8,IF(L361="删除",0.2,"")))</f>
        <v/>
      </c>
      <c r="N361" s="18">
        <f>I361*K361*M361</f>
        <v/>
      </c>
    </row>
    <row r="362" ht="19" customHeight="1" s="1">
      <c r="B362" s="16" t="n">
        <v>357</v>
      </c>
      <c r="C362" s="16" t="inlineStr">
        <is>
          <t>定制化流式计算及IO计算及物模型配置</t>
        </is>
      </c>
      <c r="D362" s="16" t="inlineStr">
        <is>
          <t>边缘平台联动</t>
        </is>
      </c>
      <c r="E362" s="16" t="inlineStr">
        <is>
          <t>边缘判定</t>
        </is>
      </c>
      <c r="F362" s="16" t="inlineStr">
        <is>
          <t>缓存补传</t>
        </is>
      </c>
      <c r="G362" s="17" t="inlineStr">
        <is>
          <t xml:space="preserve"> 提供网络恢复后缓存告警数据按序补传服务</t>
        </is>
      </c>
      <c r="H362" s="18" t="inlineStr">
        <is>
          <t>ILF</t>
        </is>
      </c>
      <c r="I362" s="18">
        <f>IF(H362="ILF",10,IF(H362="EIF",7,IF(H362="EI",4,IF(H362="EO",5,IF(H362="EQ",4,"")))))</f>
        <v/>
      </c>
      <c r="J362" s="18" t="inlineStr">
        <is>
          <t>低</t>
        </is>
      </c>
      <c r="K362" s="18">
        <f>IF(J362="高",0.33,IF(J362="中",0.67,IF(J362="低",1,"")))</f>
        <v/>
      </c>
      <c r="L362" s="18" t="inlineStr">
        <is>
          <t>新增</t>
        </is>
      </c>
      <c r="M362" s="18">
        <f>IF(L362="新增",1,IF(L362="修改",0.8,IF(L362="删除",0.2,"")))</f>
        <v/>
      </c>
      <c r="N362" s="18">
        <f>I362*K362*M362</f>
        <v/>
      </c>
    </row>
    <row r="363" ht="19" customHeight="1" s="1">
      <c r="B363" s="16" t="n">
        <v>358</v>
      </c>
      <c r="C363" s="16" t="inlineStr">
        <is>
          <t>定制化流式计算及IO计算及物模型配置</t>
        </is>
      </c>
      <c r="D363" s="16" t="inlineStr">
        <is>
          <t>边缘平台联动</t>
        </is>
      </c>
      <c r="E363" s="16" t="inlineStr">
        <is>
          <t>边缘判定</t>
        </is>
      </c>
      <c r="F363" s="16" t="inlineStr">
        <is>
          <t>自治运行</t>
        </is>
      </c>
      <c r="G363" s="17" t="inlineStr">
        <is>
          <t xml:space="preserve"> 提供断网时边缘独立完成告警判定服务</t>
        </is>
      </c>
      <c r="H363" s="18" t="inlineStr">
        <is>
          <t>ILF</t>
        </is>
      </c>
      <c r="I363" s="18">
        <f>IF(H363="ILF",10,IF(H363="EIF",7,IF(H363="EI",4,IF(H363="EO",5,IF(H363="EQ",4,"")))))</f>
        <v/>
      </c>
      <c r="J363" s="18" t="inlineStr">
        <is>
          <t>低</t>
        </is>
      </c>
      <c r="K363" s="18">
        <f>IF(J363="高",0.33,IF(J363="中",0.67,IF(J363="低",1,"")))</f>
        <v/>
      </c>
      <c r="L363" s="18" t="inlineStr">
        <is>
          <t>新增</t>
        </is>
      </c>
      <c r="M363" s="18">
        <f>IF(L363="新增",1,IF(L363="修改",0.8,IF(L363="删除",0.2,"")))</f>
        <v/>
      </c>
      <c r="N363" s="18">
        <f>I363*K363*M363</f>
        <v/>
      </c>
    </row>
    <row r="364" ht="19" customHeight="1" s="1">
      <c r="B364" s="16" t="n">
        <v>359</v>
      </c>
      <c r="C364" s="16" t="inlineStr">
        <is>
          <t>定制化流式计算及IO计算及物模型配置</t>
        </is>
      </c>
      <c r="D364" s="16" t="inlineStr">
        <is>
          <t>边缘平台联动</t>
        </is>
      </c>
      <c r="E364" s="16" t="inlineStr">
        <is>
          <t>边缘判定</t>
        </is>
      </c>
      <c r="F364" s="16" t="inlineStr">
        <is>
          <t>状态心跳</t>
        </is>
      </c>
      <c r="G364" s="17" t="inlineStr">
        <is>
          <t xml:space="preserve"> 提供边缘网关状态心跳上报服务</t>
        </is>
      </c>
      <c r="H364" s="18" t="inlineStr">
        <is>
          <t>ILF</t>
        </is>
      </c>
      <c r="I364" s="18">
        <f>IF(H364="ILF",10,IF(H364="EIF",7,IF(H364="EI",4,IF(H364="EO",5,IF(H364="EQ",4,"")))))</f>
        <v/>
      </c>
      <c r="J364" s="18" t="inlineStr">
        <is>
          <t>低</t>
        </is>
      </c>
      <c r="K364" s="18">
        <f>IF(J364="高",0.33,IF(J364="中",0.67,IF(J364="低",1,"")))</f>
        <v/>
      </c>
      <c r="L364" s="18" t="inlineStr">
        <is>
          <t>新增</t>
        </is>
      </c>
      <c r="M364" s="18">
        <f>IF(L364="新增",1,IF(L364="修改",0.8,IF(L364="删除",0.2,"")))</f>
        <v/>
      </c>
      <c r="N364" s="18">
        <f>I364*K364*M364</f>
        <v/>
      </c>
    </row>
    <row r="365" ht="19" customHeight="1" s="1">
      <c r="B365" s="16" t="n">
        <v>360</v>
      </c>
      <c r="C365" s="16" t="inlineStr">
        <is>
          <t>定制化流式计算及IO计算及物模型配置</t>
        </is>
      </c>
      <c r="D365" s="16" t="inlineStr">
        <is>
          <t>边缘平台联动</t>
        </is>
      </c>
      <c r="E365" s="16" t="inlineStr">
        <is>
          <t>边缘判定</t>
        </is>
      </c>
      <c r="F365" s="16" t="inlineStr">
        <is>
          <t>版本同步</t>
        </is>
      </c>
      <c r="G365" s="17" t="inlineStr">
        <is>
          <t xml:space="preserve"> 提供边缘网关规则版本同步服务</t>
        </is>
      </c>
      <c r="H365" s="18" t="inlineStr">
        <is>
          <t>ILF</t>
        </is>
      </c>
      <c r="I365" s="18">
        <f>IF(H365="ILF",10,IF(H365="EIF",7,IF(H365="EI",4,IF(H365="EO",5,IF(H365="EQ",4,"")))))</f>
        <v/>
      </c>
      <c r="J365" s="18" t="inlineStr">
        <is>
          <t>低</t>
        </is>
      </c>
      <c r="K365" s="18">
        <f>IF(J365="高",0.33,IF(J365="中",0.67,IF(J365="低",1,"")))</f>
        <v/>
      </c>
      <c r="L365" s="18" t="inlineStr">
        <is>
          <t>新增</t>
        </is>
      </c>
      <c r="M365" s="18">
        <f>IF(L365="新增",1,IF(L365="修改",0.8,IF(L365="删除",0.2,"")))</f>
        <v/>
      </c>
      <c r="N365" s="18">
        <f>I365*K365*M365</f>
        <v/>
      </c>
    </row>
    <row r="366" ht="19" customHeight="1" s="1">
      <c r="B366" s="16" t="n">
        <v>361</v>
      </c>
      <c r="C366" s="16" t="inlineStr">
        <is>
          <t>定制化流式计算及IO计算及物模型配置</t>
        </is>
      </c>
      <c r="D366" s="16" t="inlineStr">
        <is>
          <t>边缘平台联动</t>
        </is>
      </c>
      <c r="E366" s="16" t="inlineStr">
        <is>
          <t>边缘判定</t>
        </is>
      </c>
      <c r="F366" s="16" t="inlineStr">
        <is>
          <t>配置同步</t>
        </is>
      </c>
      <c r="G366" s="17" t="inlineStr">
        <is>
          <t xml:space="preserve"> 提供边缘网关配置参数同步服务</t>
        </is>
      </c>
      <c r="H366" s="18" t="inlineStr">
        <is>
          <t>ILF</t>
        </is>
      </c>
      <c r="I366" s="18">
        <f>IF(H366="ILF",10,IF(H366="EIF",7,IF(H366="EI",4,IF(H366="EO",5,IF(H366="EQ",4,"")))))</f>
        <v/>
      </c>
      <c r="J366" s="18" t="inlineStr">
        <is>
          <t>低</t>
        </is>
      </c>
      <c r="K366" s="18">
        <f>IF(J366="高",0.33,IF(J366="中",0.67,IF(J366="低",1,"")))</f>
        <v/>
      </c>
      <c r="L366" s="18" t="inlineStr">
        <is>
          <t>新增</t>
        </is>
      </c>
      <c r="M366" s="18">
        <f>IF(L366="新增",1,IF(L366="修改",0.8,IF(L366="删除",0.2,"")))</f>
        <v/>
      </c>
      <c r="N366" s="18">
        <f>I366*K366*M366</f>
        <v/>
      </c>
    </row>
    <row r="367" ht="19" customHeight="1" s="1">
      <c r="B367" s="16" t="n">
        <v>362</v>
      </c>
      <c r="C367" s="16" t="inlineStr">
        <is>
          <t>定制化流式计算及IO计算及物模型配置</t>
        </is>
      </c>
      <c r="D367" s="16" t="inlineStr">
        <is>
          <t>边缘平台联动</t>
        </is>
      </c>
      <c r="E367" s="16" t="inlineStr">
        <is>
          <t>告警归并</t>
        </is>
      </c>
      <c r="F367" s="16" t="inlineStr">
        <is>
          <t>重复归并</t>
        </is>
      </c>
      <c r="G367" s="17" t="inlineStr">
        <is>
          <t xml:space="preserve"> 提供同一设备同一告警1小时内归并为一条服务</t>
        </is>
      </c>
      <c r="H367" s="18" t="inlineStr">
        <is>
          <t>ILF</t>
        </is>
      </c>
      <c r="I367" s="18">
        <f>IF(H367="ILF",10,IF(H367="EIF",7,IF(H367="EI",4,IF(H367="EO",5,IF(H367="EQ",4,"")))))</f>
        <v/>
      </c>
      <c r="J367" s="18" t="inlineStr">
        <is>
          <t>低</t>
        </is>
      </c>
      <c r="K367" s="18">
        <f>IF(J367="高",0.33,IF(J367="中",0.67,IF(J367="低",1,"")))</f>
        <v/>
      </c>
      <c r="L367" s="18" t="inlineStr">
        <is>
          <t>新增</t>
        </is>
      </c>
      <c r="M367" s="18">
        <f>IF(L367="新增",1,IF(L367="修改",0.8,IF(L367="删除",0.2,"")))</f>
        <v/>
      </c>
      <c r="N367" s="18">
        <f>I367*K367*M367</f>
        <v/>
      </c>
    </row>
    <row r="368" ht="19" customHeight="1" s="1">
      <c r="B368" s="16" t="n">
        <v>363</v>
      </c>
      <c r="C368" s="16" t="inlineStr">
        <is>
          <t>定制化流式计算及IO计算及物模型配置</t>
        </is>
      </c>
      <c r="D368" s="16" t="inlineStr">
        <is>
          <t>规则配置服务</t>
        </is>
      </c>
      <c r="E368" s="16" t="inlineStr">
        <is>
          <t>可视化编排</t>
        </is>
      </c>
      <c r="F368" s="16" t="inlineStr">
        <is>
          <t>导入导出</t>
        </is>
      </c>
      <c r="G368" s="17" t="inlineStr">
        <is>
          <t xml:space="preserve"> 提供规则配置JSON批量导入导出服务</t>
        </is>
      </c>
      <c r="H368" s="18" t="inlineStr">
        <is>
          <t>ILF</t>
        </is>
      </c>
      <c r="I368" s="18">
        <f>IF(H368="ILF",10,IF(H368="EIF",7,IF(H368="EI",4,IF(H368="EO",5,IF(H368="EQ",4,"")))))</f>
        <v/>
      </c>
      <c r="J368" s="18" t="inlineStr">
        <is>
          <t>低</t>
        </is>
      </c>
      <c r="K368" s="18">
        <f>IF(J368="高",0.33,IF(J368="中",0.67,IF(J368="低",1,"")))</f>
        <v/>
      </c>
      <c r="L368" s="18" t="inlineStr">
        <is>
          <t>新增</t>
        </is>
      </c>
      <c r="M368" s="18">
        <f>IF(L368="新增",1,IF(L368="修改",0.8,IF(L368="删除",0.2,"")))</f>
        <v/>
      </c>
      <c r="N368" s="18">
        <f>I368*K368*M368</f>
        <v/>
      </c>
    </row>
    <row r="369" ht="19" customHeight="1" s="1">
      <c r="B369" s="16" t="n">
        <v>364</v>
      </c>
      <c r="C369" s="16" t="inlineStr">
        <is>
          <t>定制化流式计算及IO计算及物模型配置</t>
        </is>
      </c>
      <c r="D369" s="16" t="inlineStr">
        <is>
          <t>规则配置服务</t>
        </is>
      </c>
      <c r="E369" s="16" t="inlineStr">
        <is>
          <t>可视化编排</t>
        </is>
      </c>
      <c r="F369" s="16" t="inlineStr">
        <is>
          <t>批量部署</t>
        </is>
      </c>
      <c r="G369" s="17" t="inlineStr">
        <is>
          <t xml:space="preserve"> 提供规则批量发布到多设备组服务</t>
        </is>
      </c>
      <c r="H369" s="18" t="inlineStr">
        <is>
          <t>ILF</t>
        </is>
      </c>
      <c r="I369" s="18">
        <f>IF(H369="ILF",10,IF(H369="EIF",7,IF(H369="EI",4,IF(H369="EO",5,IF(H369="EQ",4,"")))))</f>
        <v/>
      </c>
      <c r="J369" s="18" t="inlineStr">
        <is>
          <t>低</t>
        </is>
      </c>
      <c r="K369" s="18">
        <f>IF(J369="高",0.33,IF(J369="中",0.67,IF(J369="低",1,"")))</f>
        <v/>
      </c>
      <c r="L369" s="18" t="inlineStr">
        <is>
          <t>新增</t>
        </is>
      </c>
      <c r="M369" s="18">
        <f>IF(L369="新增",1,IF(L369="修改",0.8,IF(L369="删除",0.2,"")))</f>
        <v/>
      </c>
      <c r="N369" s="18">
        <f>I369*K369*M369</f>
        <v/>
      </c>
    </row>
    <row r="370" ht="19" customHeight="1" s="1">
      <c r="B370" s="16" t="n">
        <v>365</v>
      </c>
      <c r="C370" s="16" t="inlineStr">
        <is>
          <t>定制化流式计算及IO计算及物模型配置</t>
        </is>
      </c>
      <c r="D370" s="16" t="inlineStr">
        <is>
          <t>规则配置服务</t>
        </is>
      </c>
      <c r="E370" s="16" t="inlineStr">
        <is>
          <t>可视化编排</t>
        </is>
      </c>
      <c r="F370" s="16" t="inlineStr">
        <is>
          <t>测试沙箱</t>
        </is>
      </c>
      <c r="G370" s="17" t="inlineStr">
        <is>
          <t xml:space="preserve"> 提供规则配置的沙箱测试环境服务</t>
        </is>
      </c>
      <c r="H370" s="18" t="inlineStr">
        <is>
          <t>ILF</t>
        </is>
      </c>
      <c r="I370" s="18">
        <f>IF(H370="ILF",10,IF(H370="EIF",7,IF(H370="EI",4,IF(H370="EO",5,IF(H370="EQ",4,"")))))</f>
        <v/>
      </c>
      <c r="J370" s="18" t="inlineStr">
        <is>
          <t>低</t>
        </is>
      </c>
      <c r="K370" s="18">
        <f>IF(J370="高",0.33,IF(J370="中",0.67,IF(J370="低",1,"")))</f>
        <v/>
      </c>
      <c r="L370" s="18" t="inlineStr">
        <is>
          <t>新增</t>
        </is>
      </c>
      <c r="M370" s="18">
        <f>IF(L370="新增",1,IF(L370="修改",0.8,IF(L370="删除",0.2,"")))</f>
        <v/>
      </c>
      <c r="N370" s="18">
        <f>I370*K370*M370</f>
        <v/>
      </c>
    </row>
    <row r="371" ht="19" customHeight="1" s="1">
      <c r="B371" s="16" t="n">
        <v>366</v>
      </c>
      <c r="C371" s="16" t="inlineStr">
        <is>
          <t>定制化流式计算及IO计算及物模型配置</t>
        </is>
      </c>
      <c r="D371" s="16" t="inlineStr">
        <is>
          <t>规则配置服务</t>
        </is>
      </c>
      <c r="E371" s="16" t="inlineStr">
        <is>
          <t>可视化编排</t>
        </is>
      </c>
      <c r="F371" s="16" t="inlineStr">
        <is>
          <t>执行日志</t>
        </is>
      </c>
      <c r="G371" s="17" t="inlineStr">
        <is>
          <t xml:space="preserve"> 提供规则触发和执行日志记录服务</t>
        </is>
      </c>
      <c r="H371" s="18" t="inlineStr">
        <is>
          <t>ILF</t>
        </is>
      </c>
      <c r="I371" s="18">
        <f>IF(H371="ILF",10,IF(H371="EIF",7,IF(H371="EI",4,IF(H371="EO",5,IF(H371="EQ",4,"")))))</f>
        <v/>
      </c>
      <c r="J371" s="18" t="inlineStr">
        <is>
          <t>低</t>
        </is>
      </c>
      <c r="K371" s="18">
        <f>IF(J371="高",0.33,IF(J371="中",0.67,IF(J371="低",1,"")))</f>
        <v/>
      </c>
      <c r="L371" s="18" t="inlineStr">
        <is>
          <t>新增</t>
        </is>
      </c>
      <c r="M371" s="18">
        <f>IF(L371="新增",1,IF(L371="修改",0.8,IF(L371="删除",0.2,"")))</f>
        <v/>
      </c>
      <c r="N371" s="18">
        <f>I371*K371*M371</f>
        <v/>
      </c>
    </row>
    <row r="372" ht="19" customHeight="1" s="1">
      <c r="B372" s="16" t="n">
        <v>367</v>
      </c>
      <c r="C372" s="16" t="inlineStr">
        <is>
          <t>定制化流式计算及IO计算及物模型配置</t>
        </is>
      </c>
      <c r="D372" s="16" t="inlineStr">
        <is>
          <t>规则配置服务</t>
        </is>
      </c>
      <c r="E372" s="16" t="inlineStr">
        <is>
          <t>可视化编排</t>
        </is>
      </c>
      <c r="F372" s="16" t="inlineStr">
        <is>
          <t>执行统计</t>
        </is>
      </c>
      <c r="G372" s="17" t="inlineStr">
        <is>
          <t xml:space="preserve"> 提供规则触发频率/命中率统计服务</t>
        </is>
      </c>
      <c r="H372" s="18" t="inlineStr">
        <is>
          <t>ILF</t>
        </is>
      </c>
      <c r="I372" s="18">
        <f>IF(H372="ILF",10,IF(H372="EIF",7,IF(H372="EI",4,IF(H372="EO",5,IF(H372="EQ",4,"")))))</f>
        <v/>
      </c>
      <c r="J372" s="18" t="inlineStr">
        <is>
          <t>低</t>
        </is>
      </c>
      <c r="K372" s="18">
        <f>IF(J372="高",0.33,IF(J372="中",0.67,IF(J372="低",1,"")))</f>
        <v/>
      </c>
      <c r="L372" s="18" t="inlineStr">
        <is>
          <t>新增</t>
        </is>
      </c>
      <c r="M372" s="18">
        <f>IF(L372="新增",1,IF(L372="修改",0.8,IF(L372="删除",0.2,"")))</f>
        <v/>
      </c>
      <c r="N372" s="18">
        <f>I372*K372*M372</f>
        <v/>
      </c>
    </row>
    <row r="373" ht="19" customHeight="1" s="1">
      <c r="B373" s="16" t="n">
        <v>368</v>
      </c>
      <c r="C373" s="16" t="inlineStr">
        <is>
          <t>定制化流式计算及IO计算及物模型配置</t>
        </is>
      </c>
      <c r="D373" s="16" t="inlineStr">
        <is>
          <t>规则配置服务</t>
        </is>
      </c>
      <c r="E373" s="16" t="inlineStr">
        <is>
          <t>回溯验证</t>
        </is>
      </c>
      <c r="F373" s="16" t="inlineStr">
        <is>
          <t>数据选取</t>
        </is>
      </c>
      <c r="G373" s="17" t="inlineStr">
        <is>
          <t xml:space="preserve"> 提供选定井号和时段的历史数据选取加载服务</t>
        </is>
      </c>
      <c r="H373" s="18" t="inlineStr">
        <is>
          <t>ILF</t>
        </is>
      </c>
      <c r="I373" s="18">
        <f>IF(H373="ILF",10,IF(H373="EIF",7,IF(H373="EI",4,IF(H373="EO",5,IF(H373="EQ",4,"")))))</f>
        <v/>
      </c>
      <c r="J373" s="18" t="inlineStr">
        <is>
          <t>低</t>
        </is>
      </c>
      <c r="K373" s="18">
        <f>IF(J373="高",0.33,IF(J373="中",0.67,IF(J373="低",1,"")))</f>
        <v/>
      </c>
      <c r="L373" s="18" t="inlineStr">
        <is>
          <t>新增</t>
        </is>
      </c>
      <c r="M373" s="18">
        <f>IF(L373="新增",1,IF(L373="修改",0.8,IF(L373="删除",0.2,"")))</f>
        <v/>
      </c>
      <c r="N373" s="18">
        <f>I373*K373*M373</f>
        <v/>
      </c>
    </row>
    <row r="374" ht="19" customHeight="1" s="1">
      <c r="B374" s="16" t="n">
        <v>369</v>
      </c>
      <c r="C374" s="16" t="inlineStr">
        <is>
          <t>定制化流式计算及IO计算及物模型配置</t>
        </is>
      </c>
      <c r="D374" s="16" t="inlineStr">
        <is>
          <t>规则配置服务</t>
        </is>
      </c>
      <c r="E374" s="16" t="inlineStr">
        <is>
          <t>回溯验证</t>
        </is>
      </c>
      <c r="F374" s="16" t="inlineStr">
        <is>
          <t>模拟回放</t>
        </is>
      </c>
      <c r="G374" s="17" t="inlineStr">
        <is>
          <t xml:space="preserve"> 提供新规则在历史数据上的模拟回放测试服务</t>
        </is>
      </c>
      <c r="H374" s="18" t="inlineStr">
        <is>
          <t>ILF</t>
        </is>
      </c>
      <c r="I374" s="18">
        <f>IF(H374="ILF",10,IF(H374="EIF",7,IF(H374="EI",4,IF(H374="EO",5,IF(H374="EQ",4,"")))))</f>
        <v/>
      </c>
      <c r="J374" s="18" t="inlineStr">
        <is>
          <t>低</t>
        </is>
      </c>
      <c r="K374" s="18">
        <f>IF(J374="高",0.33,IF(J374="中",0.67,IF(J374="低",1,"")))</f>
        <v/>
      </c>
      <c r="L374" s="18" t="inlineStr">
        <is>
          <t>新增</t>
        </is>
      </c>
      <c r="M374" s="18">
        <f>IF(L374="新增",1,IF(L374="修改",0.8,IF(L374="删除",0.2,"")))</f>
        <v/>
      </c>
      <c r="N374" s="18">
        <f>I374*K374*M374</f>
        <v/>
      </c>
    </row>
    <row r="375" ht="19" customHeight="1" s="1">
      <c r="B375" s="16" t="n">
        <v>370</v>
      </c>
      <c r="C375" s="16" t="inlineStr">
        <is>
          <t>定制化流式计算及IO计算及物模型配置</t>
        </is>
      </c>
      <c r="D375" s="16" t="inlineStr">
        <is>
          <t>规则配置服务</t>
        </is>
      </c>
      <c r="E375" s="16" t="inlineStr">
        <is>
          <t>回溯验证</t>
        </is>
      </c>
      <c r="F375" s="16" t="inlineStr">
        <is>
          <t>匹配率</t>
        </is>
      </c>
      <c r="G375" s="17" t="inlineStr">
        <is>
          <t xml:space="preserve"> 提供规则模拟结果匹配率统计分析服务</t>
        </is>
      </c>
      <c r="H375" s="18" t="inlineStr">
        <is>
          <t>ILF</t>
        </is>
      </c>
      <c r="I375" s="18">
        <f>IF(H375="ILF",10,IF(H375="EIF",7,IF(H375="EI",4,IF(H375="EO",5,IF(H375="EQ",4,"")))))</f>
        <v/>
      </c>
      <c r="J375" s="18" t="inlineStr">
        <is>
          <t>低</t>
        </is>
      </c>
      <c r="K375" s="18">
        <f>IF(J375="高",0.33,IF(J375="中",0.67,IF(J375="低",1,"")))</f>
        <v/>
      </c>
      <c r="L375" s="18" t="inlineStr">
        <is>
          <t>新增</t>
        </is>
      </c>
      <c r="M375" s="18">
        <f>IF(L375="新增",1,IF(L375="修改",0.8,IF(L375="删除",0.2,"")))</f>
        <v/>
      </c>
      <c r="N375" s="18">
        <f>I375*K375*M375</f>
        <v/>
      </c>
    </row>
    <row r="376" ht="19" customHeight="1" s="1">
      <c r="B376" s="16" t="n">
        <v>371</v>
      </c>
      <c r="C376" s="16" t="inlineStr">
        <is>
          <t>定制化流式计算及IO计算及物模型配置</t>
        </is>
      </c>
      <c r="D376" s="16" t="inlineStr">
        <is>
          <t>规则配置服务</t>
        </is>
      </c>
      <c r="E376" s="16" t="inlineStr">
        <is>
          <t>回溯验证</t>
        </is>
      </c>
      <c r="F376" s="16" t="inlineStr">
        <is>
          <t>误报率</t>
        </is>
      </c>
      <c r="G376" s="17" t="inlineStr">
        <is>
          <t xml:space="preserve"> 提供规则模拟结果误报率统计分析服务</t>
        </is>
      </c>
      <c r="H376" s="18" t="inlineStr">
        <is>
          <t>ILF</t>
        </is>
      </c>
      <c r="I376" s="18">
        <f>IF(H376="ILF",10,IF(H376="EIF",7,IF(H376="EI",4,IF(H376="EO",5,IF(H376="EQ",4,"")))))</f>
        <v/>
      </c>
      <c r="J376" s="18" t="inlineStr">
        <is>
          <t>低</t>
        </is>
      </c>
      <c r="K376" s="18">
        <f>IF(J376="高",0.33,IF(J376="中",0.67,IF(J376="低",1,"")))</f>
        <v/>
      </c>
      <c r="L376" s="18" t="inlineStr">
        <is>
          <t>新增</t>
        </is>
      </c>
      <c r="M376" s="18">
        <f>IF(L376="新增",1,IF(L376="修改",0.8,IF(L376="删除",0.2,"")))</f>
        <v/>
      </c>
      <c r="N376" s="18">
        <f>I376*K376*M376</f>
        <v/>
      </c>
    </row>
    <row r="377" ht="19" customHeight="1" s="1">
      <c r="B377" s="16" t="n">
        <v>372</v>
      </c>
      <c r="C377" s="16" t="inlineStr">
        <is>
          <t>定制化流式计算及IO计算及物模型配置</t>
        </is>
      </c>
      <c r="D377" s="16" t="inlineStr">
        <is>
          <t>规则配置服务</t>
        </is>
      </c>
      <c r="E377" s="16" t="inlineStr">
        <is>
          <t>回溯验证</t>
        </is>
      </c>
      <c r="F377" s="16" t="inlineStr">
        <is>
          <t>漏报率</t>
        </is>
      </c>
      <c r="G377" s="17" t="inlineStr">
        <is>
          <t xml:space="preserve"> 提供规则模拟结果漏报率统计分析服务</t>
        </is>
      </c>
      <c r="H377" s="18" t="inlineStr">
        <is>
          <t>ILF</t>
        </is>
      </c>
      <c r="I377" s="18">
        <f>IF(H377="ILF",10,IF(H377="EIF",7,IF(H377="EI",4,IF(H377="EO",5,IF(H377="EQ",4,"")))))</f>
        <v/>
      </c>
      <c r="J377" s="18" t="inlineStr">
        <is>
          <t>低</t>
        </is>
      </c>
      <c r="K377" s="18">
        <f>IF(J377="高",0.33,IF(J377="中",0.67,IF(J377="低",1,"")))</f>
        <v/>
      </c>
      <c r="L377" s="18" t="inlineStr">
        <is>
          <t>新增</t>
        </is>
      </c>
      <c r="M377" s="18">
        <f>IF(L377="新增",1,IF(L377="修改",0.8,IF(L377="删除",0.2,"")))</f>
        <v/>
      </c>
      <c r="N377" s="18">
        <f>I377*K377*M377</f>
        <v/>
      </c>
    </row>
    <row r="378" ht="19" customHeight="1" s="1">
      <c r="B378" s="16" t="n">
        <v>373</v>
      </c>
      <c r="C378" s="16" t="inlineStr">
        <is>
          <t>定制化流式计算及IO计算及物模型配置</t>
        </is>
      </c>
      <c r="D378" s="16" t="inlineStr">
        <is>
          <t>规则配置服务</t>
        </is>
      </c>
      <c r="E378" s="16" t="inlineStr">
        <is>
          <t>回溯验证</t>
        </is>
      </c>
      <c r="F378" s="16" t="inlineStr">
        <is>
          <t>新旧对比</t>
        </is>
      </c>
      <c r="G378" s="17" t="inlineStr">
        <is>
          <t xml:space="preserve"> 提供新规则与原规则触发效果对比分析服务</t>
        </is>
      </c>
      <c r="H378" s="18" t="inlineStr">
        <is>
          <t>EIF</t>
        </is>
      </c>
      <c r="I378" s="18">
        <f>IF(H378="ILF",10,IF(H378="EIF",7,IF(H378="EI",4,IF(H378="EO",5,IF(H378="EQ",4,"")))))</f>
        <v/>
      </c>
      <c r="J378" s="18" t="inlineStr">
        <is>
          <t>低</t>
        </is>
      </c>
      <c r="K378" s="18">
        <f>IF(J378="高",0.33,IF(J378="中",0.67,IF(J378="低",1,"")))</f>
        <v/>
      </c>
      <c r="L378" s="18" t="inlineStr">
        <is>
          <t>新增</t>
        </is>
      </c>
      <c r="M378" s="18">
        <f>IF(L378="新增",1,IF(L378="修改",0.8,IF(L378="删除",0.2,"")))</f>
        <v/>
      </c>
      <c r="N378" s="18">
        <f>I378*K378*M378</f>
        <v/>
      </c>
    </row>
    <row r="379" ht="19" customHeight="1" s="1">
      <c r="B379" s="16" t="n">
        <v>374</v>
      </c>
      <c r="C379" s="16" t="inlineStr">
        <is>
          <t>定制化流式计算及IO计算及物模型配置</t>
        </is>
      </c>
      <c r="D379" s="16" t="inlineStr">
        <is>
          <t>规则配置服务</t>
        </is>
      </c>
      <c r="E379" s="16" t="inlineStr">
        <is>
          <t>回溯验证</t>
        </is>
      </c>
      <c r="F379" s="16" t="inlineStr">
        <is>
          <t>回溯参数</t>
        </is>
      </c>
      <c r="G379" s="17" t="inlineStr">
        <is>
          <t xml:space="preserve"> 提供回溯验证的窗口/阈值参数配置服务</t>
        </is>
      </c>
      <c r="H379" s="18" t="inlineStr">
        <is>
          <t>EI</t>
        </is>
      </c>
      <c r="I379" s="18">
        <f>IF(H379="ILF",10,IF(H379="EIF",7,IF(H379="EI",4,IF(H379="EO",5,IF(H379="EQ",4,"")))))</f>
        <v/>
      </c>
      <c r="J379" s="18" t="inlineStr">
        <is>
          <t>低</t>
        </is>
      </c>
      <c r="K379" s="18">
        <f>IF(J379="高",0.33,IF(J379="中",0.67,IF(J379="低",1,"")))</f>
        <v/>
      </c>
      <c r="L379" s="18" t="inlineStr">
        <is>
          <t>新增</t>
        </is>
      </c>
      <c r="M379" s="18">
        <f>IF(L379="新增",1,IF(L379="修改",0.8,IF(L379="删除",0.2,"")))</f>
        <v/>
      </c>
      <c r="N379" s="18">
        <f>I379*K379*M379</f>
        <v/>
      </c>
    </row>
    <row r="380" ht="19" customHeight="1" s="1">
      <c r="B380" s="16" t="n">
        <v>375</v>
      </c>
      <c r="C380" s="16" t="inlineStr">
        <is>
          <t>定制化流式计算及IO计算及物模型配置</t>
        </is>
      </c>
      <c r="D380" s="16" t="inlineStr">
        <is>
          <t>规则配置服务</t>
        </is>
      </c>
      <c r="E380" s="16" t="inlineStr">
        <is>
          <t>回溯验证</t>
        </is>
      </c>
      <c r="F380" s="16" t="inlineStr">
        <is>
          <t>回溯报告</t>
        </is>
      </c>
      <c r="G380" s="17" t="inlineStr">
        <is>
          <t xml:space="preserve"> 提供回溯验证结果报告自动生成服务</t>
        </is>
      </c>
      <c r="H380" s="18" t="inlineStr">
        <is>
          <t>EI</t>
        </is>
      </c>
      <c r="I380" s="18">
        <f>IF(H380="ILF",10,IF(H380="EIF",7,IF(H380="EI",4,IF(H380="EO",5,IF(H380="EQ",4,"")))))</f>
        <v/>
      </c>
      <c r="J380" s="18" t="inlineStr">
        <is>
          <t>低</t>
        </is>
      </c>
      <c r="K380" s="18">
        <f>IF(J380="高",0.33,IF(J380="中",0.67,IF(J380="低",1,"")))</f>
        <v/>
      </c>
      <c r="L380" s="18" t="inlineStr">
        <is>
          <t>新增</t>
        </is>
      </c>
      <c r="M380" s="18">
        <f>IF(L380="新增",1,IF(L380="修改",0.8,IF(L380="删除",0.2,"")))</f>
        <v/>
      </c>
      <c r="N380" s="18">
        <f>I380*K380*M380</f>
        <v/>
      </c>
    </row>
    <row r="381" ht="19" customHeight="1" s="1">
      <c r="B381" s="16" t="n">
        <v>376</v>
      </c>
      <c r="C381" s="16" t="inlineStr">
        <is>
          <t>定制化流式计算及IO计算及物模型配置</t>
        </is>
      </c>
      <c r="D381" s="16" t="inlineStr">
        <is>
          <t>边缘平台联动</t>
        </is>
      </c>
      <c r="E381" s="16" t="inlineStr">
        <is>
          <t>边缘判定</t>
        </is>
      </c>
      <c r="F381" s="16" t="inlineStr">
        <is>
          <t>实时判定</t>
        </is>
      </c>
      <c r="G381" s="17" t="inlineStr">
        <is>
          <t xml:space="preserve"> 提供边缘网关侧毫秒级告警算法判定服务</t>
        </is>
      </c>
      <c r="H381" s="18" t="inlineStr">
        <is>
          <t>EI</t>
        </is>
      </c>
      <c r="I381" s="18">
        <f>IF(H381="ILF",10,IF(H381="EIF",7,IF(H381="EI",4,IF(H381="EO",5,IF(H381="EQ",4,"")))))</f>
        <v/>
      </c>
      <c r="J381" s="18" t="inlineStr">
        <is>
          <t>低</t>
        </is>
      </c>
      <c r="K381" s="18">
        <f>IF(J381="高",0.33,IF(J381="中",0.67,IF(J381="低",1,"")))</f>
        <v/>
      </c>
      <c r="L381" s="18" t="inlineStr">
        <is>
          <t>新增</t>
        </is>
      </c>
      <c r="M381" s="18">
        <f>IF(L381="新增",1,IF(L381="修改",0.8,IF(L381="删除",0.2,"")))</f>
        <v/>
      </c>
      <c r="N381" s="18">
        <f>I381*K381*M381</f>
        <v/>
      </c>
    </row>
    <row r="382" ht="19" customHeight="1" s="1">
      <c r="B382" s="16" t="n">
        <v>377</v>
      </c>
      <c r="C382" s="16" t="inlineStr">
        <is>
          <t>定制化流式计算及IO计算及物模型配置</t>
        </is>
      </c>
      <c r="D382" s="16" t="inlineStr">
        <is>
          <t>边缘平台联动</t>
        </is>
      </c>
      <c r="E382" s="16" t="inlineStr">
        <is>
          <t>边缘判定</t>
        </is>
      </c>
      <c r="F382" s="16" t="inlineStr">
        <is>
          <t>结构化上报</t>
        </is>
      </c>
      <c r="G382" s="17" t="inlineStr">
        <is>
          <t xml:space="preserve"> 提供边缘仅上报标准化告警码/时间/设备事件服务</t>
        </is>
      </c>
      <c r="H382" s="18" t="inlineStr">
        <is>
          <t>EI</t>
        </is>
      </c>
      <c r="I382" s="18">
        <f>IF(H382="ILF",10,IF(H382="EIF",7,IF(H382="EI",4,IF(H382="EO",5,IF(H382="EQ",4,"")))))</f>
        <v/>
      </c>
      <c r="J382" s="18" t="inlineStr">
        <is>
          <t>低</t>
        </is>
      </c>
      <c r="K382" s="18">
        <f>IF(J382="高",0.33,IF(J382="中",0.67,IF(J382="低",1,"")))</f>
        <v/>
      </c>
      <c r="L382" s="18" t="inlineStr">
        <is>
          <t>新增</t>
        </is>
      </c>
      <c r="M382" s="18">
        <f>IF(L382="新增",1,IF(L382="修改",0.8,IF(L382="删除",0.2,"")))</f>
        <v/>
      </c>
      <c r="N382" s="18">
        <f>I382*K382*M382</f>
        <v/>
      </c>
    </row>
    <row r="383" ht="19" customHeight="1" s="1">
      <c r="B383" s="16" t="n">
        <v>378</v>
      </c>
      <c r="C383" s="16" t="inlineStr">
        <is>
          <t>定制化流式计算及IO计算及物模型配置</t>
        </is>
      </c>
      <c r="D383" s="16" t="inlineStr">
        <is>
          <t>边缘平台联动</t>
        </is>
      </c>
      <c r="E383" s="16" t="inlineStr">
        <is>
          <t>边缘判定</t>
        </is>
      </c>
      <c r="F383" s="16" t="inlineStr">
        <is>
          <t>断网缓存</t>
        </is>
      </c>
      <c r="G383" s="17" t="inlineStr">
        <is>
          <t xml:space="preserve"> 提供边缘断网时告警数据缓存≥100万条服务</t>
        </is>
      </c>
      <c r="H383" s="18" t="inlineStr">
        <is>
          <t>EI</t>
        </is>
      </c>
      <c r="I383" s="18">
        <f>IF(H383="ILF",10,IF(H383="EIF",7,IF(H383="EI",4,IF(H383="EO",5,IF(H383="EQ",4,"")))))</f>
        <v/>
      </c>
      <c r="J383" s="18" t="inlineStr">
        <is>
          <t>低</t>
        </is>
      </c>
      <c r="K383" s="18">
        <f>IF(J383="高",0.33,IF(J383="中",0.67,IF(J383="低",1,"")))</f>
        <v/>
      </c>
      <c r="L383" s="18" t="inlineStr">
        <is>
          <t>新增</t>
        </is>
      </c>
      <c r="M383" s="18">
        <f>IF(L383="新增",1,IF(L383="修改",0.8,IF(L383="删除",0.2,"")))</f>
        <v/>
      </c>
      <c r="N383" s="18">
        <f>I383*K383*M383</f>
        <v/>
      </c>
    </row>
    <row r="384" ht="19" customHeight="1" s="1">
      <c r="B384" s="16" t="n">
        <v>379</v>
      </c>
      <c r="C384" s="16" t="inlineStr">
        <is>
          <t>定制化流式计算及IO计算及物模型配置</t>
        </is>
      </c>
      <c r="D384" s="16" t="inlineStr">
        <is>
          <t>边缘平台联动</t>
        </is>
      </c>
      <c r="E384" s="16" t="inlineStr">
        <is>
          <t>边缘判定</t>
        </is>
      </c>
      <c r="F384" s="16" t="inlineStr">
        <is>
          <t>缓存补传</t>
        </is>
      </c>
      <c r="G384" s="17" t="inlineStr">
        <is>
          <t xml:space="preserve"> 提供网络恢复后缓存告警数据按序补传服务</t>
        </is>
      </c>
      <c r="H384" s="18" t="inlineStr">
        <is>
          <t>EI</t>
        </is>
      </c>
      <c r="I384" s="18">
        <f>IF(H384="ILF",10,IF(H384="EIF",7,IF(H384="EI",4,IF(H384="EO",5,IF(H384="EQ",4,"")))))</f>
        <v/>
      </c>
      <c r="J384" s="18" t="inlineStr">
        <is>
          <t>低</t>
        </is>
      </c>
      <c r="K384" s="18">
        <f>IF(J384="高",0.33,IF(J384="中",0.67,IF(J384="低",1,"")))</f>
        <v/>
      </c>
      <c r="L384" s="18" t="inlineStr">
        <is>
          <t>新增</t>
        </is>
      </c>
      <c r="M384" s="18">
        <f>IF(L384="新增",1,IF(L384="修改",0.8,IF(L384="删除",0.2,"")))</f>
        <v/>
      </c>
      <c r="N384" s="18">
        <f>I384*K384*M384</f>
        <v/>
      </c>
    </row>
    <row r="385" ht="19" customHeight="1" s="1">
      <c r="B385" s="16" t="n">
        <v>380</v>
      </c>
      <c r="C385" s="16" t="inlineStr">
        <is>
          <t>定制化流式计算及IO计算及物模型配置</t>
        </is>
      </c>
      <c r="D385" s="16" t="inlineStr">
        <is>
          <t>边缘平台联动</t>
        </is>
      </c>
      <c r="E385" s="16" t="inlineStr">
        <is>
          <t>边缘判定</t>
        </is>
      </c>
      <c r="F385" s="16" t="inlineStr">
        <is>
          <t>自治运行</t>
        </is>
      </c>
      <c r="G385" s="17" t="inlineStr">
        <is>
          <t xml:space="preserve"> 提供断网时边缘独立完成告警判定服务</t>
        </is>
      </c>
      <c r="H385" s="18" t="inlineStr">
        <is>
          <t>EI</t>
        </is>
      </c>
      <c r="I385" s="18">
        <f>IF(H385="ILF",10,IF(H385="EIF",7,IF(H385="EI",4,IF(H385="EO",5,IF(H385="EQ",4,"")))))</f>
        <v/>
      </c>
      <c r="J385" s="18" t="inlineStr">
        <is>
          <t>低</t>
        </is>
      </c>
      <c r="K385" s="18">
        <f>IF(J385="高",0.33,IF(J385="中",0.67,IF(J385="低",1,"")))</f>
        <v/>
      </c>
      <c r="L385" s="18" t="inlineStr">
        <is>
          <t>新增</t>
        </is>
      </c>
      <c r="M385" s="18">
        <f>IF(L385="新增",1,IF(L385="修改",0.8,IF(L385="删除",0.2,"")))</f>
        <v/>
      </c>
      <c r="N385" s="18">
        <f>I385*K385*M385</f>
        <v/>
      </c>
    </row>
    <row r="386" ht="19" customHeight="1" s="1">
      <c r="B386" s="16" t="n">
        <v>381</v>
      </c>
      <c r="C386" s="16" t="inlineStr">
        <is>
          <t>定制化流式计算及IO计算及物模型配置</t>
        </is>
      </c>
      <c r="D386" s="16" t="inlineStr">
        <is>
          <t>边缘平台联动</t>
        </is>
      </c>
      <c r="E386" s="16" t="inlineStr">
        <is>
          <t>边缘判定</t>
        </is>
      </c>
      <c r="F386" s="16" t="inlineStr">
        <is>
          <t>状态心跳</t>
        </is>
      </c>
      <c r="G386" s="17" t="inlineStr">
        <is>
          <t xml:space="preserve"> 提供边缘网关状态心跳上报服务</t>
        </is>
      </c>
      <c r="H386" s="18" t="inlineStr">
        <is>
          <t>EI</t>
        </is>
      </c>
      <c r="I386" s="18">
        <f>IF(H386="ILF",10,IF(H386="EIF",7,IF(H386="EI",4,IF(H386="EO",5,IF(H386="EQ",4,"")))))</f>
        <v/>
      </c>
      <c r="J386" s="18" t="inlineStr">
        <is>
          <t>低</t>
        </is>
      </c>
      <c r="K386" s="18">
        <f>IF(J386="高",0.33,IF(J386="中",0.67,IF(J386="低",1,"")))</f>
        <v/>
      </c>
      <c r="L386" s="18" t="inlineStr">
        <is>
          <t>新增</t>
        </is>
      </c>
      <c r="M386" s="18">
        <f>IF(L386="新增",1,IF(L386="修改",0.8,IF(L386="删除",0.2,"")))</f>
        <v/>
      </c>
      <c r="N386" s="18">
        <f>I386*K386*M386</f>
        <v/>
      </c>
    </row>
    <row r="387" ht="19" customHeight="1" s="1">
      <c r="B387" s="16" t="n">
        <v>382</v>
      </c>
      <c r="C387" s="16" t="inlineStr">
        <is>
          <t>定制化流式计算及IO计算及物模型配置</t>
        </is>
      </c>
      <c r="D387" s="16" t="inlineStr">
        <is>
          <t>边缘平台联动</t>
        </is>
      </c>
      <c r="E387" s="16" t="inlineStr">
        <is>
          <t>边缘判定</t>
        </is>
      </c>
      <c r="F387" s="16" t="inlineStr">
        <is>
          <t>版本同步</t>
        </is>
      </c>
      <c r="G387" s="17" t="inlineStr">
        <is>
          <t xml:space="preserve"> 提供边缘网关规则版本同步服务</t>
        </is>
      </c>
      <c r="H387" s="18" t="inlineStr">
        <is>
          <t>EI</t>
        </is>
      </c>
      <c r="I387" s="18">
        <f>IF(H387="ILF",10,IF(H387="EIF",7,IF(H387="EI",4,IF(H387="EO",5,IF(H387="EQ",4,"")))))</f>
        <v/>
      </c>
      <c r="J387" s="18" t="inlineStr">
        <is>
          <t>低</t>
        </is>
      </c>
      <c r="K387" s="18">
        <f>IF(J387="高",0.33,IF(J387="中",0.67,IF(J387="低",1,"")))</f>
        <v/>
      </c>
      <c r="L387" s="18" t="inlineStr">
        <is>
          <t>新增</t>
        </is>
      </c>
      <c r="M387" s="18">
        <f>IF(L387="新增",1,IF(L387="修改",0.8,IF(L387="删除",0.2,"")))</f>
        <v/>
      </c>
      <c r="N387" s="18">
        <f>I387*K387*M387</f>
        <v/>
      </c>
    </row>
    <row r="388" ht="19" customHeight="1" s="1">
      <c r="B388" s="16" t="n">
        <v>383</v>
      </c>
      <c r="C388" s="16" t="inlineStr">
        <is>
          <t>定制化流式计算及IO计算及物模型配置</t>
        </is>
      </c>
      <c r="D388" s="16" t="inlineStr">
        <is>
          <t>边缘平台联动</t>
        </is>
      </c>
      <c r="E388" s="16" t="inlineStr">
        <is>
          <t>边缘判定</t>
        </is>
      </c>
      <c r="F388" s="16" t="inlineStr">
        <is>
          <t>配置同步</t>
        </is>
      </c>
      <c r="G388" s="17" t="inlineStr">
        <is>
          <t xml:space="preserve"> 提供边缘网关配置参数同步服务</t>
        </is>
      </c>
      <c r="H388" s="18" t="inlineStr">
        <is>
          <t>EI</t>
        </is>
      </c>
      <c r="I388" s="18">
        <f>IF(H388="ILF",10,IF(H388="EIF",7,IF(H388="EI",4,IF(H388="EO",5,IF(H388="EQ",4,"")))))</f>
        <v/>
      </c>
      <c r="J388" s="18" t="inlineStr">
        <is>
          <t>低</t>
        </is>
      </c>
      <c r="K388" s="18">
        <f>IF(J388="高",0.33,IF(J388="中",0.67,IF(J388="低",1,"")))</f>
        <v/>
      </c>
      <c r="L388" s="18" t="inlineStr">
        <is>
          <t>新增</t>
        </is>
      </c>
      <c r="M388" s="18">
        <f>IF(L388="新增",1,IF(L388="修改",0.8,IF(L388="删除",0.2,"")))</f>
        <v/>
      </c>
      <c r="N388" s="18">
        <f>I388*K388*M388</f>
        <v/>
      </c>
    </row>
    <row r="389" ht="19" customHeight="1" s="1">
      <c r="B389" s="16" t="n">
        <v>384</v>
      </c>
      <c r="C389" s="16" t="inlineStr">
        <is>
          <t>定制化流式计算及IO计算及物模型配置</t>
        </is>
      </c>
      <c r="D389" s="16" t="inlineStr">
        <is>
          <t>边缘平台联动</t>
        </is>
      </c>
      <c r="E389" s="16" t="inlineStr">
        <is>
          <t>告警归并</t>
        </is>
      </c>
      <c r="F389" s="16" t="inlineStr">
        <is>
          <t>重复归并</t>
        </is>
      </c>
      <c r="G389" s="17" t="inlineStr">
        <is>
          <t xml:space="preserve"> 提供同一设备同一告警1小时内归并为一条服务</t>
        </is>
      </c>
      <c r="H389" s="18" t="inlineStr">
        <is>
          <t>EI</t>
        </is>
      </c>
      <c r="I389" s="18">
        <f>IF(H389="ILF",10,IF(H389="EIF",7,IF(H389="EI",4,IF(H389="EO",5,IF(H389="EQ",4,"")))))</f>
        <v/>
      </c>
      <c r="J389" s="18" t="inlineStr">
        <is>
          <t>低</t>
        </is>
      </c>
      <c r="K389" s="18">
        <f>IF(J389="高",0.33,IF(J389="中",0.67,IF(J389="低",1,"")))</f>
        <v/>
      </c>
      <c r="L389" s="18" t="inlineStr">
        <is>
          <t>新增</t>
        </is>
      </c>
      <c r="M389" s="18">
        <f>IF(L389="新增",1,IF(L389="修改",0.8,IF(L389="删除",0.2,"")))</f>
        <v/>
      </c>
      <c r="N389" s="18">
        <f>I389*K389*M389</f>
        <v/>
      </c>
    </row>
    <row r="390" ht="19" customHeight="1" s="1">
      <c r="B390" s="16" t="n">
        <v>385</v>
      </c>
      <c r="C390" s="16" t="inlineStr">
        <is>
          <t>定制化流式计算及IO计算及物模型配置</t>
        </is>
      </c>
      <c r="D390" s="16" t="inlineStr">
        <is>
          <t>边缘平台联动</t>
        </is>
      </c>
      <c r="E390" s="16" t="inlineStr">
        <is>
          <t>告警归并</t>
        </is>
      </c>
      <c r="F390" s="16" t="inlineStr">
        <is>
          <t>离线抑制</t>
        </is>
      </c>
      <c r="G390" s="17" t="inlineStr">
        <is>
          <t xml:space="preserve"> 提供设备离线告警后自动抑制24小时衍生告警服务</t>
        </is>
      </c>
      <c r="H390" s="18" t="inlineStr">
        <is>
          <t>EI</t>
        </is>
      </c>
      <c r="I390" s="18">
        <f>IF(H390="ILF",10,IF(H390="EIF",7,IF(H390="EI",4,IF(H390="EO",5,IF(H390="EQ",4,"")))))</f>
        <v/>
      </c>
      <c r="J390" s="18" t="inlineStr">
        <is>
          <t>低</t>
        </is>
      </c>
      <c r="K390" s="18">
        <f>IF(J390="高",0.33,IF(J390="中",0.67,IF(J390="低",1,"")))</f>
        <v/>
      </c>
      <c r="L390" s="18" t="inlineStr">
        <is>
          <t>新增</t>
        </is>
      </c>
      <c r="M390" s="18">
        <f>IF(L390="新增",1,IF(L390="修改",0.8,IF(L390="删除",0.2,"")))</f>
        <v/>
      </c>
      <c r="N390" s="18">
        <f>I390*K390*M390</f>
        <v/>
      </c>
    </row>
    <row r="391" ht="19" customHeight="1" s="1">
      <c r="B391" s="16" t="n">
        <v>386</v>
      </c>
      <c r="C391" s="16" t="inlineStr">
        <is>
          <t>定制化流式计算及IO计算及物模型配置</t>
        </is>
      </c>
      <c r="D391" s="16" t="inlineStr">
        <is>
          <t>边缘平台联动</t>
        </is>
      </c>
      <c r="E391" s="16" t="inlineStr">
        <is>
          <t>告警归并</t>
        </is>
      </c>
      <c r="F391" s="16" t="inlineStr">
        <is>
          <t>工单派发</t>
        </is>
      </c>
      <c r="G391" s="17" t="inlineStr">
        <is>
          <t xml:space="preserve"> 提供告警触发后按所属作业区自动派发工单服务</t>
        </is>
      </c>
      <c r="H391" s="18" t="inlineStr">
        <is>
          <t>EI</t>
        </is>
      </c>
      <c r="I391" s="18">
        <f>IF(H391="ILF",10,IF(H391="EIF",7,IF(H391="EI",4,IF(H391="EO",5,IF(H391="EQ",4,"")))))</f>
        <v/>
      </c>
      <c r="J391" s="18" t="inlineStr">
        <is>
          <t>低</t>
        </is>
      </c>
      <c r="K391" s="18">
        <f>IF(J391="高",0.33,IF(J391="中",0.67,IF(J391="低",1,"")))</f>
        <v/>
      </c>
      <c r="L391" s="18" t="inlineStr">
        <is>
          <t>新增</t>
        </is>
      </c>
      <c r="M391" s="18">
        <f>IF(L391="新增",1,IF(L391="修改",0.8,IF(L391="删除",0.2,"")))</f>
        <v/>
      </c>
      <c r="N391" s="18">
        <f>I391*K391*M391</f>
        <v/>
      </c>
    </row>
    <row r="392" ht="19" customHeight="1" s="1">
      <c r="B392" s="16" t="n">
        <v>387</v>
      </c>
      <c r="C392" s="16" t="inlineStr">
        <is>
          <t>定制化流式计算及IO计算及物模型配置</t>
        </is>
      </c>
      <c r="D392" s="16" t="inlineStr">
        <is>
          <t>边缘平台联动</t>
        </is>
      </c>
      <c r="E392" s="16" t="inlineStr">
        <is>
          <t>告警归并</t>
        </is>
      </c>
      <c r="F392" s="16" t="inlineStr">
        <is>
          <t>效果验证</t>
        </is>
      </c>
      <c r="G392" s="17" t="inlineStr">
        <is>
          <t xml:space="preserve"> 提供工单关闭前自动校验告警参数恢复服务</t>
        </is>
      </c>
      <c r="H392" s="18" t="inlineStr">
        <is>
          <t>EI</t>
        </is>
      </c>
      <c r="I392" s="18">
        <f>IF(H392="ILF",10,IF(H392="EIF",7,IF(H392="EI",4,IF(H392="EO",5,IF(H392="EQ",4,"")))))</f>
        <v/>
      </c>
      <c r="J392" s="18" t="inlineStr">
        <is>
          <t>低</t>
        </is>
      </c>
      <c r="K392" s="18">
        <f>IF(J392="高",0.33,IF(J392="中",0.67,IF(J392="低",1,"")))</f>
        <v/>
      </c>
      <c r="L392" s="18" t="inlineStr">
        <is>
          <t>新增</t>
        </is>
      </c>
      <c r="M392" s="18">
        <f>IF(L392="新增",1,IF(L392="修改",0.8,IF(L392="删除",0.2,"")))</f>
        <v/>
      </c>
      <c r="N392" s="18">
        <f>I392*K392*M392</f>
        <v/>
      </c>
    </row>
    <row r="393" ht="19" customHeight="1" s="1">
      <c r="B393" s="16" t="n">
        <v>388</v>
      </c>
      <c r="C393" s="16" t="inlineStr">
        <is>
          <t>定制化流式计算及IO计算及物模型配置</t>
        </is>
      </c>
      <c r="D393" s="16" t="inlineStr">
        <is>
          <t>边缘平台联动</t>
        </is>
      </c>
      <c r="E393" s="16" t="inlineStr">
        <is>
          <t>告警归并</t>
        </is>
      </c>
      <c r="F393" s="16" t="inlineStr">
        <is>
          <t>全链路跟踪</t>
        </is>
      </c>
      <c r="G393" s="17" t="inlineStr">
        <is>
          <t xml:space="preserve"> 提供工单处置各环节状态跟踪和超时提醒服务</t>
        </is>
      </c>
      <c r="H393" s="18" t="inlineStr">
        <is>
          <t>EI</t>
        </is>
      </c>
      <c r="I393" s="18">
        <f>IF(H393="ILF",10,IF(H393="EIF",7,IF(H393="EI",4,IF(H393="EO",5,IF(H393="EQ",4,"")))))</f>
        <v/>
      </c>
      <c r="J393" s="18" t="inlineStr">
        <is>
          <t>低</t>
        </is>
      </c>
      <c r="K393" s="18">
        <f>IF(J393="高",0.33,IF(J393="中",0.67,IF(J393="低",1,"")))</f>
        <v/>
      </c>
      <c r="L393" s="18" t="inlineStr">
        <is>
          <t>新增</t>
        </is>
      </c>
      <c r="M393" s="18">
        <f>IF(L393="新增",1,IF(L393="修改",0.8,IF(L393="删除",0.2,"")))</f>
        <v/>
      </c>
      <c r="N393" s="18">
        <f>I393*K393*M393</f>
        <v/>
      </c>
    </row>
    <row r="394" ht="19" customHeight="1" s="1">
      <c r="B394" s="16" t="n">
        <v>389</v>
      </c>
      <c r="C394" s="16" t="inlineStr">
        <is>
          <t>定制化流式计算及IO计算及物模型配置</t>
        </is>
      </c>
      <c r="D394" s="16" t="inlineStr">
        <is>
          <t>边缘平台联动</t>
        </is>
      </c>
      <c r="E394" s="16" t="inlineStr">
        <is>
          <t>告警归并</t>
        </is>
      </c>
      <c r="F394" s="16" t="inlineStr">
        <is>
          <t>处置统计</t>
        </is>
      </c>
      <c r="G394" s="17" t="inlineStr">
        <is>
          <t xml:space="preserve"> 提供工单处置效率/闭环率/平均时间统计服务</t>
        </is>
      </c>
      <c r="H394" s="18" t="inlineStr">
        <is>
          <t>EI</t>
        </is>
      </c>
      <c r="I394" s="18">
        <f>IF(H394="ILF",10,IF(H394="EIF",7,IF(H394="EI",4,IF(H394="EO",5,IF(H394="EQ",4,"")))))</f>
        <v/>
      </c>
      <c r="J394" s="18" t="inlineStr">
        <is>
          <t>低</t>
        </is>
      </c>
      <c r="K394" s="18">
        <f>IF(J394="高",0.33,IF(J394="中",0.67,IF(J394="低",1,"")))</f>
        <v/>
      </c>
      <c r="L394" s="18" t="inlineStr">
        <is>
          <t>新增</t>
        </is>
      </c>
      <c r="M394" s="18">
        <f>IF(L394="新增",1,IF(L394="修改",0.8,IF(L394="删除",0.2,"")))</f>
        <v/>
      </c>
      <c r="N394" s="18">
        <f>I394*K394*M394</f>
        <v/>
      </c>
    </row>
    <row r="395" ht="19" customHeight="1" s="1">
      <c r="B395" s="16" t="n">
        <v>390</v>
      </c>
      <c r="C395" s="16" t="inlineStr">
        <is>
          <t>定制化流式计算及IO计算及物模型配置</t>
        </is>
      </c>
      <c r="D395" s="16" t="inlineStr">
        <is>
          <t>边缘平台联动</t>
        </is>
      </c>
      <c r="E395" s="16" t="inlineStr">
        <is>
          <t>告警归并</t>
        </is>
      </c>
      <c r="F395" s="16" t="inlineStr">
        <is>
          <t>告警报表</t>
        </is>
      </c>
      <c r="G395" s="17" t="inlineStr">
        <is>
          <t xml:space="preserve"> 提供告警分布/趋势/响应达标率统计服务</t>
        </is>
      </c>
      <c r="H395" s="18" t="inlineStr">
        <is>
          <t>EI</t>
        </is>
      </c>
      <c r="I395" s="18">
        <f>IF(H395="ILF",10,IF(H395="EIF",7,IF(H395="EI",4,IF(H395="EO",5,IF(H395="EQ",4,"")))))</f>
        <v/>
      </c>
      <c r="J395" s="18" t="inlineStr">
        <is>
          <t>低</t>
        </is>
      </c>
      <c r="K395" s="18">
        <f>IF(J395="高",0.33,IF(J395="中",0.67,IF(J395="低",1,"")))</f>
        <v/>
      </c>
      <c r="L395" s="18" t="inlineStr">
        <is>
          <t>新增</t>
        </is>
      </c>
      <c r="M395" s="18">
        <f>IF(L395="新增",1,IF(L395="修改",0.8,IF(L395="删除",0.2,"")))</f>
        <v/>
      </c>
      <c r="N395" s="18">
        <f>I395*K395*M395</f>
        <v/>
      </c>
    </row>
    <row r="396" ht="19" customHeight="1" s="1">
      <c r="B396" s="16" t="n">
        <v>391</v>
      </c>
      <c r="C396" s="16" t="inlineStr">
        <is>
          <t>定制化流式计算及IO计算及物模型配置</t>
        </is>
      </c>
      <c r="D396" s="16" t="inlineStr">
        <is>
          <t>规则配置服务</t>
        </is>
      </c>
      <c r="E396" s="16" t="inlineStr">
        <is>
          <t>规则执行管理</t>
        </is>
      </c>
      <c r="F396" s="16" t="inlineStr">
        <is>
          <t>规则执行效能统计</t>
        </is>
      </c>
      <c r="G396" s="17" t="inlineStr">
        <is>
          <t xml:space="preserve"> 提供规则执行效能的统计分析技术服务</t>
        </is>
      </c>
      <c r="H396" s="18" t="inlineStr">
        <is>
          <t>EI</t>
        </is>
      </c>
      <c r="I396" s="18">
        <f>IF(H396="ILF",10,IF(H396="EIF",7,IF(H396="EI",4,IF(H396="EO",5,IF(H396="EQ",4,"")))))</f>
        <v/>
      </c>
      <c r="J396" s="18" t="inlineStr">
        <is>
          <t>低</t>
        </is>
      </c>
      <c r="K396" s="18">
        <f>IF(J396="高",0.33,IF(J396="中",0.67,IF(J396="低",1,"")))</f>
        <v/>
      </c>
      <c r="L396" s="18" t="inlineStr">
        <is>
          <t>新增</t>
        </is>
      </c>
      <c r="M396" s="18">
        <f>IF(L396="新增",1,IF(L396="修改",0.8,IF(L396="删除",0.2,"")))</f>
        <v/>
      </c>
      <c r="N396" s="18">
        <f>I396*K396*M396</f>
        <v/>
      </c>
    </row>
    <row r="397" ht="19" customHeight="1" s="1">
      <c r="B397" s="16" t="n">
        <v>392</v>
      </c>
      <c r="C397" s="16" t="inlineStr">
        <is>
          <t>定制化流式计算及IO计算及物模型配置</t>
        </is>
      </c>
      <c r="D397" s="16" t="inlineStr">
        <is>
          <t>规则配置服务</t>
        </is>
      </c>
      <c r="E397" s="16" t="inlineStr">
        <is>
          <t>规则执行管理</t>
        </is>
      </c>
      <c r="F397" s="16" t="inlineStr">
        <is>
          <t>规则命中率统计</t>
        </is>
      </c>
      <c r="G397" s="17" t="inlineStr">
        <is>
          <t xml:space="preserve"> 提供告警规则命中率的统计分析技术服务</t>
        </is>
      </c>
      <c r="H397" s="18" t="inlineStr">
        <is>
          <t>EI</t>
        </is>
      </c>
      <c r="I397" s="18">
        <f>IF(H397="ILF",10,IF(H397="EIF",7,IF(H397="EI",4,IF(H397="EO",5,IF(H397="EQ",4,"")))))</f>
        <v/>
      </c>
      <c r="J397" s="18" t="inlineStr">
        <is>
          <t>低</t>
        </is>
      </c>
      <c r="K397" s="18">
        <f>IF(J397="高",0.33,IF(J397="中",0.67,IF(J397="低",1,"")))</f>
        <v/>
      </c>
      <c r="L397" s="18" t="inlineStr">
        <is>
          <t>新增</t>
        </is>
      </c>
      <c r="M397" s="18">
        <f>IF(L397="新增",1,IF(L397="修改",0.8,IF(L397="删除",0.2,"")))</f>
        <v/>
      </c>
      <c r="N397" s="18">
        <f>I397*K397*M397</f>
        <v/>
      </c>
    </row>
    <row r="398" ht="19" customHeight="1" s="1">
      <c r="B398" s="16" t="n">
        <v>393</v>
      </c>
      <c r="C398" s="16" t="inlineStr">
        <is>
          <t>定制化流式计算及IO计算及物模型配置</t>
        </is>
      </c>
      <c r="D398" s="16" t="inlineStr">
        <is>
          <t>规则配置服务</t>
        </is>
      </c>
      <c r="E398" s="16" t="inlineStr">
        <is>
          <t>规则执行管理</t>
        </is>
      </c>
      <c r="F398" s="16" t="inlineStr">
        <is>
          <t>规则误报率统计</t>
        </is>
      </c>
      <c r="G398" s="17" t="inlineStr">
        <is>
          <t xml:space="preserve"> 提供告警规则误报率的统计分析技术服务</t>
        </is>
      </c>
      <c r="H398" s="18" t="inlineStr">
        <is>
          <t>EI</t>
        </is>
      </c>
      <c r="I398" s="18">
        <f>IF(H398="ILF",10,IF(H398="EIF",7,IF(H398="EI",4,IF(H398="EO",5,IF(H398="EQ",4,"")))))</f>
        <v/>
      </c>
      <c r="J398" s="18" t="inlineStr">
        <is>
          <t>低</t>
        </is>
      </c>
      <c r="K398" s="18">
        <f>IF(J398="高",0.33,IF(J398="中",0.67,IF(J398="低",1,"")))</f>
        <v/>
      </c>
      <c r="L398" s="18" t="inlineStr">
        <is>
          <t>新增</t>
        </is>
      </c>
      <c r="M398" s="18">
        <f>IF(L398="新增",1,IF(L398="修改",0.8,IF(L398="删除",0.2,"")))</f>
        <v/>
      </c>
      <c r="N398" s="18">
        <f>I398*K398*M398</f>
        <v/>
      </c>
    </row>
    <row r="399" ht="19" customHeight="1" s="1">
      <c r="B399" s="16" t="n">
        <v>394</v>
      </c>
      <c r="C399" s="16" t="inlineStr">
        <is>
          <t>定制化流式计算及IO计算及物模型配置</t>
        </is>
      </c>
      <c r="D399" s="16" t="inlineStr">
        <is>
          <t>规则配置服务</t>
        </is>
      </c>
      <c r="E399" s="16" t="inlineStr">
        <is>
          <t>规则优化服务</t>
        </is>
      </c>
      <c r="F399" s="16" t="inlineStr">
        <is>
          <t>规则效果评估报表</t>
        </is>
      </c>
      <c r="G399" s="17" t="inlineStr">
        <is>
          <t xml:space="preserve"> 提供规则执行效果评估报表服务</t>
        </is>
      </c>
      <c r="H399" s="18" t="inlineStr">
        <is>
          <t>EI</t>
        </is>
      </c>
      <c r="I399" s="18">
        <f>IF(H399="ILF",10,IF(H399="EIF",7,IF(H399="EI",4,IF(H399="EO",5,IF(H399="EQ",4,"")))))</f>
        <v/>
      </c>
      <c r="J399" s="18" t="inlineStr">
        <is>
          <t>低</t>
        </is>
      </c>
      <c r="K399" s="18">
        <f>IF(J399="高",0.33,IF(J399="中",0.67,IF(J399="低",1,"")))</f>
        <v/>
      </c>
      <c r="L399" s="18" t="inlineStr">
        <is>
          <t>新增</t>
        </is>
      </c>
      <c r="M399" s="18">
        <f>IF(L399="新增",1,IF(L399="修改",0.8,IF(L399="删除",0.2,"")))</f>
        <v/>
      </c>
      <c r="N399" s="18">
        <f>I399*K399*M399</f>
        <v/>
      </c>
    </row>
    <row r="400" ht="19" customHeight="1" s="1">
      <c r="B400" s="16" t="n">
        <v>395</v>
      </c>
      <c r="C400" s="16" t="inlineStr">
        <is>
          <t>定制化流式计算及IO计算及物模型配置</t>
        </is>
      </c>
      <c r="D400" s="16" t="inlineStr">
        <is>
          <t>规则配置服务</t>
        </is>
      </c>
      <c r="E400" s="16" t="inlineStr">
        <is>
          <t>规则优化服务</t>
        </is>
      </c>
      <c r="F400" s="16" t="inlineStr">
        <is>
          <t>规则调优建议</t>
        </is>
      </c>
      <c r="G400" s="17" t="inlineStr">
        <is>
          <t xml:space="preserve"> 提供规则参数调优建议服务</t>
        </is>
      </c>
      <c r="H400" s="18" t="inlineStr">
        <is>
          <t>EI</t>
        </is>
      </c>
      <c r="I400" s="18">
        <f>IF(H400="ILF",10,IF(H400="EIF",7,IF(H400="EI",4,IF(H400="EO",5,IF(H400="EQ",4,"")))))</f>
        <v/>
      </c>
      <c r="J400" s="18" t="inlineStr">
        <is>
          <t>低</t>
        </is>
      </c>
      <c r="K400" s="18">
        <f>IF(J400="高",0.33,IF(J400="中",0.67,IF(J400="低",1,"")))</f>
        <v/>
      </c>
      <c r="L400" s="18" t="inlineStr">
        <is>
          <t>新增</t>
        </is>
      </c>
      <c r="M400" s="18">
        <f>IF(L400="新增",1,IF(L400="修改",0.8,IF(L400="删除",0.2,"")))</f>
        <v/>
      </c>
      <c r="N400" s="18">
        <f>I400*K400*M400</f>
        <v/>
      </c>
    </row>
    <row r="401" ht="19" customHeight="1" s="1">
      <c r="B401" s="16" t="n">
        <v>396</v>
      </c>
      <c r="C401" s="16" t="inlineStr">
        <is>
          <t>定制化流式计算及IO计算及物模型配置</t>
        </is>
      </c>
      <c r="D401" s="16" t="inlineStr">
        <is>
          <t>规则配置服务</t>
        </is>
      </c>
      <c r="E401" s="16" t="inlineStr">
        <is>
          <t>规则发布管理</t>
        </is>
      </c>
      <c r="F401" s="16" t="inlineStr">
        <is>
          <t>规则灰度发布配置</t>
        </is>
      </c>
      <c r="G401" s="17" t="inlineStr">
        <is>
          <t xml:space="preserve"> 提供规则灰度发布策略配置服务</t>
        </is>
      </c>
      <c r="H401" s="18" t="inlineStr">
        <is>
          <t>EI</t>
        </is>
      </c>
      <c r="I401" s="18">
        <f>IF(H401="ILF",10,IF(H401="EIF",7,IF(H401="EI",4,IF(H401="EO",5,IF(H401="EQ",4,"")))))</f>
        <v/>
      </c>
      <c r="J401" s="18" t="inlineStr">
        <is>
          <t>低</t>
        </is>
      </c>
      <c r="K401" s="18">
        <f>IF(J401="高",0.33,IF(J401="中",0.67,IF(J401="低",1,"")))</f>
        <v/>
      </c>
      <c r="L401" s="18" t="inlineStr">
        <is>
          <t>新增</t>
        </is>
      </c>
      <c r="M401" s="18">
        <f>IF(L401="新增",1,IF(L401="修改",0.8,IF(L401="删除",0.2,"")))</f>
        <v/>
      </c>
      <c r="N401" s="18">
        <f>I401*K401*M401</f>
        <v/>
      </c>
    </row>
    <row r="402" ht="19" customHeight="1" s="1">
      <c r="B402" s="16" t="n">
        <v>397</v>
      </c>
      <c r="C402" s="16" t="inlineStr">
        <is>
          <t>定制化流式计算及IO计算及物模型配置</t>
        </is>
      </c>
      <c r="D402" s="16" t="inlineStr">
        <is>
          <t>规则配置服务</t>
        </is>
      </c>
      <c r="E402" s="16" t="inlineStr">
        <is>
          <t>规则发布管理</t>
        </is>
      </c>
      <c r="F402" s="16" t="inlineStr">
        <is>
          <t>规则回滚策略配置</t>
        </is>
      </c>
      <c r="G402" s="17" t="inlineStr">
        <is>
          <t xml:space="preserve"> 提供规则回滚策略参数配置服务</t>
        </is>
      </c>
      <c r="H402" s="18" t="inlineStr">
        <is>
          <t>EI</t>
        </is>
      </c>
      <c r="I402" s="18">
        <f>IF(H402="ILF",10,IF(H402="EIF",7,IF(H402="EI",4,IF(H402="EO",5,IF(H402="EQ",4,"")))))</f>
        <v/>
      </c>
      <c r="J402" s="18" t="inlineStr">
        <is>
          <t>低</t>
        </is>
      </c>
      <c r="K402" s="18">
        <f>IF(J402="高",0.33,IF(J402="中",0.67,IF(J402="低",1,"")))</f>
        <v/>
      </c>
      <c r="L402" s="18" t="inlineStr">
        <is>
          <t>新增</t>
        </is>
      </c>
      <c r="M402" s="18">
        <f>IF(L402="新增",1,IF(L402="修改",0.8,IF(L402="删除",0.2,"")))</f>
        <v/>
      </c>
      <c r="N402" s="18">
        <f>I402*K402*M402</f>
        <v/>
      </c>
    </row>
    <row r="403" ht="19" customHeight="1" s="1">
      <c r="B403" s="16" t="n">
        <v>398</v>
      </c>
      <c r="C403" s="16" t="inlineStr">
        <is>
          <t>定制化流式计算及IO计算及物模型配置</t>
        </is>
      </c>
      <c r="D403" s="16" t="inlineStr">
        <is>
          <t>边缘平台联动</t>
        </is>
      </c>
      <c r="E403" s="16" t="inlineStr">
        <is>
          <t>边缘运维服务</t>
        </is>
      </c>
      <c r="F403" s="16" t="inlineStr">
        <is>
          <t>边缘节点状态监控</t>
        </is>
      </c>
      <c r="G403" s="17" t="inlineStr">
        <is>
          <t xml:space="preserve"> 提供边缘节点运行状态监控服务</t>
        </is>
      </c>
      <c r="H403" s="18" t="inlineStr">
        <is>
          <t>EI</t>
        </is>
      </c>
      <c r="I403" s="18">
        <f>IF(H403="ILF",10,IF(H403="EIF",7,IF(H403="EI",4,IF(H403="EO",5,IF(H403="EQ",4,"")))))</f>
        <v/>
      </c>
      <c r="J403" s="18" t="inlineStr">
        <is>
          <t>低</t>
        </is>
      </c>
      <c r="K403" s="18">
        <f>IF(J403="高",0.33,IF(J403="中",0.67,IF(J403="低",1,"")))</f>
        <v/>
      </c>
      <c r="L403" s="18" t="inlineStr">
        <is>
          <t>新增</t>
        </is>
      </c>
      <c r="M403" s="18">
        <f>IF(L403="新增",1,IF(L403="修改",0.8,IF(L403="删除",0.2,"")))</f>
        <v/>
      </c>
      <c r="N403" s="18">
        <f>I403*K403*M403</f>
        <v/>
      </c>
    </row>
    <row r="404" ht="19" customHeight="1" s="1">
      <c r="B404" s="16" t="n">
        <v>399</v>
      </c>
      <c r="C404" s="16" t="inlineStr">
        <is>
          <t>定制化流式计算及IO计算及物模型配置</t>
        </is>
      </c>
      <c r="D404" s="16" t="inlineStr">
        <is>
          <t>边缘平台联动</t>
        </is>
      </c>
      <c r="E404" s="16" t="inlineStr">
        <is>
          <t>边缘运维服务</t>
        </is>
      </c>
      <c r="F404" s="16" t="inlineStr">
        <is>
          <t>边缘节点日志采集</t>
        </is>
      </c>
      <c r="G404" s="17" t="inlineStr">
        <is>
          <t xml:space="preserve"> 提供边缘节点日志采集服务</t>
        </is>
      </c>
      <c r="H404" s="18" t="inlineStr">
        <is>
          <t>EI</t>
        </is>
      </c>
      <c r="I404" s="18">
        <f>IF(H404="ILF",10,IF(H404="EIF",7,IF(H404="EI",4,IF(H404="EO",5,IF(H404="EQ",4,"")))))</f>
        <v/>
      </c>
      <c r="J404" s="18" t="inlineStr">
        <is>
          <t>低</t>
        </is>
      </c>
      <c r="K404" s="18">
        <f>IF(J404="高",0.33,IF(J404="中",0.67,IF(J404="低",1,"")))</f>
        <v/>
      </c>
      <c r="L404" s="18" t="inlineStr">
        <is>
          <t>新增</t>
        </is>
      </c>
      <c r="M404" s="18">
        <f>IF(L404="新增",1,IF(L404="修改",0.8,IF(L404="删除",0.2,"")))</f>
        <v/>
      </c>
      <c r="N404" s="18">
        <f>I404*K404*M404</f>
        <v/>
      </c>
    </row>
    <row r="405" ht="19" customHeight="1" s="1">
      <c r="B405" s="16" t="n">
        <v>400</v>
      </c>
      <c r="C405" s="16" t="inlineStr">
        <is>
          <t>定制化流式计算及IO计算及物模型配置</t>
        </is>
      </c>
      <c r="D405" s="16" t="inlineStr">
        <is>
          <t>规则配置服务</t>
        </is>
      </c>
      <c r="E405" s="16" t="inlineStr">
        <is>
          <t>规则调度服务</t>
        </is>
      </c>
      <c r="F405" s="16" t="inlineStr">
        <is>
          <t>规则执行计划配置</t>
        </is>
      </c>
      <c r="G405" s="17" t="inlineStr">
        <is>
          <t xml:space="preserve"> 提供规则执行计划配置服务</t>
        </is>
      </c>
      <c r="H405" s="18" t="inlineStr">
        <is>
          <t>EI</t>
        </is>
      </c>
      <c r="I405" s="18">
        <f>IF(H405="ILF",10,IF(H405="EIF",7,IF(H405="EI",4,IF(H405="EO",5,IF(H405="EQ",4,"")))))</f>
        <v/>
      </c>
      <c r="J405" s="18" t="inlineStr">
        <is>
          <t>低</t>
        </is>
      </c>
      <c r="K405" s="18">
        <f>IF(J405="高",0.33,IF(J405="中",0.67,IF(J405="低",1,"")))</f>
        <v/>
      </c>
      <c r="L405" s="18" t="inlineStr">
        <is>
          <t>新增</t>
        </is>
      </c>
      <c r="M405" s="18">
        <f>IF(L405="新增",1,IF(L405="修改",0.8,IF(L405="删除",0.2,"")))</f>
        <v/>
      </c>
      <c r="N405" s="18">
        <f>I405*K405*M405</f>
        <v/>
      </c>
    </row>
    <row r="406" ht="19" customHeight="1" s="1">
      <c r="B406" s="16" t="n">
        <v>401</v>
      </c>
      <c r="C406" s="16" t="inlineStr">
        <is>
          <t>定制化流式计算及IO计算及物模型配置</t>
        </is>
      </c>
      <c r="D406" s="16" t="inlineStr">
        <is>
          <t>规则配置服务</t>
        </is>
      </c>
      <c r="E406" s="16" t="inlineStr">
        <is>
          <t>油田场景规则模板</t>
        </is>
      </c>
      <c r="F406" s="16" t="inlineStr">
        <is>
          <t>抽油机工况模板</t>
        </is>
      </c>
      <c r="G406" s="17" t="inlineStr">
        <is>
          <t xml:space="preserve"> 提供抽油机工况诊断规则模板</t>
        </is>
      </c>
      <c r="H406" s="18" t="inlineStr">
        <is>
          <t>EI</t>
        </is>
      </c>
      <c r="I406" s="18">
        <f>IF(H406="ILF",10,IF(H406="EIF",7,IF(H406="EI",4,IF(H406="EO",5,IF(H406="EQ",4,"")))))</f>
        <v/>
      </c>
      <c r="J406" s="18" t="inlineStr">
        <is>
          <t>低</t>
        </is>
      </c>
      <c r="K406" s="18">
        <f>IF(J406="高",0.33,IF(J406="中",0.67,IF(J406="低",1,"")))</f>
        <v/>
      </c>
      <c r="L406" s="18" t="inlineStr">
        <is>
          <t>新增</t>
        </is>
      </c>
      <c r="M406" s="18">
        <f>IF(L406="新增",1,IF(L406="修改",0.8,IF(L406="删除",0.2,"")))</f>
        <v/>
      </c>
      <c r="N406" s="18">
        <f>I406*K406*M406</f>
        <v/>
      </c>
    </row>
    <row r="407" ht="19" customHeight="1" s="1">
      <c r="B407" s="16" t="n">
        <v>402</v>
      </c>
      <c r="C407" s="16" t="inlineStr">
        <is>
          <t>定制化流式计算及IO计算及物模型配置</t>
        </is>
      </c>
      <c r="D407" s="16" t="inlineStr">
        <is>
          <t>规则配置服务</t>
        </is>
      </c>
      <c r="E407" s="16" t="inlineStr">
        <is>
          <t>油田场景规则模板</t>
        </is>
      </c>
      <c r="F407" s="16" t="inlineStr">
        <is>
          <t>电泵井故障模板</t>
        </is>
      </c>
      <c r="G407" s="17" t="inlineStr">
        <is>
          <t xml:space="preserve"> 提供电泵井常见故障规则模板</t>
        </is>
      </c>
      <c r="H407" s="18" t="inlineStr">
        <is>
          <t>EI</t>
        </is>
      </c>
      <c r="I407" s="18">
        <f>IF(H407="ILF",10,IF(H407="EIF",7,IF(H407="EI",4,IF(H407="EO",5,IF(H407="EQ",4,"")))))</f>
        <v/>
      </c>
      <c r="J407" s="18" t="inlineStr">
        <is>
          <t>低</t>
        </is>
      </c>
      <c r="K407" s="18">
        <f>IF(J407="高",0.33,IF(J407="中",0.67,IF(J407="低",1,"")))</f>
        <v/>
      </c>
      <c r="L407" s="18" t="inlineStr">
        <is>
          <t>新增</t>
        </is>
      </c>
      <c r="M407" s="18">
        <f>IF(L407="新增",1,IF(L407="修改",0.8,IF(L407="删除",0.2,"")))</f>
        <v/>
      </c>
      <c r="N407" s="18">
        <f>I407*K407*M407</f>
        <v/>
      </c>
    </row>
    <row r="408" ht="19" customHeight="1" s="1">
      <c r="B408" s="16" t="n">
        <v>403</v>
      </c>
      <c r="C408" s="16" t="inlineStr">
        <is>
          <t>定制化流式计算及IO计算及物模型配置</t>
        </is>
      </c>
      <c r="D408" s="16" t="inlineStr">
        <is>
          <t>规则配置服务</t>
        </is>
      </c>
      <c r="E408" s="16" t="inlineStr">
        <is>
          <t>油田场景规则模板</t>
        </is>
      </c>
      <c r="F408" s="16" t="inlineStr">
        <is>
          <t>注入井异常模板</t>
        </is>
      </c>
      <c r="G408" s="17" t="inlineStr">
        <is>
          <t xml:space="preserve"> 提供注入井参数异常规则模板</t>
        </is>
      </c>
      <c r="H408" s="18" t="inlineStr">
        <is>
          <t>EI</t>
        </is>
      </c>
      <c r="I408" s="18">
        <f>IF(H408="ILF",10,IF(H408="EIF",7,IF(H408="EI",4,IF(H408="EO",5,IF(H408="EQ",4,"")))))</f>
        <v/>
      </c>
      <c r="J408" s="18" t="inlineStr">
        <is>
          <t>中</t>
        </is>
      </c>
      <c r="K408" s="18">
        <f>IF(J408="高",0.33,IF(J408="中",0.67,IF(J408="低",1,"")))</f>
        <v/>
      </c>
      <c r="L408" s="18" t="inlineStr">
        <is>
          <t>新增</t>
        </is>
      </c>
      <c r="M408" s="18">
        <f>IF(L408="新增",1,IF(L408="修改",0.8,IF(L408="删除",0.2,"")))</f>
        <v/>
      </c>
      <c r="N408" s="18">
        <f>I408*K408*M408</f>
        <v/>
      </c>
    </row>
    <row r="409" ht="19" customHeight="1" s="1">
      <c r="B409" s="16" t="n">
        <v>404</v>
      </c>
      <c r="C409" s="16" t="inlineStr">
        <is>
          <t>定制化流式计算及IO计算及物模型配置</t>
        </is>
      </c>
      <c r="D409" s="16" t="inlineStr">
        <is>
          <t>预存流式计算</t>
        </is>
      </c>
      <c r="E409" s="16" t="inlineStr">
        <is>
          <t>滑动平均</t>
        </is>
      </c>
      <c r="F409" s="16" t="inlineStr">
        <is>
          <t>平均超限检测</t>
        </is>
      </c>
      <c r="G409" s="17" t="inlineStr">
        <is>
          <t xml:space="preserve"> 提供窗口内平均值超阈值告警的滑动平均算法服务</t>
        </is>
      </c>
      <c r="H409" s="18" t="inlineStr">
        <is>
          <t>EI</t>
        </is>
      </c>
      <c r="I409" s="18">
        <f>IF(H409="ILF",10,IF(H409="EIF",7,IF(H409="EI",4,IF(H409="EO",5,IF(H409="EQ",4,"")))))</f>
        <v/>
      </c>
      <c r="J409" s="18" t="inlineStr">
        <is>
          <t>中</t>
        </is>
      </c>
      <c r="K409" s="18">
        <f>IF(J409="高",0.33,IF(J409="中",0.67,IF(J409="低",1,"")))</f>
        <v/>
      </c>
      <c r="L409" s="18" t="inlineStr">
        <is>
          <t>新增</t>
        </is>
      </c>
      <c r="M409" s="18">
        <f>IF(L409="新增",1,IF(L409="修改",0.8,IF(L409="删除",0.2,"")))</f>
        <v/>
      </c>
      <c r="N409" s="18">
        <f>I409*K409*M409</f>
        <v/>
      </c>
    </row>
    <row r="410" ht="19" customHeight="1" s="1">
      <c r="B410" s="16" t="n">
        <v>405</v>
      </c>
      <c r="C410" s="16" t="inlineStr">
        <is>
          <t>定制化流式计算及IO计算及物模型配置</t>
        </is>
      </c>
      <c r="D410" s="16" t="inlineStr">
        <is>
          <t>预存流式计算</t>
        </is>
      </c>
      <c r="E410" s="16" t="inlineStr">
        <is>
          <t>滑动平均</t>
        </is>
      </c>
      <c r="F410" s="16" t="inlineStr">
        <is>
          <t>窗口大小</t>
        </is>
      </c>
      <c r="G410" s="17" t="inlineStr">
        <is>
          <t xml:space="preserve"> 提供滑动窗口大小1~40组可配置服务</t>
        </is>
      </c>
      <c r="H410" s="18" t="inlineStr">
        <is>
          <t>EI</t>
        </is>
      </c>
      <c r="I410" s="18">
        <f>IF(H410="ILF",10,IF(H410="EIF",7,IF(H410="EI",4,IF(H410="EO",5,IF(H410="EQ",4,"")))))</f>
        <v/>
      </c>
      <c r="J410" s="18" t="inlineStr">
        <is>
          <t>中</t>
        </is>
      </c>
      <c r="K410" s="18">
        <f>IF(J410="高",0.33,IF(J410="中",0.67,IF(J410="低",1,"")))</f>
        <v/>
      </c>
      <c r="L410" s="18" t="inlineStr">
        <is>
          <t>新增</t>
        </is>
      </c>
      <c r="M410" s="18">
        <f>IF(L410="新增",1,IF(L410="修改",0.8,IF(L410="删除",0.2,"")))</f>
        <v/>
      </c>
      <c r="N410" s="18">
        <f>I410*K410*M410</f>
        <v/>
      </c>
    </row>
    <row r="411" ht="19" customHeight="1" s="1">
      <c r="B411" s="16" t="n">
        <v>406</v>
      </c>
      <c r="C411" s="16" t="inlineStr">
        <is>
          <t>定制化流式计算及IO计算及物模型配置</t>
        </is>
      </c>
      <c r="D411" s="16" t="inlineStr">
        <is>
          <t>预存流式计算</t>
        </is>
      </c>
      <c r="E411" s="16" t="inlineStr">
        <is>
          <t>滑动平均</t>
        </is>
      </c>
      <c r="F411" s="16" t="inlineStr">
        <is>
          <t>窗口步长</t>
        </is>
      </c>
      <c r="G411" s="17" t="inlineStr">
        <is>
          <t xml:space="preserve"> 提供滑动窗口移动步长参数配置服务</t>
        </is>
      </c>
      <c r="H411" s="18" t="inlineStr">
        <is>
          <t>EI</t>
        </is>
      </c>
      <c r="I411" s="18">
        <f>IF(H411="ILF",10,IF(H411="EIF",7,IF(H411="EI",4,IF(H411="EO",5,IF(H411="EQ",4,"")))))</f>
        <v/>
      </c>
      <c r="J411" s="18" t="inlineStr">
        <is>
          <t>中</t>
        </is>
      </c>
      <c r="K411" s="18">
        <f>IF(J411="高",0.33,IF(J411="中",0.67,IF(J411="低",1,"")))</f>
        <v/>
      </c>
      <c r="L411" s="18" t="inlineStr">
        <is>
          <t>新增</t>
        </is>
      </c>
      <c r="M411" s="18">
        <f>IF(L411="新增",1,IF(L411="修改",0.8,IF(L411="删除",0.2,"")))</f>
        <v/>
      </c>
      <c r="N411" s="18">
        <f>I411*K411*M411</f>
        <v/>
      </c>
    </row>
    <row r="412" ht="19" customHeight="1" s="1">
      <c r="B412" s="16" t="n">
        <v>407</v>
      </c>
      <c r="C412" s="16" t="inlineStr">
        <is>
          <t>定制化流式计算及IO计算及物模型配置</t>
        </is>
      </c>
      <c r="D412" s="16" t="inlineStr">
        <is>
          <t>预存流式计算</t>
        </is>
      </c>
      <c r="E412" s="16" t="inlineStr">
        <is>
          <t>滑动平均</t>
        </is>
      </c>
      <c r="F412" s="16" t="inlineStr">
        <is>
          <t>窗口缓存</t>
        </is>
      </c>
      <c r="G412" s="17" t="inlineStr">
        <is>
          <t xml:space="preserve"> 提供滑动窗口数据缓存管理服务</t>
        </is>
      </c>
      <c r="H412" s="18" t="inlineStr">
        <is>
          <t>EI</t>
        </is>
      </c>
      <c r="I412" s="18">
        <f>IF(H412="ILF",10,IF(H412="EIF",7,IF(H412="EI",4,IF(H412="EO",5,IF(H412="EQ",4,"")))))</f>
        <v/>
      </c>
      <c r="J412" s="18" t="inlineStr">
        <is>
          <t>中</t>
        </is>
      </c>
      <c r="K412" s="18">
        <f>IF(J412="高",0.33,IF(J412="中",0.67,IF(J412="低",1,"")))</f>
        <v/>
      </c>
      <c r="L412" s="18" t="inlineStr">
        <is>
          <t>新增</t>
        </is>
      </c>
      <c r="M412" s="18">
        <f>IF(L412="新增",1,IF(L412="修改",0.8,IF(L412="删除",0.2,"")))</f>
        <v/>
      </c>
      <c r="N412" s="18">
        <f>I412*K412*M412</f>
        <v/>
      </c>
    </row>
    <row r="413" ht="19" customHeight="1" s="1">
      <c r="B413" s="16" t="n">
        <v>408</v>
      </c>
      <c r="C413" s="16" t="inlineStr">
        <is>
          <t>定制化流式计算及IO计算及物模型配置</t>
        </is>
      </c>
      <c r="D413" s="16" t="inlineStr">
        <is>
          <t>预存流式计算</t>
        </is>
      </c>
      <c r="E413" s="16" t="inlineStr">
        <is>
          <t>滑动平均</t>
        </is>
      </c>
      <c r="F413" s="16" t="inlineStr">
        <is>
          <t>多参数滑窗</t>
        </is>
      </c>
      <c r="G413" s="17" t="inlineStr">
        <is>
          <t xml:space="preserve"> 提供多参数独立滑动窗口并行配置服务</t>
        </is>
      </c>
      <c r="H413" s="18" t="inlineStr">
        <is>
          <t>EI</t>
        </is>
      </c>
      <c r="I413" s="18">
        <f>IF(H413="ILF",10,IF(H413="EIF",7,IF(H413="EI",4,IF(H413="EO",5,IF(H413="EQ",4,"")))))</f>
        <v/>
      </c>
      <c r="J413" s="18" t="inlineStr">
        <is>
          <t>中</t>
        </is>
      </c>
      <c r="K413" s="18">
        <f>IF(J413="高",0.33,IF(J413="中",0.67,IF(J413="低",1,"")))</f>
        <v/>
      </c>
      <c r="L413" s="18" t="inlineStr">
        <is>
          <t>新增</t>
        </is>
      </c>
      <c r="M413" s="18">
        <f>IF(L413="新增",1,IF(L413="修改",0.8,IF(L413="删除",0.2,"")))</f>
        <v/>
      </c>
      <c r="N413" s="18">
        <f>I413*K413*M413</f>
        <v/>
      </c>
    </row>
    <row r="414" ht="19" customHeight="1" s="1">
      <c r="B414" s="16" t="n">
        <v>409</v>
      </c>
      <c r="C414" s="16" t="inlineStr">
        <is>
          <t>定制化流式计算及IO计算及物模型配置</t>
        </is>
      </c>
      <c r="D414" s="16" t="inlineStr">
        <is>
          <t>预存流式计算</t>
        </is>
      </c>
      <c r="E414" s="16" t="inlineStr">
        <is>
          <t>突变检测</t>
        </is>
      </c>
      <c r="F414" s="16" t="inlineStr">
        <is>
          <t>突变判定</t>
        </is>
      </c>
      <c r="G414" s="17" t="inlineStr">
        <is>
          <t xml:space="preserve"> 提供当前值与上一值差超阈值告警的突变检测服务</t>
        </is>
      </c>
      <c r="H414" s="18" t="inlineStr">
        <is>
          <t>EI</t>
        </is>
      </c>
      <c r="I414" s="18">
        <f>IF(H414="ILF",10,IF(H414="EIF",7,IF(H414="EI",4,IF(H414="EO",5,IF(H414="EQ",4,"")))))</f>
        <v/>
      </c>
      <c r="J414" s="18" t="inlineStr">
        <is>
          <t>中</t>
        </is>
      </c>
      <c r="K414" s="18">
        <f>IF(J414="高",0.33,IF(J414="中",0.67,IF(J414="低",1,"")))</f>
        <v/>
      </c>
      <c r="L414" s="18" t="inlineStr">
        <is>
          <t>新增</t>
        </is>
      </c>
      <c r="M414" s="18">
        <f>IF(L414="新增",1,IF(L414="修改",0.8,IF(L414="删除",0.2,"")))</f>
        <v/>
      </c>
      <c r="N414" s="18">
        <f>I414*K414*M414</f>
        <v/>
      </c>
    </row>
    <row r="415" ht="19" customHeight="1" s="1">
      <c r="B415" s="16" t="n">
        <v>410</v>
      </c>
      <c r="C415" s="16" t="inlineStr">
        <is>
          <t>定制化流式计算及IO计算及物模型配置</t>
        </is>
      </c>
      <c r="D415" s="16" t="inlineStr">
        <is>
          <t>预存流式计算</t>
        </is>
      </c>
      <c r="E415" s="16" t="inlineStr">
        <is>
          <t>突变检测</t>
        </is>
      </c>
      <c r="F415" s="16" t="inlineStr">
        <is>
          <t>突变方向</t>
        </is>
      </c>
      <c r="G415" s="17" t="inlineStr">
        <is>
          <t xml:space="preserve"> 提供向上/向下/双向突变方向配置服务</t>
        </is>
      </c>
      <c r="H415" s="18" t="inlineStr">
        <is>
          <t>EI</t>
        </is>
      </c>
      <c r="I415" s="18">
        <f>IF(H415="ILF",10,IF(H415="EIF",7,IF(H415="EI",4,IF(H415="EO",5,IF(H415="EQ",4,"")))))</f>
        <v/>
      </c>
      <c r="J415" s="18" t="inlineStr">
        <is>
          <t>中</t>
        </is>
      </c>
      <c r="K415" s="18">
        <f>IF(J415="高",0.33,IF(J415="中",0.67,IF(J415="低",1,"")))</f>
        <v/>
      </c>
      <c r="L415" s="18" t="inlineStr">
        <is>
          <t>新增</t>
        </is>
      </c>
      <c r="M415" s="18">
        <f>IF(L415="新增",1,IF(L415="修改",0.8,IF(L415="删除",0.2,"")))</f>
        <v/>
      </c>
      <c r="N415" s="18">
        <f>I415*K415*M415</f>
        <v/>
      </c>
    </row>
    <row r="416" ht="19" customHeight="1" s="1">
      <c r="B416" s="16" t="n">
        <v>411</v>
      </c>
      <c r="C416" s="16" t="inlineStr">
        <is>
          <t>定制化流式计算及IO计算及物模型配置</t>
        </is>
      </c>
      <c r="D416" s="16" t="inlineStr">
        <is>
          <t>预存流式计算</t>
        </is>
      </c>
      <c r="E416" s="16" t="inlineStr">
        <is>
          <t>突变检测</t>
        </is>
      </c>
      <c r="F416" s="16" t="inlineStr">
        <is>
          <t>突变阈值</t>
        </is>
      </c>
      <c r="G416" s="17" t="inlineStr">
        <is>
          <t xml:space="preserve"> 提供突变幅度阈值参数配置服务</t>
        </is>
      </c>
      <c r="H416" s="18" t="inlineStr">
        <is>
          <t>EI</t>
        </is>
      </c>
      <c r="I416" s="18">
        <f>IF(H416="ILF",10,IF(H416="EIF",7,IF(H416="EI",4,IF(H416="EO",5,IF(H416="EQ",4,"")))))</f>
        <v/>
      </c>
      <c r="J416" s="18" t="inlineStr">
        <is>
          <t>中</t>
        </is>
      </c>
      <c r="K416" s="18">
        <f>IF(J416="高",0.33,IF(J416="中",0.67,IF(J416="低",1,"")))</f>
        <v/>
      </c>
      <c r="L416" s="18" t="inlineStr">
        <is>
          <t>新增</t>
        </is>
      </c>
      <c r="M416" s="18">
        <f>IF(L416="新增",1,IF(L416="修改",0.8,IF(L416="删除",0.2,"")))</f>
        <v/>
      </c>
      <c r="N416" s="18">
        <f>I416*K416*M416</f>
        <v/>
      </c>
    </row>
    <row r="417" ht="19" customHeight="1" s="1">
      <c r="B417" s="16" t="n">
        <v>412</v>
      </c>
      <c r="C417" s="16" t="inlineStr">
        <is>
          <t>定制化流式计算及IO计算及物模型配置</t>
        </is>
      </c>
      <c r="D417" s="16" t="inlineStr">
        <is>
          <t>预存流式计算</t>
        </is>
      </c>
      <c r="E417" s="16" t="inlineStr">
        <is>
          <t>突变检测</t>
        </is>
      </c>
      <c r="F417" s="16" t="inlineStr">
        <is>
          <t>相邻点</t>
        </is>
      </c>
      <c r="G417" s="17" t="inlineStr">
        <is>
          <t xml:space="preserve"> 提供比较相邻点数量1~5可配置服务</t>
        </is>
      </c>
      <c r="H417" s="18" t="inlineStr">
        <is>
          <t>EI</t>
        </is>
      </c>
      <c r="I417" s="18">
        <f>IF(H417="ILF",10,IF(H417="EIF",7,IF(H417="EI",4,IF(H417="EO",5,IF(H417="EQ",4,"")))))</f>
        <v/>
      </c>
      <c r="J417" s="18" t="inlineStr">
        <is>
          <t>中</t>
        </is>
      </c>
      <c r="K417" s="18">
        <f>IF(J417="高",0.33,IF(J417="中",0.67,IF(J417="低",1,"")))</f>
        <v/>
      </c>
      <c r="L417" s="18" t="inlineStr">
        <is>
          <t>新增</t>
        </is>
      </c>
      <c r="M417" s="18">
        <f>IF(L417="新增",1,IF(L417="修改",0.8,IF(L417="删除",0.2,"")))</f>
        <v/>
      </c>
      <c r="N417" s="18">
        <f>I417*K417*M417</f>
        <v/>
      </c>
    </row>
    <row r="418" ht="19" customHeight="1" s="1">
      <c r="B418" s="16" t="n">
        <v>413</v>
      </c>
      <c r="C418" s="16" t="inlineStr">
        <is>
          <t>定制化流式计算及IO计算及物模型配置</t>
        </is>
      </c>
      <c r="D418" s="16" t="inlineStr">
        <is>
          <t>预存流式计算</t>
        </is>
      </c>
      <c r="E418" s="16" t="inlineStr">
        <is>
          <t>突变检测</t>
        </is>
      </c>
      <c r="F418" s="16" t="inlineStr">
        <is>
          <t>灵敏度</t>
        </is>
      </c>
      <c r="G418" s="17" t="inlineStr">
        <is>
          <t xml:space="preserve"> 提供突变检测灵敏度和死区参数配置服务</t>
        </is>
      </c>
      <c r="H418" s="18" t="inlineStr">
        <is>
          <t>EI</t>
        </is>
      </c>
      <c r="I418" s="18">
        <f>IF(H418="ILF",10,IF(H418="EIF",7,IF(H418="EI",4,IF(H418="EO",5,IF(H418="EQ",4,"")))))</f>
        <v/>
      </c>
      <c r="J418" s="18" t="inlineStr">
        <is>
          <t>中</t>
        </is>
      </c>
      <c r="K418" s="18">
        <f>IF(J418="高",0.33,IF(J418="中",0.67,IF(J418="低",1,"")))</f>
        <v/>
      </c>
      <c r="L418" s="18" t="inlineStr">
        <is>
          <t>新增</t>
        </is>
      </c>
      <c r="M418" s="18">
        <f>IF(L418="新增",1,IF(L418="修改",0.8,IF(L418="删除",0.2,"")))</f>
        <v/>
      </c>
      <c r="N418" s="18">
        <f>I418*K418*M418</f>
        <v/>
      </c>
    </row>
    <row r="419" ht="19" customHeight="1" s="1">
      <c r="B419" s="16" t="n">
        <v>414</v>
      </c>
      <c r="C419" s="16" t="inlineStr">
        <is>
          <t>定制化流式计算及IO计算及物模型配置</t>
        </is>
      </c>
      <c r="D419" s="16" t="inlineStr">
        <is>
          <t>预存流式计算</t>
        </is>
      </c>
      <c r="E419" s="16" t="inlineStr">
        <is>
          <t>趋势检测</t>
        </is>
      </c>
      <c r="F419" s="16" t="inlineStr">
        <is>
          <t>上升趋势</t>
        </is>
      </c>
      <c r="G419" s="17" t="inlineStr">
        <is>
          <t xml:space="preserve"> 提供连续N点同方向上升趋势检测服务</t>
        </is>
      </c>
      <c r="H419" s="18" t="inlineStr">
        <is>
          <t>EI</t>
        </is>
      </c>
      <c r="I419" s="18">
        <f>IF(H419="ILF",10,IF(H419="EIF",7,IF(H419="EI",4,IF(H419="EO",5,IF(H419="EQ",4,"")))))</f>
        <v/>
      </c>
      <c r="J419" s="18" t="inlineStr">
        <is>
          <t>中</t>
        </is>
      </c>
      <c r="K419" s="18">
        <f>IF(J419="高",0.33,IF(J419="中",0.67,IF(J419="低",1,"")))</f>
        <v/>
      </c>
      <c r="L419" s="18" t="inlineStr">
        <is>
          <t>新增</t>
        </is>
      </c>
      <c r="M419" s="18">
        <f>IF(L419="新增",1,IF(L419="修改",0.8,IF(L419="删除",0.2,"")))</f>
        <v/>
      </c>
      <c r="N419" s="18">
        <f>I419*K419*M419</f>
        <v/>
      </c>
    </row>
    <row r="420" ht="19" customHeight="1" s="1">
      <c r="B420" s="16" t="n">
        <v>415</v>
      </c>
      <c r="C420" s="16" t="inlineStr">
        <is>
          <t>定制化流式计算及IO计算及物模型配置</t>
        </is>
      </c>
      <c r="D420" s="16" t="inlineStr">
        <is>
          <t>预存流式计算</t>
        </is>
      </c>
      <c r="E420" s="16" t="inlineStr">
        <is>
          <t>趋势检测</t>
        </is>
      </c>
      <c r="F420" s="16" t="inlineStr">
        <is>
          <t>下降趋势</t>
        </is>
      </c>
      <c r="G420" s="17" t="inlineStr">
        <is>
          <t xml:space="preserve"> 提供连续N点同方向下降趋势检测服务</t>
        </is>
      </c>
      <c r="H420" s="18" t="inlineStr">
        <is>
          <t>EI</t>
        </is>
      </c>
      <c r="I420" s="18">
        <f>IF(H420="ILF",10,IF(H420="EIF",7,IF(H420="EI",4,IF(H420="EO",5,IF(H420="EQ",4,"")))))</f>
        <v/>
      </c>
      <c r="J420" s="18" t="inlineStr">
        <is>
          <t>中</t>
        </is>
      </c>
      <c r="K420" s="18">
        <f>IF(J420="高",0.33,IF(J420="中",0.67,IF(J420="低",1,"")))</f>
        <v/>
      </c>
      <c r="L420" s="18" t="inlineStr">
        <is>
          <t>新增</t>
        </is>
      </c>
      <c r="M420" s="18">
        <f>IF(L420="新增",1,IF(L420="修改",0.8,IF(L420="删除",0.2,"")))</f>
        <v/>
      </c>
      <c r="N420" s="18">
        <f>I420*K420*M420</f>
        <v/>
      </c>
    </row>
    <row r="421" ht="19" customHeight="1" s="1">
      <c r="B421" s="16" t="n">
        <v>416</v>
      </c>
      <c r="C421" s="16" t="inlineStr">
        <is>
          <t>定制化流式计算及IO计算及物模型配置</t>
        </is>
      </c>
      <c r="D421" s="16" t="inlineStr">
        <is>
          <t>预存流式计算</t>
        </is>
      </c>
      <c r="E421" s="16" t="inlineStr">
        <is>
          <t>趋势检测</t>
        </is>
      </c>
      <c r="F421" s="16" t="inlineStr">
        <is>
          <t>连续点数</t>
        </is>
      </c>
      <c r="G421" s="17" t="inlineStr">
        <is>
          <t xml:space="preserve"> 提供趋势判定所需连续点数N参数配置服务</t>
        </is>
      </c>
      <c r="H421" s="18" t="inlineStr">
        <is>
          <t>EI</t>
        </is>
      </c>
      <c r="I421" s="18">
        <f>IF(H421="ILF",10,IF(H421="EIF",7,IF(H421="EI",4,IF(H421="EO",5,IF(H421="EQ",4,"")))))</f>
        <v/>
      </c>
      <c r="J421" s="18" t="inlineStr">
        <is>
          <t>中</t>
        </is>
      </c>
      <c r="K421" s="18">
        <f>IF(J421="高",0.33,IF(J421="中",0.67,IF(J421="低",1,"")))</f>
        <v/>
      </c>
      <c r="L421" s="18" t="inlineStr">
        <is>
          <t>新增</t>
        </is>
      </c>
      <c r="M421" s="18">
        <f>IF(L421="新增",1,IF(L421="修改",0.8,IF(L421="删除",0.2,"")))</f>
        <v/>
      </c>
      <c r="N421" s="18">
        <f>I421*K421*M421</f>
        <v/>
      </c>
    </row>
    <row r="422" ht="19" customHeight="1" s="1">
      <c r="B422" s="16" t="n">
        <v>417</v>
      </c>
      <c r="C422" s="16" t="inlineStr">
        <is>
          <t>定制化流式计算及IO计算及物模型配置</t>
        </is>
      </c>
      <c r="D422" s="16" t="inlineStr">
        <is>
          <t>预存流式计算</t>
        </is>
      </c>
      <c r="E422" s="16" t="inlineStr">
        <is>
          <t>趋势检测</t>
        </is>
      </c>
      <c r="F422" s="16" t="inlineStr">
        <is>
          <t>变化幅度</t>
        </is>
      </c>
      <c r="G422" s="17" t="inlineStr">
        <is>
          <t xml:space="preserve"> 提供趋势最小变化幅度阈值配置服务</t>
        </is>
      </c>
      <c r="H422" s="18" t="inlineStr">
        <is>
          <t>EI</t>
        </is>
      </c>
      <c r="I422" s="18">
        <f>IF(H422="ILF",10,IF(H422="EIF",7,IF(H422="EI",4,IF(H422="EO",5,IF(H422="EQ",4,"")))))</f>
        <v/>
      </c>
      <c r="J422" s="18" t="inlineStr">
        <is>
          <t>中</t>
        </is>
      </c>
      <c r="K422" s="18">
        <f>IF(J422="高",0.33,IF(J422="中",0.67,IF(J422="低",1,"")))</f>
        <v/>
      </c>
      <c r="L422" s="18" t="inlineStr">
        <is>
          <t>新增</t>
        </is>
      </c>
      <c r="M422" s="18">
        <f>IF(L422="新增",1,IF(L422="修改",0.8,IF(L422="删除",0.2,"")))</f>
        <v/>
      </c>
      <c r="N422" s="18">
        <f>I422*K422*M422</f>
        <v/>
      </c>
    </row>
    <row r="423" ht="19" customHeight="1" s="1">
      <c r="B423" s="16" t="n">
        <v>418</v>
      </c>
      <c r="C423" s="16" t="inlineStr">
        <is>
          <t>定制化流式计算及IO计算及物模型配置</t>
        </is>
      </c>
      <c r="D423" s="16" t="inlineStr">
        <is>
          <t>预存流式计算</t>
        </is>
      </c>
      <c r="E423" s="16" t="inlineStr">
        <is>
          <t>趋势检测</t>
        </is>
      </c>
      <c r="F423" s="16" t="inlineStr">
        <is>
          <t>多趋势</t>
        </is>
      </c>
      <c r="G423" s="17" t="inlineStr">
        <is>
          <t xml:space="preserve"> 提供同参数同时检测上升/下降趋势服务</t>
        </is>
      </c>
      <c r="H423" s="18" t="inlineStr">
        <is>
          <t>EI</t>
        </is>
      </c>
      <c r="I423" s="18">
        <f>IF(H423="ILF",10,IF(H423="EIF",7,IF(H423="EI",4,IF(H423="EO",5,IF(H423="EQ",4,"")))))</f>
        <v/>
      </c>
      <c r="J423" s="18" t="inlineStr">
        <is>
          <t>中</t>
        </is>
      </c>
      <c r="K423" s="18">
        <f>IF(J423="高",0.33,IF(J423="中",0.67,IF(J423="低",1,"")))</f>
        <v/>
      </c>
      <c r="L423" s="18" t="inlineStr">
        <is>
          <t>新增</t>
        </is>
      </c>
      <c r="M423" s="18">
        <f>IF(L423="新增",1,IF(L423="修改",0.8,IF(L423="删除",0.2,"")))</f>
        <v/>
      </c>
      <c r="N423" s="18">
        <f>I423*K423*M423</f>
        <v/>
      </c>
    </row>
    <row r="424" ht="19" customHeight="1" s="1">
      <c r="B424" s="16" t="n">
        <v>419</v>
      </c>
      <c r="C424" s="16" t="inlineStr">
        <is>
          <t>定制化流式计算及IO计算及物模型配置</t>
        </is>
      </c>
      <c r="D424" s="16" t="inlineStr">
        <is>
          <t>预存流式计算</t>
        </is>
      </c>
      <c r="E424" s="16" t="inlineStr">
        <is>
          <t>波动分析</t>
        </is>
      </c>
      <c r="F424" s="16" t="inlineStr">
        <is>
          <t>标准差</t>
        </is>
      </c>
      <c r="G424" s="17" t="inlineStr">
        <is>
          <t xml:space="preserve"> 提供窗口内标准差超阈值告警的波动分析服务</t>
        </is>
      </c>
      <c r="H424" s="18" t="inlineStr">
        <is>
          <t>EI</t>
        </is>
      </c>
      <c r="I424" s="18">
        <f>IF(H424="ILF",10,IF(H424="EIF",7,IF(H424="EI",4,IF(H424="EO",5,IF(H424="EQ",4,"")))))</f>
        <v/>
      </c>
      <c r="J424" s="18" t="inlineStr">
        <is>
          <t>中</t>
        </is>
      </c>
      <c r="K424" s="18">
        <f>IF(J424="高",0.33,IF(J424="中",0.67,IF(J424="低",1,"")))</f>
        <v/>
      </c>
      <c r="L424" s="18" t="inlineStr">
        <is>
          <t>新增</t>
        </is>
      </c>
      <c r="M424" s="18">
        <f>IF(L424="新增",1,IF(L424="修改",0.8,IF(L424="删除",0.2,"")))</f>
        <v/>
      </c>
      <c r="N424" s="18">
        <f>I424*K424*M424</f>
        <v/>
      </c>
    </row>
    <row r="425" ht="19" customHeight="1" s="1">
      <c r="B425" s="16" t="n">
        <v>420</v>
      </c>
      <c r="C425" s="16" t="inlineStr">
        <is>
          <t>定制化流式计算及IO计算及物模型配置</t>
        </is>
      </c>
      <c r="D425" s="16" t="inlineStr">
        <is>
          <t>预存流式计算</t>
        </is>
      </c>
      <c r="E425" s="16" t="inlineStr">
        <is>
          <t>波动分析</t>
        </is>
      </c>
      <c r="F425" s="16" t="inlineStr">
        <is>
          <t>波动阈值</t>
        </is>
      </c>
      <c r="G425" s="17" t="inlineStr">
        <is>
          <t xml:space="preserve"> 提供波动分析标准差阈值参数配置服务</t>
        </is>
      </c>
      <c r="H425" s="18" t="inlineStr">
        <is>
          <t>EI</t>
        </is>
      </c>
      <c r="I425" s="18">
        <f>IF(H425="ILF",10,IF(H425="EIF",7,IF(H425="EI",4,IF(H425="EO",5,IF(H425="EQ",4,"")))))</f>
        <v/>
      </c>
      <c r="J425" s="18" t="inlineStr">
        <is>
          <t>中</t>
        </is>
      </c>
      <c r="K425" s="18">
        <f>IF(J425="高",0.33,IF(J425="中",0.67,IF(J425="低",1,"")))</f>
        <v/>
      </c>
      <c r="L425" s="18" t="inlineStr">
        <is>
          <t>新增</t>
        </is>
      </c>
      <c r="M425" s="18">
        <f>IF(L425="新增",1,IF(L425="修改",0.8,IF(L425="删除",0.2,"")))</f>
        <v/>
      </c>
      <c r="N425" s="18">
        <f>I425*K425*M425</f>
        <v/>
      </c>
    </row>
    <row r="426" ht="19" customHeight="1" s="1">
      <c r="B426" s="16" t="n">
        <v>421</v>
      </c>
      <c r="C426" s="16" t="inlineStr">
        <is>
          <t>定制化流式计算及IO计算及物模型配置</t>
        </is>
      </c>
      <c r="D426" s="16" t="inlineStr">
        <is>
          <t>预存流式计算</t>
        </is>
      </c>
      <c r="E426" s="16" t="inlineStr">
        <is>
          <t>波动分析</t>
        </is>
      </c>
      <c r="F426" s="16" t="inlineStr">
        <is>
          <t>RMS监测</t>
        </is>
      </c>
      <c r="G426" s="17" t="inlineStr">
        <is>
          <t xml:space="preserve"> 提供窗口内均方根RMS超阈值检测服务</t>
        </is>
      </c>
      <c r="H426" s="18" t="inlineStr">
        <is>
          <t>EI</t>
        </is>
      </c>
      <c r="I426" s="18">
        <f>IF(H426="ILF",10,IF(H426="EIF",7,IF(H426="EI",4,IF(H426="EO",5,IF(H426="EQ",4,"")))))</f>
        <v/>
      </c>
      <c r="J426" s="18" t="inlineStr">
        <is>
          <t>中</t>
        </is>
      </c>
      <c r="K426" s="18">
        <f>IF(J426="高",0.33,IF(J426="中",0.67,IF(J426="低",1,"")))</f>
        <v/>
      </c>
      <c r="L426" s="18" t="inlineStr">
        <is>
          <t>新增</t>
        </is>
      </c>
      <c r="M426" s="18">
        <f>IF(L426="新增",1,IF(L426="修改",0.8,IF(L426="删除",0.2,"")))</f>
        <v/>
      </c>
      <c r="N426" s="18">
        <f>I426*K426*M426</f>
        <v/>
      </c>
    </row>
    <row r="427" ht="19" customHeight="1" s="1">
      <c r="B427" s="16" t="n">
        <v>422</v>
      </c>
      <c r="C427" s="16" t="inlineStr">
        <is>
          <t>定制化流式计算及IO计算及物模型配置</t>
        </is>
      </c>
      <c r="D427" s="16" t="inlineStr">
        <is>
          <t>预存流式计算</t>
        </is>
      </c>
      <c r="E427" s="16" t="inlineStr">
        <is>
          <t>波动分析</t>
        </is>
      </c>
      <c r="F427" s="16" t="inlineStr">
        <is>
          <t>CV监测</t>
        </is>
      </c>
      <c r="G427" s="17" t="inlineStr">
        <is>
          <t xml:space="preserve"> 提供窗口内变异系数CV超阈值检测服务</t>
        </is>
      </c>
      <c r="H427" s="18" t="inlineStr">
        <is>
          <t>EI</t>
        </is>
      </c>
      <c r="I427" s="18">
        <f>IF(H427="ILF",10,IF(H427="EIF",7,IF(H427="EI",4,IF(H427="EO",5,IF(H427="EQ",4,"")))))</f>
        <v/>
      </c>
      <c r="J427" s="18" t="inlineStr">
        <is>
          <t>中</t>
        </is>
      </c>
      <c r="K427" s="18">
        <f>IF(J427="高",0.33,IF(J427="中",0.67,IF(J427="低",1,"")))</f>
        <v/>
      </c>
      <c r="L427" s="18" t="inlineStr">
        <is>
          <t>新增</t>
        </is>
      </c>
      <c r="M427" s="18">
        <f>IF(L427="新增",1,IF(L427="修改",0.8,IF(L427="删除",0.2,"")))</f>
        <v/>
      </c>
      <c r="N427" s="18">
        <f>I427*K427*M427</f>
        <v/>
      </c>
    </row>
    <row r="428" ht="19" customHeight="1" s="1">
      <c r="B428" s="16" t="n">
        <v>423</v>
      </c>
      <c r="C428" s="16" t="inlineStr">
        <is>
          <t>定制化流式计算及IO计算及物模型配置</t>
        </is>
      </c>
      <c r="D428" s="16" t="inlineStr">
        <is>
          <t>预存流式计算</t>
        </is>
      </c>
      <c r="E428" s="16" t="inlineStr">
        <is>
          <t>波动分析</t>
        </is>
      </c>
      <c r="F428" s="16" t="inlineStr">
        <is>
          <t>基准值</t>
        </is>
      </c>
      <c r="G428" s="17" t="inlineStr">
        <is>
          <t xml:space="preserve"> 提供波动分析基准值参数配置服务</t>
        </is>
      </c>
      <c r="H428" s="18" t="inlineStr">
        <is>
          <t>EI</t>
        </is>
      </c>
      <c r="I428" s="18">
        <f>IF(H428="ILF",10,IF(H428="EIF",7,IF(H428="EI",4,IF(H428="EO",5,IF(H428="EQ",4,"")))))</f>
        <v/>
      </c>
      <c r="J428" s="18" t="inlineStr">
        <is>
          <t>中</t>
        </is>
      </c>
      <c r="K428" s="18">
        <f>IF(J428="高",0.33,IF(J428="中",0.67,IF(J428="低",1,"")))</f>
        <v/>
      </c>
      <c r="L428" s="18" t="inlineStr">
        <is>
          <t>新增</t>
        </is>
      </c>
      <c r="M428" s="18">
        <f>IF(L428="新增",1,IF(L428="修改",0.8,IF(L428="删除",0.2,"")))</f>
        <v/>
      </c>
      <c r="N428" s="18">
        <f>I428*K428*M428</f>
        <v/>
      </c>
    </row>
    <row r="429" ht="19" customHeight="1" s="1">
      <c r="B429" s="16" t="n">
        <v>424</v>
      </c>
      <c r="C429" s="16" t="inlineStr">
        <is>
          <t>定制化流式计算及IO计算及物模型配置</t>
        </is>
      </c>
      <c r="D429" s="16" t="inlineStr">
        <is>
          <t>预存流式计算</t>
        </is>
      </c>
      <c r="E429" s="16" t="inlineStr">
        <is>
          <t>超限与范围</t>
        </is>
      </c>
      <c r="F429" s="16" t="inlineStr">
        <is>
          <t>超限次数</t>
        </is>
      </c>
      <c r="G429" s="17" t="inlineStr">
        <is>
          <t xml:space="preserve"> 提供窗口内超限次数统计触发告警服务</t>
        </is>
      </c>
      <c r="H429" s="18" t="inlineStr">
        <is>
          <t>EI</t>
        </is>
      </c>
      <c r="I429" s="18">
        <f>IF(H429="ILF",10,IF(H429="EIF",7,IF(H429="EI",4,IF(H429="EO",5,IF(H429="EQ",4,"")))))</f>
        <v/>
      </c>
      <c r="J429" s="18" t="inlineStr">
        <is>
          <t>中</t>
        </is>
      </c>
      <c r="K429" s="18">
        <f>IF(J429="高",0.33,IF(J429="中",0.67,IF(J429="低",1,"")))</f>
        <v/>
      </c>
      <c r="L429" s="18" t="inlineStr">
        <is>
          <t>新增</t>
        </is>
      </c>
      <c r="M429" s="18">
        <f>IF(L429="新增",1,IF(L429="修改",0.8,IF(L429="删除",0.2,"")))</f>
        <v/>
      </c>
      <c r="N429" s="18">
        <f>I429*K429*M429</f>
        <v/>
      </c>
    </row>
    <row r="430" ht="19" customHeight="1" s="1">
      <c r="B430" s="16" t="n">
        <v>425</v>
      </c>
      <c r="C430" s="16" t="inlineStr">
        <is>
          <t>定制化流式计算及IO计算及物模型配置</t>
        </is>
      </c>
      <c r="D430" s="16" t="inlineStr">
        <is>
          <t>预存流式计算</t>
        </is>
      </c>
      <c r="E430" s="16" t="inlineStr">
        <is>
          <t>超限与范围</t>
        </is>
      </c>
      <c r="F430" s="16" t="inlineStr">
        <is>
          <t>超限阈值</t>
        </is>
      </c>
      <c r="G430" s="17" t="inlineStr">
        <is>
          <t xml:space="preserve"> 提供超限次数触发阈值参数配置服务</t>
        </is>
      </c>
      <c r="H430" s="18" t="inlineStr">
        <is>
          <t>EI</t>
        </is>
      </c>
      <c r="I430" s="18">
        <f>IF(H430="ILF",10,IF(H430="EIF",7,IF(H430="EI",4,IF(H430="EO",5,IF(H430="EQ",4,"")))))</f>
        <v/>
      </c>
      <c r="J430" s="18" t="inlineStr">
        <is>
          <t>中</t>
        </is>
      </c>
      <c r="K430" s="18">
        <f>IF(J430="高",0.33,IF(J430="中",0.67,IF(J430="低",1,"")))</f>
        <v/>
      </c>
      <c r="L430" s="18" t="inlineStr">
        <is>
          <t>新增</t>
        </is>
      </c>
      <c r="M430" s="18">
        <f>IF(L430="新增",1,IF(L430="修改",0.8,IF(L430="删除",0.2,"")))</f>
        <v/>
      </c>
      <c r="N430" s="18">
        <f>I430*K430*M430</f>
        <v/>
      </c>
    </row>
    <row r="431" ht="19" customHeight="1" s="1">
      <c r="B431" s="16" t="n">
        <v>426</v>
      </c>
      <c r="C431" s="16" t="inlineStr">
        <is>
          <t>定制化流式计算及IO计算及物模型配置</t>
        </is>
      </c>
      <c r="D431" s="16" t="inlineStr">
        <is>
          <t>预存流式计算</t>
        </is>
      </c>
      <c r="E431" s="16" t="inlineStr">
        <is>
          <t>超限与范围</t>
        </is>
      </c>
      <c r="F431" s="16" t="inlineStr">
        <is>
          <t>超限百分比</t>
        </is>
      </c>
      <c r="G431" s="17" t="inlineStr">
        <is>
          <t xml:space="preserve"> 提供窗口内超限百分比统计触发告警服务</t>
        </is>
      </c>
      <c r="H431" s="18" t="inlineStr">
        <is>
          <t>EI</t>
        </is>
      </c>
      <c r="I431" s="18">
        <f>IF(H431="ILF",10,IF(H431="EIF",7,IF(H431="EI",4,IF(H431="EO",5,IF(H431="EQ",4,"")))))</f>
        <v/>
      </c>
      <c r="J431" s="18" t="inlineStr">
        <is>
          <t>中</t>
        </is>
      </c>
      <c r="K431" s="18">
        <f>IF(J431="高",0.33,IF(J431="中",0.67,IF(J431="低",1,"")))</f>
        <v/>
      </c>
      <c r="L431" s="18" t="inlineStr">
        <is>
          <t>新增</t>
        </is>
      </c>
      <c r="M431" s="18">
        <f>IF(L431="新增",1,IF(L431="修改",0.8,IF(L431="删除",0.2,"")))</f>
        <v/>
      </c>
      <c r="N431" s="18">
        <f>I431*K431*M431</f>
        <v/>
      </c>
    </row>
    <row r="432" ht="19" customHeight="1" s="1">
      <c r="B432" s="16" t="n">
        <v>427</v>
      </c>
      <c r="C432" s="16" t="inlineStr">
        <is>
          <t>定制化流式计算及IO计算及物模型配置</t>
        </is>
      </c>
      <c r="D432" s="16" t="inlineStr">
        <is>
          <t>预存流式计算</t>
        </is>
      </c>
      <c r="E432" s="16" t="inlineStr">
        <is>
          <t>超限与范围</t>
        </is>
      </c>
      <c r="F432" s="16" t="inlineStr">
        <is>
          <t>min检测</t>
        </is>
      </c>
      <c r="G432" s="17" t="inlineStr">
        <is>
          <t xml:space="preserve"> 提供数据低于min范围的检测算法服务</t>
        </is>
      </c>
      <c r="H432" s="18" t="inlineStr">
        <is>
          <t>EI</t>
        </is>
      </c>
      <c r="I432" s="18">
        <f>IF(H432="ILF",10,IF(H432="EIF",7,IF(H432="EI",4,IF(H432="EO",5,IF(H432="EQ",4,"")))))</f>
        <v/>
      </c>
      <c r="J432" s="18" t="inlineStr">
        <is>
          <t>中</t>
        </is>
      </c>
      <c r="K432" s="18">
        <f>IF(J432="高",0.33,IF(J432="中",0.67,IF(J432="低",1,"")))</f>
        <v/>
      </c>
      <c r="L432" s="18" t="inlineStr">
        <is>
          <t>新增</t>
        </is>
      </c>
      <c r="M432" s="18">
        <f>IF(L432="新增",1,IF(L432="修改",0.8,IF(L432="删除",0.2,"")))</f>
        <v/>
      </c>
      <c r="N432" s="18">
        <f>I432*K432*M432</f>
        <v/>
      </c>
    </row>
    <row r="433" ht="19" customHeight="1" s="1">
      <c r="B433" s="16" t="n">
        <v>428</v>
      </c>
      <c r="C433" s="16" t="inlineStr">
        <is>
          <t>定制化流式计算及IO计算及物模型配置</t>
        </is>
      </c>
      <c r="D433" s="16" t="inlineStr">
        <is>
          <t>预存流式计算</t>
        </is>
      </c>
      <c r="E433" s="16" t="inlineStr">
        <is>
          <t>超限与范围</t>
        </is>
      </c>
      <c r="F433" s="16" t="inlineStr">
        <is>
          <t>max检测</t>
        </is>
      </c>
      <c r="G433" s="17" t="inlineStr">
        <is>
          <t xml:space="preserve"> 提供数据超过max范围的检测算法服务</t>
        </is>
      </c>
      <c r="H433" s="18" t="inlineStr">
        <is>
          <t>EI</t>
        </is>
      </c>
      <c r="I433" s="18">
        <f>IF(H433="ILF",10,IF(H433="EIF",7,IF(H433="EI",4,IF(H433="EO",5,IF(H433="EQ",4,"")))))</f>
        <v/>
      </c>
      <c r="J433" s="18" t="inlineStr">
        <is>
          <t>中</t>
        </is>
      </c>
      <c r="K433" s="18">
        <f>IF(J433="高",0.33,IF(J433="中",0.67,IF(J433="低",1,"")))</f>
        <v/>
      </c>
      <c r="L433" s="18" t="inlineStr">
        <is>
          <t>新增</t>
        </is>
      </c>
      <c r="M433" s="18">
        <f>IF(L433="新增",1,IF(L433="修改",0.8,IF(L433="删除",0.2,"")))</f>
        <v/>
      </c>
      <c r="N433" s="18">
        <f>I433*K433*M433</f>
        <v/>
      </c>
    </row>
    <row r="434" ht="19" customHeight="1" s="1">
      <c r="B434" s="16" t="n">
        <v>429</v>
      </c>
      <c r="C434" s="16" t="inlineStr">
        <is>
          <t>定制化流式计算及IO计算及物模型配置</t>
        </is>
      </c>
      <c r="D434" s="16" t="inlineStr">
        <is>
          <t>预存流式计算</t>
        </is>
      </c>
      <c r="E434" s="16" t="inlineStr">
        <is>
          <t>超限与范围</t>
        </is>
      </c>
      <c r="F434" s="16" t="inlineStr">
        <is>
          <t>范围配置</t>
        </is>
      </c>
      <c r="G434" s="17" t="inlineStr">
        <is>
          <t xml:space="preserve"> 提供min/max范围参数配置服务</t>
        </is>
      </c>
      <c r="H434" s="18" t="inlineStr">
        <is>
          <t>EI</t>
        </is>
      </c>
      <c r="I434" s="18">
        <f>IF(H434="ILF",10,IF(H434="EIF",7,IF(H434="EI",4,IF(H434="EO",5,IF(H434="EQ",4,"")))))</f>
        <v/>
      </c>
      <c r="J434" s="18" t="inlineStr">
        <is>
          <t>中</t>
        </is>
      </c>
      <c r="K434" s="18">
        <f>IF(J434="高",0.33,IF(J434="中",0.67,IF(J434="低",1,"")))</f>
        <v/>
      </c>
      <c r="L434" s="18" t="inlineStr">
        <is>
          <t>新增</t>
        </is>
      </c>
      <c r="M434" s="18">
        <f>IF(L434="新增",1,IF(L434="修改",0.8,IF(L434="删除",0.2,"")))</f>
        <v/>
      </c>
      <c r="N434" s="18">
        <f>I434*K434*M434</f>
        <v/>
      </c>
    </row>
    <row r="435" ht="19" customHeight="1" s="1">
      <c r="B435" s="16" t="n">
        <v>430</v>
      </c>
      <c r="C435" s="16" t="inlineStr">
        <is>
          <t>定制化流式计算及IO计算及物模型配置</t>
        </is>
      </c>
      <c r="D435" s="16" t="inlineStr">
        <is>
          <t>预存流式计算</t>
        </is>
      </c>
      <c r="E435" s="16" t="inlineStr">
        <is>
          <t>扩展算法</t>
        </is>
      </c>
      <c r="F435" s="16" t="inlineStr">
        <is>
          <t>变化率</t>
        </is>
      </c>
      <c r="G435" s="17" t="inlineStr">
        <is>
          <t xml:space="preserve"> 提供单位时间变化量检测的扩展算法服务</t>
        </is>
      </c>
      <c r="H435" s="18" t="inlineStr">
        <is>
          <t>EI</t>
        </is>
      </c>
      <c r="I435" s="18">
        <f>IF(H435="ILF",10,IF(H435="EIF",7,IF(H435="EI",4,IF(H435="EO",5,IF(H435="EQ",4,"")))))</f>
        <v/>
      </c>
      <c r="J435" s="18" t="inlineStr">
        <is>
          <t>中</t>
        </is>
      </c>
      <c r="K435" s="18">
        <f>IF(J435="高",0.33,IF(J435="中",0.67,IF(J435="低",1,"")))</f>
        <v/>
      </c>
      <c r="L435" s="18" t="inlineStr">
        <is>
          <t>新增</t>
        </is>
      </c>
      <c r="M435" s="18">
        <f>IF(L435="新增",1,IF(L435="修改",0.8,IF(L435="删除",0.2,"")))</f>
        <v/>
      </c>
      <c r="N435" s="18">
        <f>I435*K435*M435</f>
        <v/>
      </c>
    </row>
    <row r="436" ht="19" customHeight="1" s="1">
      <c r="B436" s="16" t="n">
        <v>431</v>
      </c>
      <c r="C436" s="16" t="inlineStr">
        <is>
          <t>定制化流式计算及IO计算及物模型配置</t>
        </is>
      </c>
      <c r="D436" s="16" t="inlineStr">
        <is>
          <t>预存流式计算</t>
        </is>
      </c>
      <c r="E436" s="16" t="inlineStr">
        <is>
          <t>扩展算法</t>
        </is>
      </c>
      <c r="F436" s="16" t="inlineStr">
        <is>
          <t>累计值</t>
        </is>
      </c>
      <c r="G436" s="17" t="inlineStr">
        <is>
          <t xml:space="preserve"> 提供指定时间窗口累计值检测服务</t>
        </is>
      </c>
      <c r="H436" s="18" t="inlineStr">
        <is>
          <t>EI</t>
        </is>
      </c>
      <c r="I436" s="18">
        <f>IF(H436="ILF",10,IF(H436="EIF",7,IF(H436="EI",4,IF(H436="EO",5,IF(H436="EQ",4,"")))))</f>
        <v/>
      </c>
      <c r="J436" s="18" t="inlineStr">
        <is>
          <t>中</t>
        </is>
      </c>
      <c r="K436" s="18">
        <f>IF(J436="高",0.33,IF(J436="中",0.67,IF(J436="低",1,"")))</f>
        <v/>
      </c>
      <c r="L436" s="18" t="inlineStr">
        <is>
          <t>新增</t>
        </is>
      </c>
      <c r="M436" s="18">
        <f>IF(L436="新增",1,IF(L436="修改",0.8,IF(L436="删除",0.2,"")))</f>
        <v/>
      </c>
      <c r="N436" s="18">
        <f>I436*K436*M436</f>
        <v/>
      </c>
    </row>
    <row r="437" ht="19" customHeight="1" s="1">
      <c r="B437" s="16" t="n">
        <v>432</v>
      </c>
      <c r="C437" s="16" t="inlineStr">
        <is>
          <t>定制化流式计算及IO计算及物模型配置</t>
        </is>
      </c>
      <c r="D437" s="16" t="inlineStr">
        <is>
          <t>预存流式计算</t>
        </is>
      </c>
      <c r="E437" s="16" t="inlineStr">
        <is>
          <t>扩展算法</t>
        </is>
      </c>
      <c r="F437" s="16" t="inlineStr">
        <is>
          <t>峰值</t>
        </is>
      </c>
      <c r="G437" s="17" t="inlineStr">
        <is>
          <t xml:space="preserve"> 提供局部最大值检测的扩展算法服务</t>
        </is>
      </c>
      <c r="H437" s="18" t="inlineStr">
        <is>
          <t>EI</t>
        </is>
      </c>
      <c r="I437" s="18">
        <f>IF(H437="ILF",10,IF(H437="EIF",7,IF(H437="EI",4,IF(H437="EO",5,IF(H437="EQ",4,"")))))</f>
        <v/>
      </c>
      <c r="J437" s="18" t="inlineStr">
        <is>
          <t>中</t>
        </is>
      </c>
      <c r="K437" s="18">
        <f>IF(J437="高",0.33,IF(J437="中",0.67,IF(J437="低",1,"")))</f>
        <v/>
      </c>
      <c r="L437" s="18" t="inlineStr">
        <is>
          <t>新增</t>
        </is>
      </c>
      <c r="M437" s="18">
        <f>IF(L437="新增",1,IF(L437="修改",0.8,IF(L437="删除",0.2,"")))</f>
        <v/>
      </c>
      <c r="N437" s="18">
        <f>I437*K437*M437</f>
        <v/>
      </c>
    </row>
    <row r="438" ht="19" customHeight="1" s="1">
      <c r="B438" s="16" t="n">
        <v>433</v>
      </c>
      <c r="C438" s="16" t="inlineStr">
        <is>
          <t>定制化流式计算及IO计算及物模型配置</t>
        </is>
      </c>
      <c r="D438" s="16" t="inlineStr">
        <is>
          <t>预存流式计算</t>
        </is>
      </c>
      <c r="E438" s="16" t="inlineStr">
        <is>
          <t>扩展算法</t>
        </is>
      </c>
      <c r="F438" s="16" t="inlineStr">
        <is>
          <t>谷值</t>
        </is>
      </c>
      <c r="G438" s="17" t="inlineStr">
        <is>
          <t xml:space="preserve"> 提供局部最小值检测的扩展算法服务</t>
        </is>
      </c>
      <c r="H438" s="18" t="inlineStr">
        <is>
          <t>EI</t>
        </is>
      </c>
      <c r="I438" s="18">
        <f>IF(H438="ILF",10,IF(H438="EIF",7,IF(H438="EI",4,IF(H438="EO",5,IF(H438="EQ",4,"")))))</f>
        <v/>
      </c>
      <c r="J438" s="18" t="inlineStr">
        <is>
          <t>中</t>
        </is>
      </c>
      <c r="K438" s="18">
        <f>IF(J438="高",0.33,IF(J438="中",0.67,IF(J438="低",1,"")))</f>
        <v/>
      </c>
      <c r="L438" s="18" t="inlineStr">
        <is>
          <t>新增</t>
        </is>
      </c>
      <c r="M438" s="18">
        <f>IF(L438="新增",1,IF(L438="修改",0.8,IF(L438="删除",0.2,"")))</f>
        <v/>
      </c>
      <c r="N438" s="18">
        <f>I438*K438*M438</f>
        <v/>
      </c>
    </row>
    <row r="439" ht="19" customHeight="1" s="1">
      <c r="B439" s="16" t="n">
        <v>434</v>
      </c>
      <c r="C439" s="16" t="inlineStr">
        <is>
          <t>定制化流式计算及IO计算及物模型配置</t>
        </is>
      </c>
      <c r="D439" s="16" t="inlineStr">
        <is>
          <t>预存流式计算</t>
        </is>
      </c>
      <c r="E439" s="16" t="inlineStr">
        <is>
          <t>扩展算法</t>
        </is>
      </c>
      <c r="F439" s="16" t="inlineStr">
        <is>
          <t>连续异常</t>
        </is>
      </c>
      <c r="G439" s="17" t="inlineStr">
        <is>
          <t xml:space="preserve"> 提供连续N点异常才触发的过滤毛刺算法服务</t>
        </is>
      </c>
      <c r="H439" s="18" t="inlineStr">
        <is>
          <t>EI</t>
        </is>
      </c>
      <c r="I439" s="18">
        <f>IF(H439="ILF",10,IF(H439="EIF",7,IF(H439="EI",4,IF(H439="EO",5,IF(H439="EQ",4,"")))))</f>
        <v/>
      </c>
      <c r="J439" s="18" t="inlineStr">
        <is>
          <t>中</t>
        </is>
      </c>
      <c r="K439" s="18">
        <f>IF(J439="高",0.33,IF(J439="中",0.67,IF(J439="低",1,"")))</f>
        <v/>
      </c>
      <c r="L439" s="18" t="inlineStr">
        <is>
          <t>新增</t>
        </is>
      </c>
      <c r="M439" s="18">
        <f>IF(L439="新增",1,IF(L439="修改",0.8,IF(L439="删除",0.2,"")))</f>
        <v/>
      </c>
      <c r="N439" s="18">
        <f>I439*K439*M439</f>
        <v/>
      </c>
    </row>
    <row r="440" ht="19" customHeight="1" s="1">
      <c r="B440" s="16" t="n">
        <v>435</v>
      </c>
      <c r="C440" s="16" t="inlineStr">
        <is>
          <t>定制化流式计算及IO计算及物模型配置</t>
        </is>
      </c>
      <c r="D440" s="16" t="inlineStr">
        <is>
          <t>预存流式计算</t>
        </is>
      </c>
      <c r="E440" s="16" t="inlineStr">
        <is>
          <t>扩展算法</t>
        </is>
      </c>
      <c r="F440" s="16" t="inlineStr">
        <is>
          <t>基线偏离</t>
        </is>
      </c>
      <c r="G440" s="17" t="inlineStr">
        <is>
          <t xml:space="preserve"> 提供与历史平均值偏离超阈值告警算法服务</t>
        </is>
      </c>
      <c r="H440" s="18" t="inlineStr">
        <is>
          <t>EI</t>
        </is>
      </c>
      <c r="I440" s="18">
        <f>IF(H440="ILF",10,IF(H440="EIF",7,IF(H440="EI",4,IF(H440="EO",5,IF(H440="EQ",4,"")))))</f>
        <v/>
      </c>
      <c r="J440" s="18" t="inlineStr">
        <is>
          <t>中</t>
        </is>
      </c>
      <c r="K440" s="18">
        <f>IF(J440="高",0.33,IF(J440="中",0.67,IF(J440="低",1,"")))</f>
        <v/>
      </c>
      <c r="L440" s="18" t="inlineStr">
        <is>
          <t>新增</t>
        </is>
      </c>
      <c r="M440" s="18">
        <f>IF(L440="新增",1,IF(L440="修改",0.8,IF(L440="删除",0.2,"")))</f>
        <v/>
      </c>
      <c r="N440" s="18">
        <f>I440*K440*M440</f>
        <v/>
      </c>
    </row>
    <row r="441" ht="19" customHeight="1" s="1">
      <c r="B441" s="16" t="n">
        <v>436</v>
      </c>
      <c r="C441" s="16" t="inlineStr">
        <is>
          <t>定制化流式计算及IO计算及物模型配置</t>
        </is>
      </c>
      <c r="D441" s="16" t="inlineStr">
        <is>
          <t>预存流式计算</t>
        </is>
      </c>
      <c r="E441" s="16" t="inlineStr">
        <is>
          <t>扩展算法</t>
        </is>
      </c>
      <c r="F441" s="16" t="inlineStr">
        <is>
          <t>三相不平衡</t>
        </is>
      </c>
      <c r="G441" s="17" t="inlineStr">
        <is>
          <t xml:space="preserve"> 提供A/B/C三相电流比值超出范围告警服务</t>
        </is>
      </c>
      <c r="H441" s="18" t="inlineStr">
        <is>
          <t>EI</t>
        </is>
      </c>
      <c r="I441" s="18">
        <f>IF(H441="ILF",10,IF(H441="EIF",7,IF(H441="EI",4,IF(H441="EO",5,IF(H441="EQ",4,"")))))</f>
        <v/>
      </c>
      <c r="J441" s="18" t="inlineStr">
        <is>
          <t>中</t>
        </is>
      </c>
      <c r="K441" s="18">
        <f>IF(J441="高",0.33,IF(J441="中",0.67,IF(J441="低",1,"")))</f>
        <v/>
      </c>
      <c r="L441" s="18" t="inlineStr">
        <is>
          <t>新增</t>
        </is>
      </c>
      <c r="M441" s="18">
        <f>IF(L441="新增",1,IF(L441="修改",0.8,IF(L441="删除",0.2,"")))</f>
        <v/>
      </c>
      <c r="N441" s="18">
        <f>I441*K441*M441</f>
        <v/>
      </c>
    </row>
    <row r="442" ht="19" customHeight="1" s="1">
      <c r="B442" s="16" t="n">
        <v>437</v>
      </c>
      <c r="C442" s="16" t="inlineStr">
        <is>
          <t>定制化流式计算及IO计算及物模型配置</t>
        </is>
      </c>
      <c r="D442" s="16" t="inlineStr">
        <is>
          <t>预存流式计算</t>
        </is>
      </c>
      <c r="E442" s="16" t="inlineStr">
        <is>
          <t>扩展算法</t>
        </is>
      </c>
      <c r="F442" s="16" t="inlineStr">
        <is>
          <t>比值检测</t>
        </is>
      </c>
      <c r="G442" s="17" t="inlineStr">
        <is>
          <t xml:space="preserve"> 提供两参数比值超出配置范围告警服务</t>
        </is>
      </c>
      <c r="H442" s="18" t="inlineStr">
        <is>
          <t>EI</t>
        </is>
      </c>
      <c r="I442" s="18">
        <f>IF(H442="ILF",10,IF(H442="EIF",7,IF(H442="EI",4,IF(H442="EO",5,IF(H442="EQ",4,"")))))</f>
        <v/>
      </c>
      <c r="J442" s="18" t="inlineStr">
        <is>
          <t>中</t>
        </is>
      </c>
      <c r="K442" s="18">
        <f>IF(J442="高",0.33,IF(J442="中",0.67,IF(J442="低",1,"")))</f>
        <v/>
      </c>
      <c r="L442" s="18" t="inlineStr">
        <is>
          <t>新增</t>
        </is>
      </c>
      <c r="M442" s="18">
        <f>IF(L442="新增",1,IF(L442="修改",0.8,IF(L442="删除",0.2,"")))</f>
        <v/>
      </c>
      <c r="N442" s="18">
        <f>I442*K442*M442</f>
        <v/>
      </c>
    </row>
    <row r="443" ht="19" customHeight="1" s="1">
      <c r="B443" s="16" t="n">
        <v>438</v>
      </c>
      <c r="C443" s="16" t="inlineStr">
        <is>
          <t>定制化流式计算及IO计算及物模型配置</t>
        </is>
      </c>
      <c r="D443" s="16" t="inlineStr">
        <is>
          <t>预存流式计算</t>
        </is>
      </c>
      <c r="E443" s="16" t="inlineStr">
        <is>
          <t>扩展算法</t>
        </is>
      </c>
      <c r="F443" s="16" t="inlineStr">
        <is>
          <t>差值检测</t>
        </is>
      </c>
      <c r="G443" s="17" t="inlineStr">
        <is>
          <t xml:space="preserve"> 提供两参数差值超出配置阈值告警服务</t>
        </is>
      </c>
      <c r="H443" s="18" t="inlineStr">
        <is>
          <t>EI</t>
        </is>
      </c>
      <c r="I443" s="18">
        <f>IF(H443="ILF",10,IF(H443="EIF",7,IF(H443="EI",4,IF(H443="EO",5,IF(H443="EQ",4,"")))))</f>
        <v/>
      </c>
      <c r="J443" s="18" t="inlineStr">
        <is>
          <t>中</t>
        </is>
      </c>
      <c r="K443" s="18">
        <f>IF(J443="高",0.33,IF(J443="中",0.67,IF(J443="低",1,"")))</f>
        <v/>
      </c>
      <c r="L443" s="18" t="inlineStr">
        <is>
          <t>新增</t>
        </is>
      </c>
      <c r="M443" s="18">
        <f>IF(L443="新增",1,IF(L443="修改",0.8,IF(L443="删除",0.2,"")))</f>
        <v/>
      </c>
      <c r="N443" s="18">
        <f>I443*K443*M443</f>
        <v/>
      </c>
    </row>
    <row r="444" ht="19" customHeight="1" s="1">
      <c r="B444" s="16" t="n">
        <v>439</v>
      </c>
      <c r="C444" s="16" t="inlineStr">
        <is>
          <t>定制化流式计算及IO计算及物模型配置</t>
        </is>
      </c>
      <c r="D444" s="16" t="inlineStr">
        <is>
          <t>预存流式计算</t>
        </is>
      </c>
      <c r="E444" s="16" t="inlineStr">
        <is>
          <t>扩展算法</t>
        </is>
      </c>
      <c r="F444" s="16" t="inlineStr">
        <is>
          <t>周期模式</t>
        </is>
      </c>
      <c r="G444" s="17" t="inlineStr">
        <is>
          <t xml:space="preserve"> 提供周期性变化检测用于冲次识别算法服务</t>
        </is>
      </c>
      <c r="H444" s="18" t="inlineStr">
        <is>
          <t>EI</t>
        </is>
      </c>
      <c r="I444" s="18">
        <f>IF(H444="ILF",10,IF(H444="EIF",7,IF(H444="EI",4,IF(H444="EO",5,IF(H444="EQ",4,"")))))</f>
        <v/>
      </c>
      <c r="J444" s="18" t="inlineStr">
        <is>
          <t>中</t>
        </is>
      </c>
      <c r="K444" s="18">
        <f>IF(J444="高",0.33,IF(J444="中",0.67,IF(J444="低",1,"")))</f>
        <v/>
      </c>
      <c r="L444" s="18" t="inlineStr">
        <is>
          <t>新增</t>
        </is>
      </c>
      <c r="M444" s="18">
        <f>IF(L444="新增",1,IF(L444="修改",0.8,IF(L444="删除",0.2,"")))</f>
        <v/>
      </c>
      <c r="N444" s="18">
        <f>I444*K444*M444</f>
        <v/>
      </c>
    </row>
    <row r="445" ht="19" customHeight="1" s="1">
      <c r="B445" s="16" t="n">
        <v>440</v>
      </c>
      <c r="C445" s="16" t="inlineStr">
        <is>
          <t>定制化流式计算及IO计算及物模型配置</t>
        </is>
      </c>
      <c r="D445" s="16" t="inlineStr">
        <is>
          <t>预存流式计算</t>
        </is>
      </c>
      <c r="E445" s="16" t="inlineStr">
        <is>
          <t>告警ID映射</t>
        </is>
      </c>
      <c r="F445" s="16" t="inlineStr">
        <is>
          <t>油压过高</t>
        </is>
      </c>
      <c r="G445" s="17" t="inlineStr">
        <is>
          <t xml:space="preserve"> 提供告警ID1油压过高critical级映射配置服务</t>
        </is>
      </c>
      <c r="H445" s="18" t="inlineStr">
        <is>
          <t>EI</t>
        </is>
      </c>
      <c r="I445" s="18">
        <f>IF(H445="ILF",10,IF(H445="EIF",7,IF(H445="EI",4,IF(H445="EO",5,IF(H445="EQ",4,"")))))</f>
        <v/>
      </c>
      <c r="J445" s="18" t="inlineStr">
        <is>
          <t>中</t>
        </is>
      </c>
      <c r="K445" s="18">
        <f>IF(J445="高",0.33,IF(J445="中",0.67,IF(J445="低",1,"")))</f>
        <v/>
      </c>
      <c r="L445" s="18" t="inlineStr">
        <is>
          <t>新增</t>
        </is>
      </c>
      <c r="M445" s="18">
        <f>IF(L445="新增",1,IF(L445="修改",0.8,IF(L445="删除",0.2,"")))</f>
        <v/>
      </c>
      <c r="N445" s="18">
        <f>I445*K445*M445</f>
        <v/>
      </c>
    </row>
    <row r="446" ht="19" customHeight="1" s="1">
      <c r="B446" s="16" t="n">
        <v>441</v>
      </c>
      <c r="C446" s="16" t="inlineStr">
        <is>
          <t>定制化流式计算及IO计算及物模型配置</t>
        </is>
      </c>
      <c r="D446" s="16" t="inlineStr">
        <is>
          <t>预存流式计算</t>
        </is>
      </c>
      <c r="E446" s="16" t="inlineStr">
        <is>
          <t>告警ID映射</t>
        </is>
      </c>
      <c r="F446" s="16" t="inlineStr">
        <is>
          <t>油压过低</t>
        </is>
      </c>
      <c r="G446" s="17" t="inlineStr">
        <is>
          <t xml:space="preserve"> 提供告警ID2油压过低critical级映射配置服务</t>
        </is>
      </c>
      <c r="H446" s="18" t="inlineStr">
        <is>
          <t>EI</t>
        </is>
      </c>
      <c r="I446" s="18">
        <f>IF(H446="ILF",10,IF(H446="EIF",7,IF(H446="EI",4,IF(H446="EO",5,IF(H446="EQ",4,"")))))</f>
        <v/>
      </c>
      <c r="J446" s="18" t="inlineStr">
        <is>
          <t>中</t>
        </is>
      </c>
      <c r="K446" s="18">
        <f>IF(J446="高",0.33,IF(J446="中",0.67,IF(J446="低",1,"")))</f>
        <v/>
      </c>
      <c r="L446" s="18" t="inlineStr">
        <is>
          <t>新增</t>
        </is>
      </c>
      <c r="M446" s="18">
        <f>IF(L446="新增",1,IF(L446="修改",0.8,IF(L446="删除",0.2,"")))</f>
        <v/>
      </c>
      <c r="N446" s="18">
        <f>I446*K446*M446</f>
        <v/>
      </c>
    </row>
    <row r="447" ht="19" customHeight="1" s="1">
      <c r="B447" s="16" t="n">
        <v>442</v>
      </c>
      <c r="C447" s="16" t="inlineStr">
        <is>
          <t>定制化流式计算及IO计算及物模型配置</t>
        </is>
      </c>
      <c r="D447" s="16" t="inlineStr">
        <is>
          <t>预存流式计算</t>
        </is>
      </c>
      <c r="E447" s="16" t="inlineStr">
        <is>
          <t>告警ID映射</t>
        </is>
      </c>
      <c r="F447" s="16" t="inlineStr">
        <is>
          <t>套压过高</t>
        </is>
      </c>
      <c r="G447" s="17" t="inlineStr">
        <is>
          <t xml:space="preserve"> 提供告警ID3套压过高critical级映射配置服务</t>
        </is>
      </c>
      <c r="H447" s="18" t="inlineStr">
        <is>
          <t>EI</t>
        </is>
      </c>
      <c r="I447" s="18">
        <f>IF(H447="ILF",10,IF(H447="EIF",7,IF(H447="EI",4,IF(H447="EO",5,IF(H447="EQ",4,"")))))</f>
        <v/>
      </c>
      <c r="J447" s="18" t="inlineStr">
        <is>
          <t>中</t>
        </is>
      </c>
      <c r="K447" s="18">
        <f>IF(J447="高",0.33,IF(J447="中",0.67,IF(J447="低",1,"")))</f>
        <v/>
      </c>
      <c r="L447" s="18" t="inlineStr">
        <is>
          <t>新增</t>
        </is>
      </c>
      <c r="M447" s="18">
        <f>IF(L447="新增",1,IF(L447="修改",0.8,IF(L447="删除",0.2,"")))</f>
        <v/>
      </c>
      <c r="N447" s="18">
        <f>I447*K447*M447</f>
        <v/>
      </c>
    </row>
    <row r="448" ht="19" customHeight="1" s="1">
      <c r="B448" s="16" t="n">
        <v>443</v>
      </c>
      <c r="C448" s="16" t="inlineStr">
        <is>
          <t>定制化流式计算及IO计算及物模型配置</t>
        </is>
      </c>
      <c r="D448" s="16" t="inlineStr">
        <is>
          <t>预存流式计算</t>
        </is>
      </c>
      <c r="E448" s="16" t="inlineStr">
        <is>
          <t>告警ID映射</t>
        </is>
      </c>
      <c r="F448" s="16" t="inlineStr">
        <is>
          <t>回压过高</t>
        </is>
      </c>
      <c r="G448" s="17" t="inlineStr">
        <is>
          <t xml:space="preserve"> 提供告警ID4回压过高error级映射配置服务</t>
        </is>
      </c>
      <c r="H448" s="18" t="inlineStr">
        <is>
          <t>EI</t>
        </is>
      </c>
      <c r="I448" s="18">
        <f>IF(H448="ILF",10,IF(H448="EIF",7,IF(H448="EI",4,IF(H448="EO",5,IF(H448="EQ",4,"")))))</f>
        <v/>
      </c>
      <c r="J448" s="18" t="inlineStr">
        <is>
          <t>高</t>
        </is>
      </c>
      <c r="K448" s="18">
        <f>IF(J448="高",0.33,IF(J448="中",0.67,IF(J448="低",1,"")))</f>
        <v/>
      </c>
      <c r="L448" s="18" t="inlineStr">
        <is>
          <t>新增</t>
        </is>
      </c>
      <c r="M448" s="18">
        <f>IF(L448="新增",1,IF(L448="修改",0.8,IF(L448="删除",0.2,"")))</f>
        <v/>
      </c>
      <c r="N448" s="18">
        <f>I448*K448*M448</f>
        <v/>
      </c>
    </row>
    <row r="449" ht="19" customHeight="1" s="1">
      <c r="B449" s="16" t="n">
        <v>444</v>
      </c>
      <c r="C449" s="16" t="inlineStr">
        <is>
          <t>定制化流式计算及IO计算及物模型配置</t>
        </is>
      </c>
      <c r="D449" s="16" t="inlineStr">
        <is>
          <t>预存流式计算</t>
        </is>
      </c>
      <c r="E449" s="16" t="inlineStr">
        <is>
          <t>告警ID映射</t>
        </is>
      </c>
      <c r="F449" s="16" t="inlineStr">
        <is>
          <t>油温过高</t>
        </is>
      </c>
      <c r="G449" s="17" t="inlineStr">
        <is>
          <t xml:space="preserve"> 提供告警ID5油温过高error级映射配置服务</t>
        </is>
      </c>
      <c r="H449" s="18" t="inlineStr">
        <is>
          <t>EO</t>
        </is>
      </c>
      <c r="I449" s="18">
        <f>IF(H449="ILF",10,IF(H449="EIF",7,IF(H449="EI",4,IF(H449="EO",5,IF(H449="EQ",4,"")))))</f>
        <v/>
      </c>
      <c r="J449" s="18" t="inlineStr">
        <is>
          <t>低</t>
        </is>
      </c>
      <c r="K449" s="18">
        <f>IF(J449="高",0.33,IF(J449="中",0.67,IF(J449="低",1,"")))</f>
        <v/>
      </c>
      <c r="L449" s="18" t="inlineStr">
        <is>
          <t>新增</t>
        </is>
      </c>
      <c r="M449" s="18">
        <f>IF(L449="新增",1,IF(L449="修改",0.8,IF(L449="删除",0.2,"")))</f>
        <v/>
      </c>
      <c r="N449" s="18">
        <f>I449*K449*M449</f>
        <v/>
      </c>
    </row>
    <row r="450" ht="19" customHeight="1" s="1">
      <c r="B450" s="16" t="n">
        <v>445</v>
      </c>
      <c r="C450" s="16" t="inlineStr">
        <is>
          <t>定制化流式计算及IO计算及物模型配置</t>
        </is>
      </c>
      <c r="D450" s="16" t="inlineStr">
        <is>
          <t>预存流式计算</t>
        </is>
      </c>
      <c r="E450" s="16" t="inlineStr">
        <is>
          <t>告警ID映射</t>
        </is>
      </c>
      <c r="F450" s="16" t="inlineStr">
        <is>
          <t>油温过低</t>
        </is>
      </c>
      <c r="G450" s="17" t="inlineStr">
        <is>
          <t xml:space="preserve"> 提供告警ID6油温过低warning级映射配置服务</t>
        </is>
      </c>
      <c r="H450" s="18" t="inlineStr">
        <is>
          <t>EO</t>
        </is>
      </c>
      <c r="I450" s="18">
        <f>IF(H450="ILF",10,IF(H450="EIF",7,IF(H450="EI",4,IF(H450="EO",5,IF(H450="EQ",4,"")))))</f>
        <v/>
      </c>
      <c r="J450" s="18" t="inlineStr">
        <is>
          <t>低</t>
        </is>
      </c>
      <c r="K450" s="18">
        <f>IF(J450="高",0.33,IF(J450="中",0.67,IF(J450="低",1,"")))</f>
        <v/>
      </c>
      <c r="L450" s="18" t="inlineStr">
        <is>
          <t>新增</t>
        </is>
      </c>
      <c r="M450" s="18">
        <f>IF(L450="新增",1,IF(L450="修改",0.8,IF(L450="删除",0.2,"")))</f>
        <v/>
      </c>
      <c r="N450" s="18">
        <f>I450*K450*M450</f>
        <v/>
      </c>
    </row>
    <row r="451" ht="19" customHeight="1" s="1">
      <c r="B451" s="16" t="n">
        <v>446</v>
      </c>
      <c r="C451" s="16" t="inlineStr">
        <is>
          <t>定制化流式计算及IO计算及物模型配置</t>
        </is>
      </c>
      <c r="D451" s="16" t="inlineStr">
        <is>
          <t>预存流式计算</t>
        </is>
      </c>
      <c r="E451" s="16" t="inlineStr">
        <is>
          <t>告警ID映射</t>
        </is>
      </c>
      <c r="F451" s="16" t="inlineStr">
        <is>
          <t>电流过载</t>
        </is>
      </c>
      <c r="G451" s="17" t="inlineStr">
        <is>
          <t xml:space="preserve"> 提供告警ID7电流过载critical级映射配置服务</t>
        </is>
      </c>
      <c r="H451" s="18" t="inlineStr">
        <is>
          <t>EO</t>
        </is>
      </c>
      <c r="I451" s="18">
        <f>IF(H451="ILF",10,IF(H451="EIF",7,IF(H451="EI",4,IF(H451="EO",5,IF(H451="EQ",4,"")))))</f>
        <v/>
      </c>
      <c r="J451" s="18" t="inlineStr">
        <is>
          <t>低</t>
        </is>
      </c>
      <c r="K451" s="18">
        <f>IF(J451="高",0.33,IF(J451="中",0.67,IF(J451="低",1,"")))</f>
        <v/>
      </c>
      <c r="L451" s="18" t="inlineStr">
        <is>
          <t>新增</t>
        </is>
      </c>
      <c r="M451" s="18">
        <f>IF(L451="新增",1,IF(L451="修改",0.8,IF(L451="删除",0.2,"")))</f>
        <v/>
      </c>
      <c r="N451" s="18">
        <f>I451*K451*M451</f>
        <v/>
      </c>
    </row>
    <row r="452" ht="19" customHeight="1" s="1">
      <c r="B452" s="16" t="n">
        <v>447</v>
      </c>
      <c r="C452" s="16" t="inlineStr">
        <is>
          <t>定制化流式计算及IO计算及物模型配置</t>
        </is>
      </c>
      <c r="D452" s="16" t="inlineStr">
        <is>
          <t>预存流式计算</t>
        </is>
      </c>
      <c r="E452" s="16" t="inlineStr">
        <is>
          <t>告警ID映射</t>
        </is>
      </c>
      <c r="F452" s="16" t="inlineStr">
        <is>
          <t>设备停机</t>
        </is>
      </c>
      <c r="G452" s="17" t="inlineStr">
        <is>
          <t xml:space="preserve"> 提供告警ID8设备停机critical级映射配置服务</t>
        </is>
      </c>
      <c r="H452" s="18" t="inlineStr">
        <is>
          <t>EO</t>
        </is>
      </c>
      <c r="I452" s="18">
        <f>IF(H452="ILF",10,IF(H452="EIF",7,IF(H452="EI",4,IF(H452="EO",5,IF(H452="EQ",4,"")))))</f>
        <v/>
      </c>
      <c r="J452" s="18" t="inlineStr">
        <is>
          <t>中</t>
        </is>
      </c>
      <c r="K452" s="18">
        <f>IF(J452="高",0.33,IF(J452="中",0.67,IF(J452="低",1,"")))</f>
        <v/>
      </c>
      <c r="L452" s="18" t="inlineStr">
        <is>
          <t>新增</t>
        </is>
      </c>
      <c r="M452" s="18">
        <f>IF(L452="新增",1,IF(L452="修改",0.8,IF(L452="删除",0.2,"")))</f>
        <v/>
      </c>
      <c r="N452" s="18">
        <f>I452*K452*M452</f>
        <v/>
      </c>
    </row>
    <row r="453" ht="19" customHeight="1" s="1">
      <c r="B453" s="16" t="n">
        <v>448</v>
      </c>
      <c r="C453" s="16" t="inlineStr">
        <is>
          <t>定制化流式计算及IO计算及物模型配置</t>
        </is>
      </c>
      <c r="D453" s="16" t="inlineStr">
        <is>
          <t>预存流式计算</t>
        </is>
      </c>
      <c r="E453" s="16" t="inlineStr">
        <is>
          <t>告警ID映射</t>
        </is>
      </c>
      <c r="F453" s="16" t="inlineStr">
        <is>
          <t>仪表故障</t>
        </is>
      </c>
      <c r="G453" s="17" t="inlineStr">
        <is>
          <t xml:space="preserve"> 提供告警ID9仪表故障error级映射配置服务</t>
        </is>
      </c>
      <c r="H453" s="18" t="inlineStr">
        <is>
          <t>EO</t>
        </is>
      </c>
      <c r="I453" s="18">
        <f>IF(H453="ILF",10,IF(H453="EIF",7,IF(H453="EI",4,IF(H453="EO",5,IF(H453="EQ",4,"")))))</f>
        <v/>
      </c>
      <c r="J453" s="18" t="inlineStr">
        <is>
          <t>中</t>
        </is>
      </c>
      <c r="K453" s="18">
        <f>IF(J453="高",0.33,IF(J453="中",0.67,IF(J453="低",1,"")))</f>
        <v/>
      </c>
      <c r="L453" s="18" t="inlineStr">
        <is>
          <t>新增</t>
        </is>
      </c>
      <c r="M453" s="18">
        <f>IF(L453="新增",1,IF(L453="修改",0.8,IF(L453="删除",0.2,"")))</f>
        <v/>
      </c>
      <c r="N453" s="18">
        <f>I453*K453*M453</f>
        <v/>
      </c>
    </row>
    <row r="454" ht="19" customHeight="1" s="1">
      <c r="B454" s="16" t="n">
        <v>449</v>
      </c>
      <c r="C454" s="16" t="inlineStr">
        <is>
          <t>定制化流式计算及IO计算及物模型配置</t>
        </is>
      </c>
      <c r="D454" s="16" t="inlineStr">
        <is>
          <t>预存流式计算</t>
        </is>
      </c>
      <c r="E454" s="16" t="inlineStr">
        <is>
          <t>告警ID映射</t>
        </is>
      </c>
      <c r="F454" s="16" t="inlineStr">
        <is>
          <t>设备离线</t>
        </is>
      </c>
      <c r="G454" s="17" t="inlineStr">
        <is>
          <t xml:space="preserve"> 提供告警ID10设备离线critical级映射配置服务</t>
        </is>
      </c>
      <c r="H454" s="18" t="inlineStr">
        <is>
          <t>EO</t>
        </is>
      </c>
      <c r="I454" s="18">
        <f>IF(H454="ILF",10,IF(H454="EIF",7,IF(H454="EI",4,IF(H454="EO",5,IF(H454="EQ",4,"")))))</f>
        <v/>
      </c>
      <c r="J454" s="18" t="inlineStr">
        <is>
          <t>中</t>
        </is>
      </c>
      <c r="K454" s="18">
        <f>IF(J454="高",0.33,IF(J454="中",0.67,IF(J454="低",1,"")))</f>
        <v/>
      </c>
      <c r="L454" s="18" t="inlineStr">
        <is>
          <t>新增</t>
        </is>
      </c>
      <c r="M454" s="18">
        <f>IF(L454="新增",1,IF(L454="修改",0.8,IF(L454="删除",0.2,"")))</f>
        <v/>
      </c>
      <c r="N454" s="18">
        <f>I454*K454*M454</f>
        <v/>
      </c>
    </row>
    <row r="455" ht="19" customHeight="1" s="1">
      <c r="B455" s="16" t="n">
        <v>450</v>
      </c>
      <c r="C455" s="16" t="inlineStr">
        <is>
          <t>定制化流式计算及IO计算及物模型配置</t>
        </is>
      </c>
      <c r="D455" s="16" t="inlineStr">
        <is>
          <t>预存流式计算</t>
        </is>
      </c>
      <c r="E455" s="16" t="inlineStr">
        <is>
          <t>告警ID映射</t>
        </is>
      </c>
      <c r="F455" s="16" t="inlineStr">
        <is>
          <t>采集失败</t>
        </is>
      </c>
      <c r="G455" s="17" t="inlineStr">
        <is>
          <t xml:space="preserve"> 提供告警ID11采集失败error级映射配置服务</t>
        </is>
      </c>
      <c r="H455" s="18" t="inlineStr">
        <is>
          <t>EO</t>
        </is>
      </c>
      <c r="I455" s="18">
        <f>IF(H455="ILF",10,IF(H455="EIF",7,IF(H455="EI",4,IF(H455="EO",5,IF(H455="EQ",4,"")))))</f>
        <v/>
      </c>
      <c r="J455" s="18" t="inlineStr">
        <is>
          <t>中</t>
        </is>
      </c>
      <c r="K455" s="18">
        <f>IF(J455="高",0.33,IF(J455="中",0.67,IF(J455="低",1,"")))</f>
        <v/>
      </c>
      <c r="L455" s="18" t="inlineStr">
        <is>
          <t>新增</t>
        </is>
      </c>
      <c r="M455" s="18">
        <f>IF(L455="新增",1,IF(L455="修改",0.8,IF(L455="删除",0.2,"")))</f>
        <v/>
      </c>
      <c r="N455" s="18">
        <f>I455*K455*M455</f>
        <v/>
      </c>
    </row>
    <row r="456" ht="19" customHeight="1" s="1">
      <c r="B456" s="16" t="n">
        <v>451</v>
      </c>
      <c r="C456" s="16" t="inlineStr">
        <is>
          <t>定制化流式计算及IO计算及物模型配置</t>
        </is>
      </c>
      <c r="D456" s="16" t="inlineStr">
        <is>
          <t>预存流式计算</t>
        </is>
      </c>
      <c r="E456" s="16" t="inlineStr">
        <is>
          <t>告警ID映射</t>
        </is>
      </c>
      <c r="F456" s="16" t="inlineStr">
        <is>
          <t>数据异常</t>
        </is>
      </c>
      <c r="G456" s="17" t="inlineStr">
        <is>
          <t xml:space="preserve"> 提供告警ID12数据异常warning级映射配置服务</t>
        </is>
      </c>
      <c r="H456" s="18" t="inlineStr">
        <is>
          <t>EO</t>
        </is>
      </c>
      <c r="I456" s="18">
        <f>IF(H456="ILF",10,IF(H456="EIF",7,IF(H456="EI",4,IF(H456="EO",5,IF(H456="EQ",4,"")))))</f>
        <v/>
      </c>
      <c r="J456" s="18" t="inlineStr">
        <is>
          <t>中</t>
        </is>
      </c>
      <c r="K456" s="18">
        <f>IF(J456="高",0.33,IF(J456="中",0.67,IF(J456="低",1,"")))</f>
        <v/>
      </c>
      <c r="L456" s="18" t="inlineStr">
        <is>
          <t>新增</t>
        </is>
      </c>
      <c r="M456" s="18">
        <f>IF(L456="新增",1,IF(L456="修改",0.8,IF(L456="删除",0.2,"")))</f>
        <v/>
      </c>
      <c r="N456" s="18">
        <f>I456*K456*M456</f>
        <v/>
      </c>
    </row>
    <row r="457" ht="19" customHeight="1" s="1">
      <c r="B457" s="16" t="n">
        <v>452</v>
      </c>
      <c r="C457" s="16" t="inlineStr">
        <is>
          <t>定制化流式计算及IO计算及物模型配置</t>
        </is>
      </c>
      <c r="D457" s="16" t="inlineStr">
        <is>
          <t>预存流式计算</t>
        </is>
      </c>
      <c r="E457" s="16" t="inlineStr">
        <is>
          <t>告警ID映射</t>
        </is>
      </c>
      <c r="F457" s="16" t="inlineStr">
        <is>
          <t>变频故障</t>
        </is>
      </c>
      <c r="G457" s="17" t="inlineStr">
        <is>
          <t xml:space="preserve"> 提供告警ID13变频故障error级映射配置服务</t>
        </is>
      </c>
      <c r="H457" s="18" t="inlineStr">
        <is>
          <t>EO</t>
        </is>
      </c>
      <c r="I457" s="18">
        <f>IF(H457="ILF",10,IF(H457="EIF",7,IF(H457="EI",4,IF(H457="EO",5,IF(H457="EQ",4,"")))))</f>
        <v/>
      </c>
      <c r="J457" s="18" t="inlineStr">
        <is>
          <t>中</t>
        </is>
      </c>
      <c r="K457" s="18">
        <f>IF(J457="高",0.33,IF(J457="中",0.67,IF(J457="低",1,"")))</f>
        <v/>
      </c>
      <c r="L457" s="18" t="inlineStr">
        <is>
          <t>新增</t>
        </is>
      </c>
      <c r="M457" s="18">
        <f>IF(L457="新增",1,IF(L457="修改",0.8,IF(L457="删除",0.2,"")))</f>
        <v/>
      </c>
      <c r="N457" s="18">
        <f>I457*K457*M457</f>
        <v/>
      </c>
    </row>
    <row r="458" ht="19" customHeight="1" s="1">
      <c r="B458" s="16" t="n">
        <v>453</v>
      </c>
      <c r="C458" s="16" t="inlineStr">
        <is>
          <t>定制化流式计算及IO计算及物模型配置</t>
        </is>
      </c>
      <c r="D458" s="16" t="inlineStr">
        <is>
          <t>预存流式计算</t>
        </is>
      </c>
      <c r="E458" s="16" t="inlineStr">
        <is>
          <t>告警ID映射</t>
        </is>
      </c>
      <c r="F458" s="16" t="inlineStr">
        <is>
          <t>通信异常</t>
        </is>
      </c>
      <c r="G458" s="17" t="inlineStr">
        <is>
          <t xml:space="preserve"> 提供告警ID14通信异常warning级映射配置服务</t>
        </is>
      </c>
      <c r="H458" s="18" t="inlineStr">
        <is>
          <t>EQ</t>
        </is>
      </c>
      <c r="I458" s="18">
        <f>IF(H458="ILF",10,IF(H458="EIF",7,IF(H458="EI",4,IF(H458="EO",5,IF(H458="EQ",4,"")))))</f>
        <v/>
      </c>
      <c r="J458" s="18" t="inlineStr">
        <is>
          <t>低</t>
        </is>
      </c>
      <c r="K458" s="18">
        <f>IF(J458="高",0.33,IF(J458="中",0.67,IF(J458="低",1,"")))</f>
        <v/>
      </c>
      <c r="L458" s="18" t="inlineStr">
        <is>
          <t>新增</t>
        </is>
      </c>
      <c r="M458" s="18">
        <f>IF(L458="新增",1,IF(L458="修改",0.8,IF(L458="删除",0.2,"")))</f>
        <v/>
      </c>
      <c r="N458" s="18">
        <f>I458*K458*M458</f>
        <v/>
      </c>
    </row>
    <row r="459" ht="19" customHeight="1" s="1">
      <c r="B459" s="16" t="n">
        <v>454</v>
      </c>
      <c r="C459" s="16" t="inlineStr">
        <is>
          <t>定制化流式计算及IO计算及物模型配置</t>
        </is>
      </c>
      <c r="D459" s="16" t="inlineStr">
        <is>
          <t>预存流式计算</t>
        </is>
      </c>
      <c r="E459" s="16" t="inlineStr">
        <is>
          <t>告警ID映射</t>
        </is>
      </c>
      <c r="F459" s="16" t="inlineStr">
        <is>
          <t>电池低电</t>
        </is>
      </c>
      <c r="G459" s="17" t="inlineStr">
        <is>
          <t xml:space="preserve"> 提供告警ID15电池低电量info级映射配置服务</t>
        </is>
      </c>
      <c r="H459" s="18" t="inlineStr">
        <is>
          <t>EQ</t>
        </is>
      </c>
      <c r="I459" s="18">
        <f>IF(H459="ILF",10,IF(H459="EIF",7,IF(H459="EI",4,IF(H459="EO",5,IF(H459="EQ",4,"")))))</f>
        <v/>
      </c>
      <c r="J459" s="18" t="inlineStr">
        <is>
          <t>低</t>
        </is>
      </c>
      <c r="K459" s="18">
        <f>IF(J459="高",0.33,IF(J459="中",0.67,IF(J459="低",1,"")))</f>
        <v/>
      </c>
      <c r="L459" s="18" t="inlineStr">
        <is>
          <t>新增</t>
        </is>
      </c>
      <c r="M459" s="18">
        <f>IF(L459="新增",1,IF(L459="修改",0.8,IF(L459="删除",0.2,"")))</f>
        <v/>
      </c>
      <c r="N459" s="18">
        <f>I459*K459*M459</f>
        <v/>
      </c>
    </row>
    <row r="460" ht="19" customHeight="1" s="1">
      <c r="B460" s="16" t="n">
        <v>455</v>
      </c>
      <c r="C460" s="16" t="inlineStr">
        <is>
          <t>定制化流式计算及IO计算及物模型配置</t>
        </is>
      </c>
      <c r="D460" s="16" t="inlineStr">
        <is>
          <t>规则配置服务</t>
        </is>
      </c>
      <c r="E460" s="16" t="inlineStr">
        <is>
          <t>可视化编排</t>
        </is>
      </c>
      <c r="F460" s="16" t="inlineStr">
        <is>
          <t>规则编辑器</t>
        </is>
      </c>
      <c r="G460" s="17" t="inlineStr">
        <is>
          <t xml:space="preserve"> 提供条件-动作-通知三要素图形化规则编排服务</t>
        </is>
      </c>
      <c r="H460" s="18" t="inlineStr">
        <is>
          <t>EQ</t>
        </is>
      </c>
      <c r="I460" s="18">
        <f>IF(H460="ILF",10,IF(H460="EIF",7,IF(H460="EI",4,IF(H460="EO",5,IF(H460="EQ",4,"")))))</f>
        <v/>
      </c>
      <c r="J460" s="18" t="inlineStr">
        <is>
          <t>低</t>
        </is>
      </c>
      <c r="K460" s="18">
        <f>IF(J460="高",0.33,IF(J460="中",0.67,IF(J460="低",1,"")))</f>
        <v/>
      </c>
      <c r="L460" s="18" t="inlineStr">
        <is>
          <t>新增</t>
        </is>
      </c>
      <c r="M460" s="18">
        <f>IF(L460="新增",1,IF(L460="修改",0.8,IF(L460="删除",0.2,"")))</f>
        <v/>
      </c>
      <c r="N460" s="18">
        <f>I460*K460*M460</f>
        <v/>
      </c>
    </row>
    <row r="461" ht="19" customHeight="1" s="1">
      <c r="B461" s="16" t="n">
        <v>456</v>
      </c>
      <c r="C461" s="16" t="inlineStr">
        <is>
          <t>定制化流式计算及IO计算及物模型配置</t>
        </is>
      </c>
      <c r="D461" s="16" t="inlineStr">
        <is>
          <t>规则配置服务</t>
        </is>
      </c>
      <c r="E461" s="16" t="inlineStr">
        <is>
          <t>可视化编排</t>
        </is>
      </c>
      <c r="F461" s="16" t="inlineStr">
        <is>
          <t>条件定义</t>
        </is>
      </c>
      <c r="G461" s="17" t="inlineStr">
        <is>
          <t xml:space="preserve"> 提供规则触发条件的可视化定义服务</t>
        </is>
      </c>
      <c r="H461" s="18" t="inlineStr">
        <is>
          <t>EQ</t>
        </is>
      </c>
      <c r="I461" s="18">
        <f>IF(H461="ILF",10,IF(H461="EIF",7,IF(H461="EI",4,IF(H461="EO",5,IF(H461="EQ",4,"")))))</f>
        <v/>
      </c>
      <c r="J461" s="18" t="inlineStr">
        <is>
          <t>低</t>
        </is>
      </c>
      <c r="K461" s="18">
        <f>IF(J461="高",0.33,IF(J461="中",0.67,IF(J461="低",1,"")))</f>
        <v/>
      </c>
      <c r="L461" s="18" t="inlineStr">
        <is>
          <t>新增</t>
        </is>
      </c>
      <c r="M461" s="18">
        <f>IF(L461="新增",1,IF(L461="修改",0.8,IF(L461="删除",0.2,"")))</f>
        <v/>
      </c>
      <c r="N461" s="18">
        <f>I461*K461*M461</f>
        <v/>
      </c>
    </row>
    <row r="462" ht="19" customHeight="1" s="1">
      <c r="B462" s="16" t="n">
        <v>457</v>
      </c>
      <c r="C462" s="16" t="inlineStr">
        <is>
          <t>定制化流式计算及IO计算及物模型配置</t>
        </is>
      </c>
      <c r="D462" s="16" t="inlineStr">
        <is>
          <t>规则配置服务</t>
        </is>
      </c>
      <c r="E462" s="16" t="inlineStr">
        <is>
          <t>可视化编排</t>
        </is>
      </c>
      <c r="F462" s="16" t="inlineStr">
        <is>
          <t>动作定义</t>
        </is>
      </c>
      <c r="G462" s="17" t="inlineStr">
        <is>
          <t xml:space="preserve"> 提供规则触发动作alarm_id赋值可视化定义服务</t>
        </is>
      </c>
      <c r="H462" s="18" t="inlineStr">
        <is>
          <t>EQ</t>
        </is>
      </c>
      <c r="I462" s="18">
        <f>IF(H462="ILF",10,IF(H462="EIF",7,IF(H462="EI",4,IF(H462="EO",5,IF(H462="EQ",4,"")))))</f>
        <v/>
      </c>
      <c r="J462" s="18" t="inlineStr">
        <is>
          <t>低</t>
        </is>
      </c>
      <c r="K462" s="18">
        <f>IF(J462="高",0.33,IF(J462="中",0.67,IF(J462="低",1,"")))</f>
        <v/>
      </c>
      <c r="L462" s="18" t="inlineStr">
        <is>
          <t>新增</t>
        </is>
      </c>
      <c r="M462" s="18">
        <f>IF(L462="新增",1,IF(L462="修改",0.8,IF(L462="删除",0.2,"")))</f>
        <v/>
      </c>
      <c r="N462" s="18">
        <f>I462*K462*M462</f>
        <v/>
      </c>
    </row>
    <row r="463" ht="19" customHeight="1" s="1">
      <c r="B463" s="16" t="n">
        <v>458</v>
      </c>
      <c r="C463" s="16" t="inlineStr">
        <is>
          <t>定制化流式计算及IO计算及物模型配置</t>
        </is>
      </c>
      <c r="D463" s="16" t="inlineStr">
        <is>
          <t>规则配置服务</t>
        </is>
      </c>
      <c r="E463" s="16" t="inlineStr">
        <is>
          <t>可视化编排</t>
        </is>
      </c>
      <c r="F463" s="16" t="inlineStr">
        <is>
          <t>通知定义</t>
        </is>
      </c>
      <c r="G463" s="17" t="inlineStr">
        <is>
          <t xml:space="preserve"> 提供通知方式MQTT主题推送可视化定义服务</t>
        </is>
      </c>
      <c r="H463" s="18" t="inlineStr">
        <is>
          <t>EQ</t>
        </is>
      </c>
      <c r="I463" s="18">
        <f>IF(H463="ILF",10,IF(H463="EIF",7,IF(H463="EI",4,IF(H463="EO",5,IF(H463="EQ",4,"")))))</f>
        <v/>
      </c>
      <c r="J463" s="18" t="inlineStr">
        <is>
          <t>低</t>
        </is>
      </c>
      <c r="K463" s="18">
        <f>IF(J463="高",0.33,IF(J463="中",0.67,IF(J463="低",1,"")))</f>
        <v/>
      </c>
      <c r="L463" s="18" t="inlineStr">
        <is>
          <t>新增</t>
        </is>
      </c>
      <c r="M463" s="18">
        <f>IF(L463="新增",1,IF(L463="修改",0.8,IF(L463="删除",0.2,"")))</f>
        <v/>
      </c>
      <c r="N463" s="18">
        <f>I463*K463*M463</f>
        <v/>
      </c>
    </row>
    <row r="464" ht="19" customHeight="1" s="1">
      <c r="B464" s="16" t="n">
        <v>459</v>
      </c>
      <c r="C464" s="16" t="inlineStr">
        <is>
          <t>定制化流式计算及IO计算及物模型配置</t>
        </is>
      </c>
      <c r="D464" s="16" t="inlineStr">
        <is>
          <t>规则配置服务</t>
        </is>
      </c>
      <c r="E464" s="16" t="inlineStr">
        <is>
          <t>可视化编排</t>
        </is>
      </c>
      <c r="F464" s="16" t="inlineStr">
        <is>
          <t>多条件组合</t>
        </is>
      </c>
      <c r="G464" s="17" t="inlineStr">
        <is>
          <t xml:space="preserve"> 提供AND/OR多条件组合规则编排服务</t>
        </is>
      </c>
      <c r="H464" s="18" t="inlineStr">
        <is>
          <t>EQ</t>
        </is>
      </c>
      <c r="I464" s="18">
        <f>IF(H464="ILF",10,IF(H464="EIF",7,IF(H464="EI",4,IF(H464="EO",5,IF(H464="EQ",4,"")))))</f>
        <v/>
      </c>
      <c r="J464" s="18" t="inlineStr">
        <is>
          <t>低</t>
        </is>
      </c>
      <c r="K464" s="18">
        <f>IF(J464="高",0.33,IF(J464="中",0.67,IF(J464="低",1,"")))</f>
        <v/>
      </c>
      <c r="L464" s="18" t="inlineStr">
        <is>
          <t>新增</t>
        </is>
      </c>
      <c r="M464" s="18">
        <f>IF(L464="新增",1,IF(L464="修改",0.8,IF(L464="删除",0.2,"")))</f>
        <v/>
      </c>
      <c r="N464" s="18">
        <f>I464*K464*M464</f>
        <v/>
      </c>
    </row>
    <row r="465" ht="19" customHeight="1" s="1">
      <c r="B465" s="16" t="n">
        <v>460</v>
      </c>
      <c r="C465" s="16" t="inlineStr">
        <is>
          <t>定制化流式计算及IO计算及物模型配置</t>
        </is>
      </c>
      <c r="D465" s="16" t="inlineStr">
        <is>
          <t>规则配置服务</t>
        </is>
      </c>
      <c r="E465" s="16" t="inlineStr">
        <is>
          <t>可视化编排</t>
        </is>
      </c>
      <c r="F465" s="16" t="inlineStr">
        <is>
          <t>模板选择</t>
        </is>
      </c>
      <c r="G465" s="17" t="inlineStr">
        <is>
          <t xml:space="preserve"> 提供50类预置油田场景模板选择服务</t>
        </is>
      </c>
      <c r="H465" s="18" t="inlineStr">
        <is>
          <t>EQ</t>
        </is>
      </c>
      <c r="I465" s="18">
        <f>IF(H465="ILF",10,IF(H465="EIF",7,IF(H465="EI",4,IF(H465="EO",5,IF(H465="EQ",4,"")))))</f>
        <v/>
      </c>
      <c r="J465" s="18" t="inlineStr">
        <is>
          <t>低</t>
        </is>
      </c>
      <c r="K465" s="18">
        <f>IF(J465="高",0.33,IF(J465="中",0.67,IF(J465="低",1,"")))</f>
        <v/>
      </c>
      <c r="L465" s="18" t="inlineStr">
        <is>
          <t>新增</t>
        </is>
      </c>
      <c r="M465" s="18">
        <f>IF(L465="新增",1,IF(L465="修改",0.8,IF(L465="删除",0.2,"")))</f>
        <v/>
      </c>
      <c r="N465" s="18">
        <f>I465*K465*M465</f>
        <v/>
      </c>
    </row>
    <row r="466" ht="19" customHeight="1" s="1">
      <c r="B466" s="16" t="n">
        <v>461</v>
      </c>
      <c r="C466" s="16" t="inlineStr">
        <is>
          <t>定制化流式计算及IO计算及物模型配置</t>
        </is>
      </c>
      <c r="D466" s="16" t="inlineStr">
        <is>
          <t>规则配置服务</t>
        </is>
      </c>
      <c r="E466" s="16" t="inlineStr">
        <is>
          <t>可视化编排</t>
        </is>
      </c>
      <c r="F466" s="16" t="inlineStr">
        <is>
          <t>版本管理</t>
        </is>
      </c>
      <c r="G466" s="17" t="inlineStr">
        <is>
          <t xml:space="preserve"> 提供规则版本管理/历史回溯/变更回滚服务</t>
        </is>
      </c>
      <c r="H466" s="18" t="inlineStr">
        <is>
          <t>EQ</t>
        </is>
      </c>
      <c r="I466" s="18">
        <f>IF(H466="ILF",10,IF(H466="EIF",7,IF(H466="EI",4,IF(H466="EO",5,IF(H466="EQ",4,"")))))</f>
        <v/>
      </c>
      <c r="J466" s="18" t="inlineStr">
        <is>
          <t>中</t>
        </is>
      </c>
      <c r="K466" s="18">
        <f>IF(J466="高",0.33,IF(J466="中",0.67,IF(J466="低",1,"")))</f>
        <v/>
      </c>
      <c r="L466" s="18" t="inlineStr">
        <is>
          <t>新增</t>
        </is>
      </c>
      <c r="M466" s="18">
        <f>IF(L466="新增",1,IF(L466="修改",0.8,IF(L466="删除",0.2,"")))</f>
        <v/>
      </c>
      <c r="N466" s="18">
        <f>I466*K466*M466</f>
        <v/>
      </c>
    </row>
    <row r="467" ht="19" customHeight="1" s="1">
      <c r="B467" s="16" t="n">
        <v>462</v>
      </c>
      <c r="C467" s="16" t="inlineStr">
        <is>
          <t>定制化流式计算及IO计算及物模型配置</t>
        </is>
      </c>
      <c r="D467" s="16" t="inlineStr">
        <is>
          <t>规则配置服务</t>
        </is>
      </c>
      <c r="E467" s="16" t="inlineStr">
        <is>
          <t>可视化编排</t>
        </is>
      </c>
      <c r="F467" s="16" t="inlineStr">
        <is>
          <t>导入导出</t>
        </is>
      </c>
      <c r="G467" s="17" t="inlineStr">
        <is>
          <t xml:space="preserve"> 提供规则配置JSON批量导入导出服务</t>
        </is>
      </c>
      <c r="H467" s="18" t="inlineStr">
        <is>
          <t>EQ</t>
        </is>
      </c>
      <c r="I467" s="18">
        <f>IF(H467="ILF",10,IF(H467="EIF",7,IF(H467="EI",4,IF(H467="EO",5,IF(H467="EQ",4,"")))))</f>
        <v/>
      </c>
      <c r="J467" s="18" t="inlineStr">
        <is>
          <t>中</t>
        </is>
      </c>
      <c r="K467" s="18">
        <f>IF(J467="高",0.33,IF(J467="中",0.67,IF(J467="低",1,"")))</f>
        <v/>
      </c>
      <c r="L467" s="18" t="inlineStr">
        <is>
          <t>新增</t>
        </is>
      </c>
      <c r="M467" s="18">
        <f>IF(L467="新增",1,IF(L467="修改",0.8,IF(L467="删除",0.2,"")))</f>
        <v/>
      </c>
      <c r="N467" s="18">
        <f>I467*K467*M467</f>
        <v/>
      </c>
    </row>
    <row r="468" ht="19" customHeight="1" s="1">
      <c r="B468" s="16" t="n">
        <v>463</v>
      </c>
      <c r="C468" s="16" t="inlineStr">
        <is>
          <t>定制化流式计算及IO计算及物模型配置</t>
        </is>
      </c>
      <c r="D468" s="16" t="inlineStr">
        <is>
          <t>规则配置服务</t>
        </is>
      </c>
      <c r="E468" s="16" t="inlineStr">
        <is>
          <t>可视化编排</t>
        </is>
      </c>
      <c r="F468" s="16" t="inlineStr">
        <is>
          <t>批量部署</t>
        </is>
      </c>
      <c r="G468" s="17" t="inlineStr">
        <is>
          <t xml:space="preserve"> 提供规则批量发布到多设备组服务</t>
        </is>
      </c>
      <c r="H468" s="18" t="inlineStr">
        <is>
          <t>EQ</t>
        </is>
      </c>
      <c r="I468" s="18">
        <f>IF(H468="ILF",10,IF(H468="EIF",7,IF(H468="EI",4,IF(H468="EO",5,IF(H468="EQ",4,"")))))</f>
        <v/>
      </c>
      <c r="J468" s="18" t="inlineStr">
        <is>
          <t>中</t>
        </is>
      </c>
      <c r="K468" s="18">
        <f>IF(J468="高",0.33,IF(J468="中",0.67,IF(J468="低",1,"")))</f>
        <v/>
      </c>
      <c r="L468" s="18" t="inlineStr">
        <is>
          <t>新增</t>
        </is>
      </c>
      <c r="M468" s="18">
        <f>IF(L468="新增",1,IF(L468="修改",0.8,IF(L468="删除",0.2,"")))</f>
        <v/>
      </c>
      <c r="N468" s="18">
        <f>I468*K468*M468</f>
        <v/>
      </c>
    </row>
    <row r="469" ht="19" customHeight="1" s="1">
      <c r="B469" s="16" t="n">
        <v>464</v>
      </c>
      <c r="C469" s="16" t="inlineStr">
        <is>
          <t>定制化流式计算及IO计算及物模型配置</t>
        </is>
      </c>
      <c r="D469" s="16" t="inlineStr">
        <is>
          <t>规则配置服务</t>
        </is>
      </c>
      <c r="E469" s="16" t="inlineStr">
        <is>
          <t>可视化编排</t>
        </is>
      </c>
      <c r="F469" s="16" t="inlineStr">
        <is>
          <t>测试沙箱</t>
        </is>
      </c>
      <c r="G469" s="17" t="inlineStr">
        <is>
          <t xml:space="preserve"> 提供规则配置的沙箱测试环境服务</t>
        </is>
      </c>
      <c r="H469" s="18" t="inlineStr">
        <is>
          <t>EQ</t>
        </is>
      </c>
      <c r="I469" s="18">
        <f>IF(H469="ILF",10,IF(H469="EIF",7,IF(H469="EI",4,IF(H469="EO",5,IF(H469="EQ",4,"")))))</f>
        <v/>
      </c>
      <c r="J469" s="18" t="inlineStr">
        <is>
          <t>中</t>
        </is>
      </c>
      <c r="K469" s="18">
        <f>IF(J469="高",0.33,IF(J469="中",0.67,IF(J469="低",1,"")))</f>
        <v/>
      </c>
      <c r="L469" s="18" t="inlineStr">
        <is>
          <t>新增</t>
        </is>
      </c>
      <c r="M469" s="18">
        <f>IF(L469="新增",1,IF(L469="修改",0.8,IF(L469="删除",0.2,"")))</f>
        <v/>
      </c>
      <c r="N469" s="18">
        <f>I469*K469*M469</f>
        <v/>
      </c>
    </row>
    <row r="470" ht="19" customHeight="1" s="1">
      <c r="B470" s="16" t="n">
        <v>465</v>
      </c>
      <c r="C470" s="16" t="inlineStr">
        <is>
          <t>定制化流式计算及IO计算及物模型配置</t>
        </is>
      </c>
      <c r="D470" s="16" t="inlineStr">
        <is>
          <t>规则配置服务</t>
        </is>
      </c>
      <c r="E470" s="16" t="inlineStr">
        <is>
          <t>可视化编排</t>
        </is>
      </c>
      <c r="F470" s="16" t="inlineStr">
        <is>
          <t>执行日志</t>
        </is>
      </c>
      <c r="G470" s="17" t="inlineStr">
        <is>
          <t xml:space="preserve"> 提供规则触发和执行日志记录服务</t>
        </is>
      </c>
      <c r="H470" s="18" t="inlineStr">
        <is>
          <t>EQ</t>
        </is>
      </c>
      <c r="I470" s="18">
        <f>IF(H470="ILF",10,IF(H470="EIF",7,IF(H470="EI",4,IF(H470="EO",5,IF(H470="EQ",4,"")))))</f>
        <v/>
      </c>
      <c r="J470" s="18" t="inlineStr">
        <is>
          <t>中</t>
        </is>
      </c>
      <c r="K470" s="18">
        <f>IF(J470="高",0.33,IF(J470="中",0.67,IF(J470="低",1,"")))</f>
        <v/>
      </c>
      <c r="L470" s="18" t="inlineStr">
        <is>
          <t>新增</t>
        </is>
      </c>
      <c r="M470" s="18">
        <f>IF(L470="新增",1,IF(L470="修改",0.8,IF(L470="删除",0.2,"")))</f>
        <v/>
      </c>
      <c r="N470" s="18">
        <f>I470*K470*M470</f>
        <v/>
      </c>
    </row>
    <row r="471" ht="19" customHeight="1" s="1">
      <c r="B471" s="16" t="n">
        <v>466</v>
      </c>
      <c r="C471" s="16" t="inlineStr">
        <is>
          <t>定制化流式计算及IO计算及物模型配置</t>
        </is>
      </c>
      <c r="D471" s="16" t="inlineStr">
        <is>
          <t>规则配置服务</t>
        </is>
      </c>
      <c r="E471" s="16" t="inlineStr">
        <is>
          <t>可视化编排</t>
        </is>
      </c>
      <c r="F471" s="16" t="inlineStr">
        <is>
          <t>执行统计</t>
        </is>
      </c>
      <c r="G471" s="17" t="inlineStr">
        <is>
          <t xml:space="preserve"> 提供规则触发频率/命中率统计服务</t>
        </is>
      </c>
      <c r="H471" s="18" t="inlineStr">
        <is>
          <t>EQ</t>
        </is>
      </c>
      <c r="I471" s="18">
        <f>IF(H471="ILF",10,IF(H471="EIF",7,IF(H471="EI",4,IF(H471="EO",5,IF(H471="EQ",4,"")))))</f>
        <v/>
      </c>
      <c r="J471" s="18" t="inlineStr">
        <is>
          <t>中</t>
        </is>
      </c>
      <c r="K471" s="18">
        <f>IF(J471="高",0.33,IF(J471="中",0.67,IF(J471="低",1,"")))</f>
        <v/>
      </c>
      <c r="L471" s="18" t="inlineStr">
        <is>
          <t>新增</t>
        </is>
      </c>
      <c r="M471" s="18">
        <f>IF(L471="新增",1,IF(L471="修改",0.8,IF(L471="删除",0.2,"")))</f>
        <v/>
      </c>
      <c r="N471" s="18">
        <f>I471*K471*M471</f>
        <v/>
      </c>
    </row>
    <row r="472" ht="19" customHeight="1" s="1">
      <c r="B472" s="16" t="n">
        <v>467</v>
      </c>
      <c r="C472" s="16" t="inlineStr">
        <is>
          <t>定制化流式计算及IO计算及物模型配置</t>
        </is>
      </c>
      <c r="D472" s="16" t="inlineStr">
        <is>
          <t>规则配置服务</t>
        </is>
      </c>
      <c r="E472" s="16" t="inlineStr">
        <is>
          <t>回溯验证</t>
        </is>
      </c>
      <c r="F472" s="16" t="inlineStr">
        <is>
          <t>数据选取</t>
        </is>
      </c>
      <c r="G472" s="17" t="inlineStr">
        <is>
          <t xml:space="preserve"> 提供选定井号和时段的历史数据选取加载服务</t>
        </is>
      </c>
      <c r="H472" s="18" t="inlineStr">
        <is>
          <t>EQ</t>
        </is>
      </c>
      <c r="I472" s="18">
        <f>IF(H472="ILF",10,IF(H472="EIF",7,IF(H472="EI",4,IF(H472="EO",5,IF(H472="EQ",4,"")))))</f>
        <v/>
      </c>
      <c r="J472" s="18" t="inlineStr">
        <is>
          <t>中</t>
        </is>
      </c>
      <c r="K472" s="18">
        <f>IF(J472="高",0.33,IF(J472="中",0.67,IF(J472="低",1,"")))</f>
        <v/>
      </c>
      <c r="L472" s="18" t="inlineStr">
        <is>
          <t>新增</t>
        </is>
      </c>
      <c r="M472" s="18">
        <f>IF(L472="新增",1,IF(L472="修改",0.8,IF(L472="删除",0.2,"")))</f>
        <v/>
      </c>
      <c r="N472" s="18">
        <f>I472*K472*M472</f>
        <v/>
      </c>
    </row>
    <row r="473" ht="19" customHeight="1" s="1">
      <c r="B473" s="16" t="n">
        <v>468</v>
      </c>
      <c r="C473" s="16" t="inlineStr">
        <is>
          <t>定制化流式计算及IO计算及物模型配置</t>
        </is>
      </c>
      <c r="D473" s="16" t="inlineStr">
        <is>
          <t>规则配置服务</t>
        </is>
      </c>
      <c r="E473" s="16" t="inlineStr">
        <is>
          <t>回溯验证</t>
        </is>
      </c>
      <c r="F473" s="16" t="inlineStr">
        <is>
          <t>模拟回放</t>
        </is>
      </c>
      <c r="G473" s="17" t="inlineStr">
        <is>
          <t xml:space="preserve"> 提供新规则在历史数据上的模拟回放测试服务</t>
        </is>
      </c>
      <c r="H473" s="18" t="inlineStr">
        <is>
          <t>EQ</t>
        </is>
      </c>
      <c r="I473" s="18">
        <f>IF(H473="ILF",10,IF(H473="EIF",7,IF(H473="EI",4,IF(H473="EO",5,IF(H473="EQ",4,"")))))</f>
        <v/>
      </c>
      <c r="J473" s="18" t="inlineStr">
        <is>
          <t>中</t>
        </is>
      </c>
      <c r="K473" s="18">
        <f>IF(J473="高",0.33,IF(J473="中",0.67,IF(J473="低",1,"")))</f>
        <v/>
      </c>
      <c r="L473" s="18" t="inlineStr">
        <is>
          <t>新增</t>
        </is>
      </c>
      <c r="M473" s="18">
        <f>IF(L473="新增",1,IF(L473="修改",0.8,IF(L473="删除",0.2,"")))</f>
        <v/>
      </c>
      <c r="N473" s="18">
        <f>I473*K473*M473</f>
        <v/>
      </c>
    </row>
    <row r="474" ht="19" customHeight="1" s="1">
      <c r="B474" s="16" t="n">
        <v>469</v>
      </c>
      <c r="C474" s="16" t="inlineStr">
        <is>
          <t>定制化流式计算及IO计算及物模型配置</t>
        </is>
      </c>
      <c r="D474" s="16" t="inlineStr">
        <is>
          <t>规则配置服务</t>
        </is>
      </c>
      <c r="E474" s="16" t="inlineStr">
        <is>
          <t>回溯验证</t>
        </is>
      </c>
      <c r="F474" s="16" t="inlineStr">
        <is>
          <t>匹配率</t>
        </is>
      </c>
      <c r="G474" s="17" t="inlineStr">
        <is>
          <t xml:space="preserve"> 提供规则模拟结果匹配率统计分析服务</t>
        </is>
      </c>
      <c r="H474" s="18" t="inlineStr">
        <is>
          <t>EQ</t>
        </is>
      </c>
      <c r="I474" s="18">
        <f>IF(H474="ILF",10,IF(H474="EIF",7,IF(H474="EI",4,IF(H474="EO",5,IF(H474="EQ",4,"")))))</f>
        <v/>
      </c>
      <c r="J474" s="18" t="inlineStr">
        <is>
          <t>中</t>
        </is>
      </c>
      <c r="K474" s="18">
        <f>IF(J474="高",0.33,IF(J474="中",0.67,IF(J474="低",1,"")))</f>
        <v/>
      </c>
      <c r="L474" s="18" t="inlineStr">
        <is>
          <t>新增</t>
        </is>
      </c>
      <c r="M474" s="18">
        <f>IF(L474="新增",1,IF(L474="修改",0.8,IF(L474="删除",0.2,"")))</f>
        <v/>
      </c>
      <c r="N474" s="18">
        <f>I474*K474*M474</f>
        <v/>
      </c>
    </row>
    <row r="475" ht="19" customHeight="1" s="1">
      <c r="B475" s="16" t="n">
        <v>470</v>
      </c>
      <c r="C475" s="16" t="inlineStr">
        <is>
          <t>定制化流式计算及IO计算及物模型配置</t>
        </is>
      </c>
      <c r="D475" s="16" t="inlineStr">
        <is>
          <t>规则配置服务</t>
        </is>
      </c>
      <c r="E475" s="16" t="inlineStr">
        <is>
          <t>回溯验证</t>
        </is>
      </c>
      <c r="F475" s="16" t="inlineStr">
        <is>
          <t>误报率</t>
        </is>
      </c>
      <c r="G475" s="17" t="inlineStr">
        <is>
          <t xml:space="preserve"> 提供规则模拟结果误报率统计分析服务</t>
        </is>
      </c>
      <c r="H475" s="18" t="inlineStr">
        <is>
          <t>EQ</t>
        </is>
      </c>
      <c r="I475" s="18">
        <f>IF(H475="ILF",10,IF(H475="EIF",7,IF(H475="EI",4,IF(H475="EO",5,IF(H475="EQ",4,"")))))</f>
        <v/>
      </c>
      <c r="J475" s="18" t="inlineStr">
        <is>
          <t>中</t>
        </is>
      </c>
      <c r="K475" s="18">
        <f>IF(J475="高",0.33,IF(J475="中",0.67,IF(J475="低",1,"")))</f>
        <v/>
      </c>
      <c r="L475" s="18" t="inlineStr">
        <is>
          <t>新增</t>
        </is>
      </c>
      <c r="M475" s="18">
        <f>IF(L475="新增",1,IF(L475="修改",0.8,IF(L475="删除",0.2,"")))</f>
        <v/>
      </c>
      <c r="N475" s="18">
        <f>I475*K475*M475</f>
        <v/>
      </c>
    </row>
    <row r="476" ht="19" customHeight="1" s="1">
      <c r="B476" s="16" t="n">
        <v>471</v>
      </c>
      <c r="C476" s="16" t="inlineStr">
        <is>
          <t>定制化流式计算及IO计算及物模型配置</t>
        </is>
      </c>
      <c r="D476" s="16" t="inlineStr">
        <is>
          <t>规则配置服务</t>
        </is>
      </c>
      <c r="E476" s="16" t="inlineStr">
        <is>
          <t>回溯验证</t>
        </is>
      </c>
      <c r="F476" s="16" t="inlineStr">
        <is>
          <t>漏报率</t>
        </is>
      </c>
      <c r="G476" s="17" t="inlineStr">
        <is>
          <t xml:space="preserve"> 提供规则模拟结果漏报率统计分析服务</t>
        </is>
      </c>
      <c r="H476" s="18" t="inlineStr">
        <is>
          <t>EQ</t>
        </is>
      </c>
      <c r="I476" s="18">
        <f>IF(H476="ILF",10,IF(H476="EIF",7,IF(H476="EI",4,IF(H476="EO",5,IF(H476="EQ",4,"")))))</f>
        <v/>
      </c>
      <c r="J476" s="18" t="inlineStr">
        <is>
          <t>高</t>
        </is>
      </c>
      <c r="K476" s="18">
        <f>IF(J476="高",0.33,IF(J476="中",0.67,IF(J476="低",1,"")))</f>
        <v/>
      </c>
      <c r="L476" s="18" t="inlineStr">
        <is>
          <t>新增</t>
        </is>
      </c>
      <c r="M476" s="18">
        <f>IF(L476="新增",1,IF(L476="修改",0.8,IF(L476="删除",0.2,"")))</f>
        <v/>
      </c>
      <c r="N476" s="18">
        <f>I476*K476*M476</f>
        <v/>
      </c>
    </row>
    <row r="477" ht="19" customHeight="1" s="1">
      <c r="B477" s="16" t="n">
        <v>472</v>
      </c>
      <c r="C477" s="16" t="inlineStr">
        <is>
          <t>定制化流式计算及IO计算及物模型配置</t>
        </is>
      </c>
      <c r="D477" s="16" t="inlineStr">
        <is>
          <t>规则配置服务</t>
        </is>
      </c>
      <c r="E477" s="16" t="inlineStr">
        <is>
          <t>回溯验证</t>
        </is>
      </c>
      <c r="F477" s="16" t="inlineStr">
        <is>
          <t>新旧对比</t>
        </is>
      </c>
      <c r="G477" s="17" t="inlineStr">
        <is>
          <t xml:space="preserve"> 提供新规则与原规则触发效果对比分析服务</t>
        </is>
      </c>
      <c r="H477" s="18" t="inlineStr">
        <is>
          <t>EQ</t>
        </is>
      </c>
      <c r="I477" s="18">
        <f>IF(H477="ILF",10,IF(H477="EIF",7,IF(H477="EI",4,IF(H477="EO",5,IF(H477="EQ",4,"")))))</f>
        <v/>
      </c>
      <c r="J477" s="18" t="inlineStr">
        <is>
          <t>高</t>
        </is>
      </c>
      <c r="K477" s="18">
        <f>IF(J477="高",0.33,IF(J477="中",0.67,IF(J477="低",1,"")))</f>
        <v/>
      </c>
      <c r="L477" s="18" t="inlineStr">
        <is>
          <t>新增</t>
        </is>
      </c>
      <c r="M477" s="18">
        <f>IF(L477="新增",1,IF(L477="修改",0.8,IF(L477="删除",0.2,"")))</f>
        <v/>
      </c>
      <c r="N477" s="18">
        <f>I477*K477*M477</f>
        <v/>
      </c>
    </row>
    <row r="478" ht="19" customHeight="1" s="1">
      <c r="B478" s="16" t="n">
        <v>473</v>
      </c>
      <c r="C478" s="16" t="inlineStr">
        <is>
          <t>定制化流式计算及IO计算及物模型配置</t>
        </is>
      </c>
      <c r="D478" s="16" t="inlineStr">
        <is>
          <t>规则配置服务</t>
        </is>
      </c>
      <c r="E478" s="16" t="inlineStr">
        <is>
          <t>回溯验证</t>
        </is>
      </c>
      <c r="F478" s="16" t="inlineStr">
        <is>
          <t>回溯参数</t>
        </is>
      </c>
      <c r="G478" s="17" t="inlineStr">
        <is>
          <t xml:space="preserve"> 提供回溯验证的窗口/阈值参数配置服务</t>
        </is>
      </c>
      <c r="H478" s="18" t="inlineStr">
        <is>
          <t>EQ</t>
        </is>
      </c>
      <c r="I478" s="18">
        <f>IF(H478="ILF",10,IF(H478="EIF",7,IF(H478="EI",4,IF(H478="EO",5,IF(H478="EQ",4,"")))))</f>
        <v/>
      </c>
      <c r="J478" s="18" t="inlineStr">
        <is>
          <t>高</t>
        </is>
      </c>
      <c r="K478" s="18">
        <f>IF(J478="高",0.33,IF(J478="中",0.67,IF(J478="低",1,"")))</f>
        <v/>
      </c>
      <c r="L478" s="18" t="inlineStr">
        <is>
          <t>新增</t>
        </is>
      </c>
      <c r="M478" s="18">
        <f>IF(L478="新增",1,IF(L478="修改",0.8,IF(L478="删除",0.2,"")))</f>
        <v/>
      </c>
      <c r="N478" s="18">
        <f>I478*K478*M478</f>
        <v/>
      </c>
    </row>
    <row r="479" ht="19" customHeight="1" s="1">
      <c r="B479" s="16" t="n">
        <v>474</v>
      </c>
      <c r="C479" s="16" t="inlineStr">
        <is>
          <t>定制化流式计算及IO计算及物模型配置</t>
        </is>
      </c>
      <c r="D479" s="16" t="inlineStr">
        <is>
          <t>规则配置服务</t>
        </is>
      </c>
      <c r="E479" s="16" t="inlineStr">
        <is>
          <t>回溯验证</t>
        </is>
      </c>
      <c r="F479" s="16" t="inlineStr">
        <is>
          <t>回溯报告</t>
        </is>
      </c>
      <c r="G479" s="17" t="inlineStr">
        <is>
          <t xml:space="preserve"> 提供回溯验证结果报告自动生成服务</t>
        </is>
      </c>
      <c r="H479" s="18" t="inlineStr">
        <is>
          <t>EQ</t>
        </is>
      </c>
      <c r="I479" s="18">
        <f>IF(H479="ILF",10,IF(H479="EIF",7,IF(H479="EI",4,IF(H479="EO",5,IF(H479="EQ",4,"")))))</f>
        <v/>
      </c>
      <c r="J479" s="18" t="inlineStr">
        <is>
          <t>高</t>
        </is>
      </c>
      <c r="K479" s="18">
        <f>IF(J479="高",0.33,IF(J479="中",0.67,IF(J479="低",1,"")))</f>
        <v/>
      </c>
      <c r="L479" s="18" t="inlineStr">
        <is>
          <t>新增</t>
        </is>
      </c>
      <c r="M479" s="18">
        <f>IF(L479="新增",1,IF(L479="修改",0.8,IF(L479="删除",0.2,"")))</f>
        <v/>
      </c>
      <c r="N479" s="18">
        <f>I479*K479*M479</f>
        <v/>
      </c>
    </row>
    <row r="480" ht="19" customHeight="1" s="1">
      <c r="B480" s="16" t="n">
        <v>475</v>
      </c>
      <c r="C480" s="16" t="inlineStr">
        <is>
          <t>定制化流式计算及IO计算及物模型配置</t>
        </is>
      </c>
      <c r="D480" s="16" t="inlineStr">
        <is>
          <t>边缘平台联动</t>
        </is>
      </c>
      <c r="E480" s="16" t="inlineStr">
        <is>
          <t>边缘判定</t>
        </is>
      </c>
      <c r="F480" s="16" t="inlineStr">
        <is>
          <t>实时判定</t>
        </is>
      </c>
      <c r="G480" s="17" t="inlineStr">
        <is>
          <t xml:space="preserve"> 提供边缘网关侧毫秒级告警算法判定服务</t>
        </is>
      </c>
      <c r="H480" s="18" t="inlineStr">
        <is>
          <t>EQ</t>
        </is>
      </c>
      <c r="I480" s="18">
        <f>IF(H480="ILF",10,IF(H480="EIF",7,IF(H480="EI",4,IF(H480="EO",5,IF(H480="EQ",4,"")))))</f>
        <v/>
      </c>
      <c r="J480" s="18" t="inlineStr">
        <is>
          <t>高</t>
        </is>
      </c>
      <c r="K480" s="18">
        <f>IF(J480="高",0.33,IF(J480="中",0.67,IF(J480="低",1,"")))</f>
        <v/>
      </c>
      <c r="L480" s="18" t="inlineStr">
        <is>
          <t>新增</t>
        </is>
      </c>
      <c r="M480" s="18">
        <f>IF(L480="新增",1,IF(L480="修改",0.8,IF(L480="删除",0.2,"")))</f>
        <v/>
      </c>
      <c r="N480" s="18">
        <f>I480*K480*M480</f>
        <v/>
      </c>
    </row>
    <row r="481" ht="19" customHeight="1" s="1">
      <c r="B481" s="16" t="n">
        <v>476</v>
      </c>
      <c r="C481" s="16" t="inlineStr">
        <is>
          <t>边缘智能体系统平台开发</t>
        </is>
      </c>
      <c r="D481" s="16" t="inlineStr">
        <is>
          <t>健康管理服务</t>
        </is>
      </c>
      <c r="E481" s="16" t="inlineStr">
        <is>
          <t>设备状态监测</t>
        </is>
      </c>
      <c r="F481" s="16" t="inlineStr">
        <is>
          <t>设备KPI编制</t>
        </is>
      </c>
      <c r="G481" s="17" t="inlineStr">
        <is>
          <t xml:space="preserve"> 提供设备关键绩效指标KPI编制服务</t>
        </is>
      </c>
      <c r="H481" s="18" t="inlineStr">
        <is>
          <t>ILF</t>
        </is>
      </c>
      <c r="I481" s="18">
        <f>IF(H481="ILF",10,IF(H481="EIF",7,IF(H481="EI",4,IF(H481="EO",5,IF(H481="EQ",4,"")))))</f>
        <v/>
      </c>
      <c r="J481" s="18" t="inlineStr">
        <is>
          <t>低</t>
        </is>
      </c>
      <c r="K481" s="18">
        <f>IF(J481="高",0.33,IF(J481="中",0.67,IF(J481="低",1,"")))</f>
        <v/>
      </c>
      <c r="L481" s="18" t="inlineStr">
        <is>
          <t>新增</t>
        </is>
      </c>
      <c r="M481" s="18">
        <f>IF(L481="新增",1,IF(L481="修改",0.8,IF(L481="删除",0.2,"")))</f>
        <v/>
      </c>
      <c r="N481" s="18">
        <f>I481*K481*M481</f>
        <v/>
      </c>
    </row>
    <row r="482" ht="19" customHeight="1" s="1">
      <c r="B482" s="16" t="n">
        <v>477</v>
      </c>
      <c r="C482" s="16" t="inlineStr">
        <is>
          <t>边缘智能体系统平台开发</t>
        </is>
      </c>
      <c r="D482" s="16" t="inlineStr">
        <is>
          <t>健康管理服务</t>
        </is>
      </c>
      <c r="E482" s="16" t="inlineStr">
        <is>
          <t>设备状态监测</t>
        </is>
      </c>
      <c r="F482" s="16" t="inlineStr">
        <is>
          <t>设备KPI监控</t>
        </is>
      </c>
      <c r="G482" s="17" t="inlineStr">
        <is>
          <t xml:space="preserve"> 提供设备KPI实时监控服务</t>
        </is>
      </c>
      <c r="H482" s="18" t="inlineStr">
        <is>
          <t>ILF</t>
        </is>
      </c>
      <c r="I482" s="18">
        <f>IF(H482="ILF",10,IF(H482="EIF",7,IF(H482="EI",4,IF(H482="EO",5,IF(H482="EQ",4,"")))))</f>
        <v/>
      </c>
      <c r="J482" s="18" t="inlineStr">
        <is>
          <t>低</t>
        </is>
      </c>
      <c r="K482" s="18">
        <f>IF(J482="高",0.33,IF(J482="中",0.67,IF(J482="低",1,"")))</f>
        <v/>
      </c>
      <c r="L482" s="18" t="inlineStr">
        <is>
          <t>新增</t>
        </is>
      </c>
      <c r="M482" s="18">
        <f>IF(L482="新增",1,IF(L482="修改",0.8,IF(L482="删除",0.2,"")))</f>
        <v/>
      </c>
      <c r="N482" s="18">
        <f>I482*K482*M482</f>
        <v/>
      </c>
    </row>
    <row r="483" ht="19" customHeight="1" s="1">
      <c r="B483" s="16" t="n">
        <v>478</v>
      </c>
      <c r="C483" s="16" t="inlineStr">
        <is>
          <t>边缘智能体系统平台开发</t>
        </is>
      </c>
      <c r="D483" s="16" t="inlineStr">
        <is>
          <t>健康管理服务</t>
        </is>
      </c>
      <c r="E483" s="16" t="inlineStr">
        <is>
          <t>设备状态监测</t>
        </is>
      </c>
      <c r="F483" s="16" t="inlineStr">
        <is>
          <t>设备KPI报表</t>
        </is>
      </c>
      <c r="G483" s="17" t="inlineStr">
        <is>
          <t xml:space="preserve"> 提供设备KPI统计报表生成服务</t>
        </is>
      </c>
      <c r="H483" s="18" t="inlineStr">
        <is>
          <t>ILF</t>
        </is>
      </c>
      <c r="I483" s="18">
        <f>IF(H483="ILF",10,IF(H483="EIF",7,IF(H483="EI",4,IF(H483="EO",5,IF(H483="EQ",4,"")))))</f>
        <v/>
      </c>
      <c r="J483" s="18" t="inlineStr">
        <is>
          <t>低</t>
        </is>
      </c>
      <c r="K483" s="18">
        <f>IF(J483="高",0.33,IF(J483="中",0.67,IF(J483="低",1,"")))</f>
        <v/>
      </c>
      <c r="L483" s="18" t="inlineStr">
        <is>
          <t>新增</t>
        </is>
      </c>
      <c r="M483" s="18">
        <f>IF(L483="新增",1,IF(L483="修改",0.8,IF(L483="删除",0.2,"")))</f>
        <v/>
      </c>
      <c r="N483" s="18">
        <f>I483*K483*M483</f>
        <v/>
      </c>
    </row>
    <row r="484" ht="19" customHeight="1" s="1">
      <c r="B484" s="16" t="n">
        <v>479</v>
      </c>
      <c r="C484" s="16" t="inlineStr">
        <is>
          <t>边缘智能体系统平台开发</t>
        </is>
      </c>
      <c r="D484" s="16" t="inlineStr">
        <is>
          <t>健康管理服务</t>
        </is>
      </c>
      <c r="E484" s="16" t="inlineStr">
        <is>
          <t>设备状态监测</t>
        </is>
      </c>
      <c r="F484" s="16" t="inlineStr">
        <is>
          <t>设备排放监测</t>
        </is>
      </c>
      <c r="G484" s="17" t="inlineStr">
        <is>
          <t xml:space="preserve"> 提供设备环保排放监测服务</t>
        </is>
      </c>
      <c r="H484" s="18" t="inlineStr">
        <is>
          <t>ILF</t>
        </is>
      </c>
      <c r="I484" s="18">
        <f>IF(H484="ILF",10,IF(H484="EIF",7,IF(H484="EI",4,IF(H484="EO",5,IF(H484="EQ",4,"")))))</f>
        <v/>
      </c>
      <c r="J484" s="18" t="inlineStr">
        <is>
          <t>低</t>
        </is>
      </c>
      <c r="K484" s="18">
        <f>IF(J484="高",0.33,IF(J484="中",0.67,IF(J484="低",1,"")))</f>
        <v/>
      </c>
      <c r="L484" s="18" t="inlineStr">
        <is>
          <t>新增</t>
        </is>
      </c>
      <c r="M484" s="18">
        <f>IF(L484="新增",1,IF(L484="修改",0.8,IF(L484="删除",0.2,"")))</f>
        <v/>
      </c>
      <c r="N484" s="18">
        <f>I484*K484*M484</f>
        <v/>
      </c>
    </row>
    <row r="485" ht="19" customHeight="1" s="1">
      <c r="B485" s="16" t="n">
        <v>480</v>
      </c>
      <c r="C485" s="16" t="inlineStr">
        <is>
          <t>边缘智能体系统平台开发</t>
        </is>
      </c>
      <c r="D485" s="16" t="inlineStr">
        <is>
          <t>健康管理服务</t>
        </is>
      </c>
      <c r="E485" s="16" t="inlineStr">
        <is>
          <t>设备状态监测</t>
        </is>
      </c>
      <c r="F485" s="16" t="inlineStr">
        <is>
          <t>设备校准管理</t>
        </is>
      </c>
      <c r="G485" s="17" t="inlineStr">
        <is>
          <t xml:space="preserve"> 提供设备校准周期和记录管理服务</t>
        </is>
      </c>
      <c r="H485" s="18" t="inlineStr">
        <is>
          <t>ILF</t>
        </is>
      </c>
      <c r="I485" s="18">
        <f>IF(H485="ILF",10,IF(H485="EIF",7,IF(H485="EI",4,IF(H485="EO",5,IF(H485="EQ",4,"")))))</f>
        <v/>
      </c>
      <c r="J485" s="18" t="inlineStr">
        <is>
          <t>低</t>
        </is>
      </c>
      <c r="K485" s="18">
        <f>IF(J485="高",0.33,IF(J485="中",0.67,IF(J485="低",1,"")))</f>
        <v/>
      </c>
      <c r="L485" s="18" t="inlineStr">
        <is>
          <t>新增</t>
        </is>
      </c>
      <c r="M485" s="18">
        <f>IF(L485="新增",1,IF(L485="修改",0.8,IF(L485="删除",0.2,"")))</f>
        <v/>
      </c>
      <c r="N485" s="18">
        <f>I485*K485*M485</f>
        <v/>
      </c>
    </row>
    <row r="486" ht="19" customHeight="1" s="1">
      <c r="B486" s="16" t="n">
        <v>481</v>
      </c>
      <c r="C486" s="16" t="inlineStr">
        <is>
          <t>边缘智能体系统平台开发</t>
        </is>
      </c>
      <c r="D486" s="16" t="inlineStr">
        <is>
          <t>健康管理服务</t>
        </is>
      </c>
      <c r="E486" s="16" t="inlineStr">
        <is>
          <t>设备状态监测</t>
        </is>
      </c>
      <c r="F486" s="16" t="inlineStr">
        <is>
          <t>设备检定管理</t>
        </is>
      </c>
      <c r="G486" s="17" t="inlineStr">
        <is>
          <t xml:space="preserve"> 提供设备计量检定管理服务</t>
        </is>
      </c>
      <c r="H486" s="18" t="inlineStr">
        <is>
          <t>ILF</t>
        </is>
      </c>
      <c r="I486" s="18">
        <f>IF(H486="ILF",10,IF(H486="EIF",7,IF(H486="EI",4,IF(H486="EO",5,IF(H486="EQ",4,"")))))</f>
        <v/>
      </c>
      <c r="J486" s="18" t="inlineStr">
        <is>
          <t>低</t>
        </is>
      </c>
      <c r="K486" s="18">
        <f>IF(J486="高",0.33,IF(J486="中",0.67,IF(J486="低",1,"")))</f>
        <v/>
      </c>
      <c r="L486" s="18" t="inlineStr">
        <is>
          <t>新增</t>
        </is>
      </c>
      <c r="M486" s="18">
        <f>IF(L486="新增",1,IF(L486="修改",0.8,IF(L486="删除",0.2,"")))</f>
        <v/>
      </c>
      <c r="N486" s="18">
        <f>I486*K486*M486</f>
        <v/>
      </c>
    </row>
    <row r="487" ht="19" customHeight="1" s="1">
      <c r="B487" s="16" t="n">
        <v>482</v>
      </c>
      <c r="C487" s="16" t="inlineStr">
        <is>
          <t>边缘智能体系统平台开发</t>
        </is>
      </c>
      <c r="D487" s="16" t="inlineStr">
        <is>
          <t>健康管理服务</t>
        </is>
      </c>
      <c r="E487" s="16" t="inlineStr">
        <is>
          <t>设备状态监测</t>
        </is>
      </c>
      <c r="F487" s="16" t="inlineStr">
        <is>
          <t>设备巡检管理</t>
        </is>
      </c>
      <c r="G487" s="17" t="inlineStr">
        <is>
          <t xml:space="preserve"> 提供设备巡检任务和记录管理服务</t>
        </is>
      </c>
      <c r="H487" s="18" t="inlineStr">
        <is>
          <t>ILF</t>
        </is>
      </c>
      <c r="I487" s="18">
        <f>IF(H487="ILF",10,IF(H487="EIF",7,IF(H487="EI",4,IF(H487="EO",5,IF(H487="EQ",4,"")))))</f>
        <v/>
      </c>
      <c r="J487" s="18" t="inlineStr">
        <is>
          <t>低</t>
        </is>
      </c>
      <c r="K487" s="18">
        <f>IF(J487="高",0.33,IF(J487="中",0.67,IF(J487="低",1,"")))</f>
        <v/>
      </c>
      <c r="L487" s="18" t="inlineStr">
        <is>
          <t>新增</t>
        </is>
      </c>
      <c r="M487" s="18">
        <f>IF(L487="新增",1,IF(L487="修改",0.8,IF(L487="删除",0.2,"")))</f>
        <v/>
      </c>
      <c r="N487" s="18">
        <f>I487*K487*M487</f>
        <v/>
      </c>
    </row>
    <row r="488" ht="19" customHeight="1" s="1">
      <c r="B488" s="16" t="n">
        <v>483</v>
      </c>
      <c r="C488" s="16" t="inlineStr">
        <is>
          <t>边缘智能体系统平台开发</t>
        </is>
      </c>
      <c r="D488" s="16" t="inlineStr">
        <is>
          <t>健康管理服务</t>
        </is>
      </c>
      <c r="E488" s="16" t="inlineStr">
        <is>
          <t>设备状态监测</t>
        </is>
      </c>
      <c r="F488" s="16" t="inlineStr">
        <is>
          <t>设备点检管理</t>
        </is>
      </c>
      <c r="G488" s="17" t="inlineStr">
        <is>
          <t xml:space="preserve"> 提供设备点检标准和记录管理服务</t>
        </is>
      </c>
      <c r="H488" s="18" t="inlineStr">
        <is>
          <t>ILF</t>
        </is>
      </c>
      <c r="I488" s="18">
        <f>IF(H488="ILF",10,IF(H488="EIF",7,IF(H488="EI",4,IF(H488="EO",5,IF(H488="EQ",4,"")))))</f>
        <v/>
      </c>
      <c r="J488" s="18" t="inlineStr">
        <is>
          <t>低</t>
        </is>
      </c>
      <c r="K488" s="18">
        <f>IF(J488="高",0.33,IF(J488="中",0.67,IF(J488="低",1,"")))</f>
        <v/>
      </c>
      <c r="L488" s="18" t="inlineStr">
        <is>
          <t>新增</t>
        </is>
      </c>
      <c r="M488" s="18">
        <f>IF(L488="新增",1,IF(L488="修改",0.8,IF(L488="删除",0.2,"")))</f>
        <v/>
      </c>
      <c r="N488" s="18">
        <f>I488*K488*M488</f>
        <v/>
      </c>
    </row>
    <row r="489" ht="19" customHeight="1" s="1">
      <c r="B489" s="16" t="n">
        <v>484</v>
      </c>
      <c r="C489" s="16" t="inlineStr">
        <is>
          <t>边缘智能体系统平台开发</t>
        </is>
      </c>
      <c r="D489" s="16" t="inlineStr">
        <is>
          <t>健康管理服务</t>
        </is>
      </c>
      <c r="E489" s="16" t="inlineStr">
        <is>
          <t>设备状态监测</t>
        </is>
      </c>
      <c r="F489" s="16" t="inlineStr">
        <is>
          <t>设备保养管理</t>
        </is>
      </c>
      <c r="G489" s="17" t="inlineStr">
        <is>
          <t xml:space="preserve"> 提供设备保养计划执行管理服务</t>
        </is>
      </c>
      <c r="H489" s="18" t="inlineStr">
        <is>
          <t>ILF</t>
        </is>
      </c>
      <c r="I489" s="18">
        <f>IF(H489="ILF",10,IF(H489="EIF",7,IF(H489="EI",4,IF(H489="EO",5,IF(H489="EQ",4,"")))))</f>
        <v/>
      </c>
      <c r="J489" s="18" t="inlineStr">
        <is>
          <t>低</t>
        </is>
      </c>
      <c r="K489" s="18">
        <f>IF(J489="高",0.33,IF(J489="中",0.67,IF(J489="低",1,"")))</f>
        <v/>
      </c>
      <c r="L489" s="18" t="inlineStr">
        <is>
          <t>新增</t>
        </is>
      </c>
      <c r="M489" s="18">
        <f>IF(L489="新增",1,IF(L489="修改",0.8,IF(L489="删除",0.2,"")))</f>
        <v/>
      </c>
      <c r="N489" s="18">
        <f>I489*K489*M489</f>
        <v/>
      </c>
    </row>
    <row r="490" ht="19" customHeight="1" s="1">
      <c r="B490" s="16" t="n">
        <v>485</v>
      </c>
      <c r="C490" s="16" t="inlineStr">
        <is>
          <t>边缘智能体系统平台开发</t>
        </is>
      </c>
      <c r="D490" s="16" t="inlineStr">
        <is>
          <t>设备档案管理</t>
        </is>
      </c>
      <c r="E490" s="16" t="inlineStr">
        <is>
          <t>设备巡检管理</t>
        </is>
      </c>
      <c r="F490" s="16" t="inlineStr">
        <is>
          <t>巡检计划配置</t>
        </is>
      </c>
      <c r="G490" s="17" t="inlineStr">
        <is>
          <t xml:space="preserve"> 提供设备巡检计划编制和配置技术服务</t>
        </is>
      </c>
      <c r="H490" s="18" t="inlineStr">
        <is>
          <t>ILF</t>
        </is>
      </c>
      <c r="I490" s="18">
        <f>IF(H490="ILF",10,IF(H490="EIF",7,IF(H490="EI",4,IF(H490="EO",5,IF(H490="EQ",4,"")))))</f>
        <v/>
      </c>
      <c r="J490" s="18" t="inlineStr">
        <is>
          <t>低</t>
        </is>
      </c>
      <c r="K490" s="18">
        <f>IF(J490="高",0.33,IF(J490="中",0.67,IF(J490="低",1,"")))</f>
        <v/>
      </c>
      <c r="L490" s="18" t="inlineStr">
        <is>
          <t>新增</t>
        </is>
      </c>
      <c r="M490" s="18">
        <f>IF(L490="新增",1,IF(L490="修改",0.8,IF(L490="删除",0.2,"")))</f>
        <v/>
      </c>
      <c r="N490" s="18">
        <f>I490*K490*M490</f>
        <v/>
      </c>
    </row>
    <row r="491" ht="19" customHeight="1" s="1">
      <c r="B491" s="16" t="n">
        <v>486</v>
      </c>
      <c r="C491" s="16" t="inlineStr">
        <is>
          <t>边缘智能体系统平台开发</t>
        </is>
      </c>
      <c r="D491" s="16" t="inlineStr">
        <is>
          <t>设备档案管理</t>
        </is>
      </c>
      <c r="E491" s="16" t="inlineStr">
        <is>
          <t>设备巡检管理</t>
        </is>
      </c>
      <c r="F491" s="16" t="inlineStr">
        <is>
          <t>巡检路线配置</t>
        </is>
      </c>
      <c r="G491" s="17" t="inlineStr">
        <is>
          <t xml:space="preserve"> 提供设备巡检路线和点位配置技术服务</t>
        </is>
      </c>
      <c r="H491" s="18" t="inlineStr">
        <is>
          <t>ILF</t>
        </is>
      </c>
      <c r="I491" s="18">
        <f>IF(H491="ILF",10,IF(H491="EIF",7,IF(H491="EI",4,IF(H491="EO",5,IF(H491="EQ",4,"")))))</f>
        <v/>
      </c>
      <c r="J491" s="18" t="inlineStr">
        <is>
          <t>低</t>
        </is>
      </c>
      <c r="K491" s="18">
        <f>IF(J491="高",0.33,IF(J491="中",0.67,IF(J491="低",1,"")))</f>
        <v/>
      </c>
      <c r="L491" s="18" t="inlineStr">
        <is>
          <t>新增</t>
        </is>
      </c>
      <c r="M491" s="18">
        <f>IF(L491="新增",1,IF(L491="修改",0.8,IF(L491="删除",0.2,"")))</f>
        <v/>
      </c>
      <c r="N491" s="18">
        <f>I491*K491*M491</f>
        <v/>
      </c>
    </row>
    <row r="492" ht="19" customHeight="1" s="1">
      <c r="B492" s="16" t="n">
        <v>487</v>
      </c>
      <c r="C492" s="16" t="inlineStr">
        <is>
          <t>边缘智能体系统平台开发</t>
        </is>
      </c>
      <c r="D492" s="16" t="inlineStr">
        <is>
          <t>设备档案管理</t>
        </is>
      </c>
      <c r="E492" s="16" t="inlineStr">
        <is>
          <t>设备巡检管理</t>
        </is>
      </c>
      <c r="F492" s="16" t="inlineStr">
        <is>
          <t>巡检标准配置</t>
        </is>
      </c>
      <c r="G492" s="17" t="inlineStr">
        <is>
          <t xml:space="preserve"> 提供设备巡检标准参数配置技术服务</t>
        </is>
      </c>
      <c r="H492" s="18" t="inlineStr">
        <is>
          <t>ILF</t>
        </is>
      </c>
      <c r="I492" s="18">
        <f>IF(H492="ILF",10,IF(H492="EIF",7,IF(H492="EI",4,IF(H492="EO",5,IF(H492="EQ",4,"")))))</f>
        <v/>
      </c>
      <c r="J492" s="18" t="inlineStr">
        <is>
          <t>低</t>
        </is>
      </c>
      <c r="K492" s="18">
        <f>IF(J492="高",0.33,IF(J492="中",0.67,IF(J492="低",1,"")))</f>
        <v/>
      </c>
      <c r="L492" s="18" t="inlineStr">
        <is>
          <t>新增</t>
        </is>
      </c>
      <c r="M492" s="18">
        <f>IF(L492="新增",1,IF(L492="修改",0.8,IF(L492="删除",0.2,"")))</f>
        <v/>
      </c>
      <c r="N492" s="18">
        <f>I492*K492*M492</f>
        <v/>
      </c>
    </row>
    <row r="493" ht="19" customHeight="1" s="1">
      <c r="B493" s="16" t="n">
        <v>488</v>
      </c>
      <c r="C493" s="16" t="inlineStr">
        <is>
          <t>边缘智能体系统平台开发</t>
        </is>
      </c>
      <c r="D493" s="16" t="inlineStr">
        <is>
          <t>设备档案管理</t>
        </is>
      </c>
      <c r="E493" s="16" t="inlineStr">
        <is>
          <t>设备保养管理</t>
        </is>
      </c>
      <c r="F493" s="16" t="inlineStr">
        <is>
          <t>保养计划配置</t>
        </is>
      </c>
      <c r="G493" s="17" t="inlineStr">
        <is>
          <t xml:space="preserve"> 提供设备保养计划编制配置技术服务</t>
        </is>
      </c>
      <c r="H493" s="18" t="inlineStr">
        <is>
          <t>ILF</t>
        </is>
      </c>
      <c r="I493" s="18">
        <f>IF(H493="ILF",10,IF(H493="EIF",7,IF(H493="EI",4,IF(H493="EO",5,IF(H493="EQ",4,"")))))</f>
        <v/>
      </c>
      <c r="J493" s="18" t="inlineStr">
        <is>
          <t>低</t>
        </is>
      </c>
      <c r="K493" s="18">
        <f>IF(J493="高",0.33,IF(J493="中",0.67,IF(J493="低",1,"")))</f>
        <v/>
      </c>
      <c r="L493" s="18" t="inlineStr">
        <is>
          <t>新增</t>
        </is>
      </c>
      <c r="M493" s="18">
        <f>IF(L493="新增",1,IF(L493="修改",0.8,IF(L493="删除",0.2,"")))</f>
        <v/>
      </c>
      <c r="N493" s="18">
        <f>I493*K493*M493</f>
        <v/>
      </c>
    </row>
    <row r="494" ht="19" customHeight="1" s="1">
      <c r="B494" s="16" t="n">
        <v>489</v>
      </c>
      <c r="C494" s="16" t="inlineStr">
        <is>
          <t>边缘智能体系统平台开发</t>
        </is>
      </c>
      <c r="D494" s="16" t="inlineStr">
        <is>
          <t>设备档案管理</t>
        </is>
      </c>
      <c r="E494" s="16" t="inlineStr">
        <is>
          <t>设备保养管理</t>
        </is>
      </c>
      <c r="F494" s="16" t="inlineStr">
        <is>
          <t>保养标准配置</t>
        </is>
      </c>
      <c r="G494" s="17" t="inlineStr">
        <is>
          <t xml:space="preserve"> 提供设备保养标准参数配置技术服务</t>
        </is>
      </c>
      <c r="H494" s="18" t="inlineStr">
        <is>
          <t>ILF</t>
        </is>
      </c>
      <c r="I494" s="18">
        <f>IF(H494="ILF",10,IF(H494="EIF",7,IF(H494="EI",4,IF(H494="EO",5,IF(H494="EQ",4,"")))))</f>
        <v/>
      </c>
      <c r="J494" s="18" t="inlineStr">
        <is>
          <t>中</t>
        </is>
      </c>
      <c r="K494" s="18">
        <f>IF(J494="高",0.33,IF(J494="中",0.67,IF(J494="低",1,"")))</f>
        <v/>
      </c>
      <c r="L494" s="18" t="inlineStr">
        <is>
          <t>新增</t>
        </is>
      </c>
      <c r="M494" s="18">
        <f>IF(L494="新增",1,IF(L494="修改",0.8,IF(L494="删除",0.2,"")))</f>
        <v/>
      </c>
      <c r="N494" s="18">
        <f>I494*K494*M494</f>
        <v/>
      </c>
    </row>
    <row r="495" ht="19" customHeight="1" s="1">
      <c r="B495" s="16" t="n">
        <v>490</v>
      </c>
      <c r="C495" s="16" t="inlineStr">
        <is>
          <t>边缘智能体系统平台开发</t>
        </is>
      </c>
      <c r="D495" s="16" t="inlineStr">
        <is>
          <t>设备档案管理</t>
        </is>
      </c>
      <c r="E495" s="16" t="inlineStr">
        <is>
          <t>设备校准管理</t>
        </is>
      </c>
      <c r="F495" s="16" t="inlineStr">
        <is>
          <t>校准周期配置</t>
        </is>
      </c>
      <c r="G495" s="17" t="inlineStr">
        <is>
          <t xml:space="preserve"> 提供设备校准周期参数配置技术服务</t>
        </is>
      </c>
      <c r="H495" s="18" t="inlineStr">
        <is>
          <t>ILF</t>
        </is>
      </c>
      <c r="I495" s="18">
        <f>IF(H495="ILF",10,IF(H495="EIF",7,IF(H495="EI",4,IF(H495="EO",5,IF(H495="EQ",4,"")))))</f>
        <v/>
      </c>
      <c r="J495" s="18" t="inlineStr">
        <is>
          <t>中</t>
        </is>
      </c>
      <c r="K495" s="18">
        <f>IF(J495="高",0.33,IF(J495="中",0.67,IF(J495="低",1,"")))</f>
        <v/>
      </c>
      <c r="L495" s="18" t="inlineStr">
        <is>
          <t>新增</t>
        </is>
      </c>
      <c r="M495" s="18">
        <f>IF(L495="新增",1,IF(L495="修改",0.8,IF(L495="删除",0.2,"")))</f>
        <v/>
      </c>
      <c r="N495" s="18">
        <f>I495*K495*M495</f>
        <v/>
      </c>
    </row>
    <row r="496" ht="19" customHeight="1" s="1">
      <c r="B496" s="16" t="n">
        <v>491</v>
      </c>
      <c r="C496" s="16" t="inlineStr">
        <is>
          <t>边缘智能体系统平台开发</t>
        </is>
      </c>
      <c r="D496" s="16" t="inlineStr">
        <is>
          <t>设备档案管理</t>
        </is>
      </c>
      <c r="E496" s="16" t="inlineStr">
        <is>
          <t>设备校准管理</t>
        </is>
      </c>
      <c r="F496" s="16" t="inlineStr">
        <is>
          <t>校准标准配置</t>
        </is>
      </c>
      <c r="G496" s="17" t="inlineStr">
        <is>
          <t xml:space="preserve"> 提供设备校准标准参数配置技术服务</t>
        </is>
      </c>
      <c r="H496" s="18" t="inlineStr">
        <is>
          <t>ILF</t>
        </is>
      </c>
      <c r="I496" s="18">
        <f>IF(H496="ILF",10,IF(H496="EIF",7,IF(H496="EI",4,IF(H496="EO",5,IF(H496="EQ",4,"")))))</f>
        <v/>
      </c>
      <c r="J496" s="18" t="inlineStr">
        <is>
          <t>中</t>
        </is>
      </c>
      <c r="K496" s="18">
        <f>IF(J496="高",0.33,IF(J496="中",0.67,IF(J496="低",1,"")))</f>
        <v/>
      </c>
      <c r="L496" s="18" t="inlineStr">
        <is>
          <t>新增</t>
        </is>
      </c>
      <c r="M496" s="18">
        <f>IF(L496="新增",1,IF(L496="修改",0.8,IF(L496="删除",0.2,"")))</f>
        <v/>
      </c>
      <c r="N496" s="18">
        <f>I496*K496*M496</f>
        <v/>
      </c>
    </row>
    <row r="497" ht="19" customHeight="1" s="1">
      <c r="B497" s="16" t="n">
        <v>492</v>
      </c>
      <c r="C497" s="16" t="inlineStr">
        <is>
          <t>边缘智能体系统平台开发</t>
        </is>
      </c>
      <c r="D497" s="16" t="inlineStr">
        <is>
          <t>设备档案管理</t>
        </is>
      </c>
      <c r="E497" s="16" t="inlineStr">
        <is>
          <t>设备备件管理</t>
        </is>
      </c>
      <c r="F497" s="16" t="inlineStr">
        <is>
          <t>备件目录配置</t>
        </is>
      </c>
      <c r="G497" s="17" t="inlineStr">
        <is>
          <t xml:space="preserve"> 提供设备备件目录编制配置技术服务</t>
        </is>
      </c>
      <c r="H497" s="18" t="inlineStr">
        <is>
          <t>ILF</t>
        </is>
      </c>
      <c r="I497" s="18">
        <f>IF(H497="ILF",10,IF(H497="EIF",7,IF(H497="EI",4,IF(H497="EO",5,IF(H497="EQ",4,"")))))</f>
        <v/>
      </c>
      <c r="J497" s="18" t="inlineStr">
        <is>
          <t>中</t>
        </is>
      </c>
      <c r="K497" s="18">
        <f>IF(J497="高",0.33,IF(J497="中",0.67,IF(J497="低",1,"")))</f>
        <v/>
      </c>
      <c r="L497" s="18" t="inlineStr">
        <is>
          <t>新增</t>
        </is>
      </c>
      <c r="M497" s="18">
        <f>IF(L497="新增",1,IF(L497="修改",0.8,IF(L497="删除",0.2,"")))</f>
        <v/>
      </c>
      <c r="N497" s="18">
        <f>I497*K497*M497</f>
        <v/>
      </c>
    </row>
    <row r="498" ht="19" customHeight="1" s="1">
      <c r="B498" s="16" t="n">
        <v>493</v>
      </c>
      <c r="C498" s="16" t="inlineStr">
        <is>
          <t>边缘智能体系统平台开发</t>
        </is>
      </c>
      <c r="D498" s="16" t="inlineStr">
        <is>
          <t>设备档案管理</t>
        </is>
      </c>
      <c r="E498" s="16" t="inlineStr">
        <is>
          <t>设备备件管理</t>
        </is>
      </c>
      <c r="F498" s="16" t="inlineStr">
        <is>
          <t>备件库存查询</t>
        </is>
      </c>
      <c r="G498" s="17" t="inlineStr">
        <is>
          <t xml:space="preserve"> 提供设备备件库存实时查询技术服务</t>
        </is>
      </c>
      <c r="H498" s="18" t="inlineStr">
        <is>
          <t>ILF</t>
        </is>
      </c>
      <c r="I498" s="18">
        <f>IF(H498="ILF",10,IF(H498="EIF",7,IF(H498="EI",4,IF(H498="EO",5,IF(H498="EQ",4,"")))))</f>
        <v/>
      </c>
      <c r="J498" s="18" t="inlineStr">
        <is>
          <t>中</t>
        </is>
      </c>
      <c r="K498" s="18">
        <f>IF(J498="高",0.33,IF(J498="中",0.67,IF(J498="低",1,"")))</f>
        <v/>
      </c>
      <c r="L498" s="18" t="inlineStr">
        <is>
          <t>新增</t>
        </is>
      </c>
      <c r="M498" s="18">
        <f>IF(L498="新增",1,IF(L498="修改",0.8,IF(L498="删除",0.2,"")))</f>
        <v/>
      </c>
      <c r="N498" s="18">
        <f>I498*K498*M498</f>
        <v/>
      </c>
    </row>
    <row r="499" ht="19" customHeight="1" s="1">
      <c r="B499" s="16" t="n">
        <v>494</v>
      </c>
      <c r="C499" s="16" t="inlineStr">
        <is>
          <t>边缘智能体系统平台开发</t>
        </is>
      </c>
      <c r="D499" s="16" t="inlineStr">
        <is>
          <t>健康管理服务</t>
        </is>
      </c>
      <c r="E499" s="16" t="inlineStr">
        <is>
          <t>设备评估管理</t>
        </is>
      </c>
      <c r="F499" s="16" t="inlineStr">
        <is>
          <t>综合状态评估</t>
        </is>
      </c>
      <c r="G499" s="17" t="inlineStr">
        <is>
          <t xml:space="preserve"> 提供设备综合运行状态评估报告服务</t>
        </is>
      </c>
      <c r="H499" s="18" t="inlineStr">
        <is>
          <t>EIF</t>
        </is>
      </c>
      <c r="I499" s="18">
        <f>IF(H499="ILF",10,IF(H499="EIF",7,IF(H499="EI",4,IF(H499="EO",5,IF(H499="EQ",4,"")))))</f>
        <v/>
      </c>
      <c r="J499" s="18" t="inlineStr">
        <is>
          <t>中</t>
        </is>
      </c>
      <c r="K499" s="18">
        <f>IF(J499="高",0.33,IF(J499="中",0.67,IF(J499="低",1,"")))</f>
        <v/>
      </c>
      <c r="L499" s="18" t="inlineStr">
        <is>
          <t>新增</t>
        </is>
      </c>
      <c r="M499" s="18">
        <f>IF(L499="新增",1,IF(L499="修改",0.8,IF(L499="删除",0.2,"")))</f>
        <v/>
      </c>
      <c r="N499" s="18">
        <f>I499*K499*M499</f>
        <v/>
      </c>
    </row>
    <row r="500" ht="19" customHeight="1" s="1">
      <c r="B500" s="16" t="n">
        <v>495</v>
      </c>
      <c r="C500" s="16" t="inlineStr">
        <is>
          <t>边缘智能体系统平台开发</t>
        </is>
      </c>
      <c r="D500" s="16" t="inlineStr">
        <is>
          <t>健康管理服务</t>
        </is>
      </c>
      <c r="E500" s="16" t="inlineStr">
        <is>
          <t>设备评估管理</t>
        </is>
      </c>
      <c r="F500" s="16" t="inlineStr">
        <is>
          <t>运维绩效报表</t>
        </is>
      </c>
      <c r="G500" s="17" t="inlineStr">
        <is>
          <t xml:space="preserve"> 提供设备运维绩效统计报表服务</t>
        </is>
      </c>
      <c r="H500" s="18" t="inlineStr">
        <is>
          <t>EI</t>
        </is>
      </c>
      <c r="I500" s="18">
        <f>IF(H500="ILF",10,IF(H500="EIF",7,IF(H500="EI",4,IF(H500="EO",5,IF(H500="EQ",4,"")))))</f>
        <v/>
      </c>
      <c r="J500" s="18" t="inlineStr">
        <is>
          <t>低</t>
        </is>
      </c>
      <c r="K500" s="18">
        <f>IF(J500="高",0.33,IF(J500="中",0.67,IF(J500="低",1,"")))</f>
        <v/>
      </c>
      <c r="L500" s="18" t="inlineStr">
        <is>
          <t>新增</t>
        </is>
      </c>
      <c r="M500" s="18">
        <f>IF(L500="新增",1,IF(L500="修改",0.8,IF(L500="删除",0.2,"")))</f>
        <v/>
      </c>
      <c r="N500" s="18">
        <f>I500*K500*M500</f>
        <v/>
      </c>
    </row>
    <row r="501" ht="19" customHeight="1" s="1">
      <c r="B501" s="16" t="n">
        <v>496</v>
      </c>
      <c r="C501" s="16" t="inlineStr">
        <is>
          <t>边缘智能体系统平台开发</t>
        </is>
      </c>
      <c r="D501" s="16" t="inlineStr">
        <is>
          <t>健康管理服务</t>
        </is>
      </c>
      <c r="E501" s="16" t="inlineStr">
        <is>
          <t>评分与预警</t>
        </is>
      </c>
      <c r="F501" s="16" t="inlineStr">
        <is>
          <t>预警阈值</t>
        </is>
      </c>
      <c r="G501" s="17" t="inlineStr">
        <is>
          <t xml:space="preserve"> 提供设备健康预警触发阈值配置服务</t>
        </is>
      </c>
      <c r="H501" s="18" t="inlineStr">
        <is>
          <t>EI</t>
        </is>
      </c>
      <c r="I501" s="18">
        <f>IF(H501="ILF",10,IF(H501="EIF",7,IF(H501="EI",4,IF(H501="EO",5,IF(H501="EQ",4,"")))))</f>
        <v/>
      </c>
      <c r="J501" s="18" t="inlineStr">
        <is>
          <t>低</t>
        </is>
      </c>
      <c r="K501" s="18">
        <f>IF(J501="高",0.33,IF(J501="中",0.67,IF(J501="低",1,"")))</f>
        <v/>
      </c>
      <c r="L501" s="18" t="inlineStr">
        <is>
          <t>新增</t>
        </is>
      </c>
      <c r="M501" s="18">
        <f>IF(L501="新增",1,IF(L501="修改",0.8,IF(L501="删除",0.2,"")))</f>
        <v/>
      </c>
      <c r="N501" s="18">
        <f>I501*K501*M501</f>
        <v/>
      </c>
    </row>
    <row r="502" ht="19" customHeight="1" s="1">
      <c r="B502" s="16" t="n">
        <v>497</v>
      </c>
      <c r="C502" s="16" t="inlineStr">
        <is>
          <t>边缘智能体系统平台开发</t>
        </is>
      </c>
      <c r="D502" s="16" t="inlineStr">
        <is>
          <t>健康管理服务</t>
        </is>
      </c>
      <c r="E502" s="16" t="inlineStr">
        <is>
          <t>评分与预警</t>
        </is>
      </c>
      <c r="F502" s="16" t="inlineStr">
        <is>
          <t>预警通知</t>
        </is>
      </c>
      <c r="G502" s="17" t="inlineStr">
        <is>
          <t xml:space="preserve"> 提供设备健康评分低于阈值通知推送服务</t>
        </is>
      </c>
      <c r="H502" s="18" t="inlineStr">
        <is>
          <t>EI</t>
        </is>
      </c>
      <c r="I502" s="18">
        <f>IF(H502="ILF",10,IF(H502="EIF",7,IF(H502="EI",4,IF(H502="EO",5,IF(H502="EQ",4,"")))))</f>
        <v/>
      </c>
      <c r="J502" s="18" t="inlineStr">
        <is>
          <t>低</t>
        </is>
      </c>
      <c r="K502" s="18">
        <f>IF(J502="高",0.33,IF(J502="中",0.67,IF(J502="低",1,"")))</f>
        <v/>
      </c>
      <c r="L502" s="18" t="inlineStr">
        <is>
          <t>新增</t>
        </is>
      </c>
      <c r="M502" s="18">
        <f>IF(L502="新增",1,IF(L502="修改",0.8,IF(L502="删除",0.2,"")))</f>
        <v/>
      </c>
      <c r="N502" s="18">
        <f>I502*K502*M502</f>
        <v/>
      </c>
    </row>
    <row r="503" ht="19" customHeight="1" s="1">
      <c r="B503" s="16" t="n">
        <v>498</v>
      </c>
      <c r="C503" s="16" t="inlineStr">
        <is>
          <t>边缘智能体系统平台开发</t>
        </is>
      </c>
      <c r="D503" s="16" t="inlineStr">
        <is>
          <t>健康管理服务</t>
        </is>
      </c>
      <c r="E503" s="16" t="inlineStr">
        <is>
          <t>评分与预警</t>
        </is>
      </c>
      <c r="F503" s="16" t="inlineStr">
        <is>
          <t>模型配置</t>
        </is>
      </c>
      <c r="G503" s="17" t="inlineStr">
        <is>
          <t xml:space="preserve"> 提供健康评分模型权重参数配置服务</t>
        </is>
      </c>
      <c r="H503" s="18" t="inlineStr">
        <is>
          <t>EI</t>
        </is>
      </c>
      <c r="I503" s="18">
        <f>IF(H503="ILF",10,IF(H503="EIF",7,IF(H503="EI",4,IF(H503="EO",5,IF(H503="EQ",4,"")))))</f>
        <v/>
      </c>
      <c r="J503" s="18" t="inlineStr">
        <is>
          <t>低</t>
        </is>
      </c>
      <c r="K503" s="18">
        <f>IF(J503="高",0.33,IF(J503="中",0.67,IF(J503="低",1,"")))</f>
        <v/>
      </c>
      <c r="L503" s="18" t="inlineStr">
        <is>
          <t>新增</t>
        </is>
      </c>
      <c r="M503" s="18">
        <f>IF(L503="新增",1,IF(L503="修改",0.8,IF(L503="删除",0.2,"")))</f>
        <v/>
      </c>
      <c r="N503" s="18">
        <f>I503*K503*M503</f>
        <v/>
      </c>
    </row>
    <row r="504" ht="19" customHeight="1" s="1">
      <c r="B504" s="16" t="n">
        <v>499</v>
      </c>
      <c r="C504" s="16" t="inlineStr">
        <is>
          <t>边缘智能体系统平台开发</t>
        </is>
      </c>
      <c r="D504" s="16" t="inlineStr">
        <is>
          <t>健康管理服务</t>
        </is>
      </c>
      <c r="E504" s="16" t="inlineStr">
        <is>
          <t>评分与预警</t>
        </is>
      </c>
      <c r="F504" s="16" t="inlineStr">
        <is>
          <t>健康报告</t>
        </is>
      </c>
      <c r="G504" s="17" t="inlineStr">
        <is>
          <t xml:space="preserve"> 提供设备健康状态报告自动生成服务</t>
        </is>
      </c>
      <c r="H504" s="18" t="inlineStr">
        <is>
          <t>EI</t>
        </is>
      </c>
      <c r="I504" s="18">
        <f>IF(H504="ILF",10,IF(H504="EIF",7,IF(H504="EI",4,IF(H504="EO",5,IF(H504="EQ",4,"")))))</f>
        <v/>
      </c>
      <c r="J504" s="18" t="inlineStr">
        <is>
          <t>低</t>
        </is>
      </c>
      <c r="K504" s="18">
        <f>IF(J504="高",0.33,IF(J504="中",0.67,IF(J504="低",1,"")))</f>
        <v/>
      </c>
      <c r="L504" s="18" t="inlineStr">
        <is>
          <t>新增</t>
        </is>
      </c>
      <c r="M504" s="18">
        <f>IF(L504="新增",1,IF(L504="修改",0.8,IF(L504="删除",0.2,"")))</f>
        <v/>
      </c>
      <c r="N504" s="18">
        <f>I504*K504*M504</f>
        <v/>
      </c>
    </row>
    <row r="505" ht="19" customHeight="1" s="1">
      <c r="B505" s="16" t="n">
        <v>500</v>
      </c>
      <c r="C505" s="16" t="inlineStr">
        <is>
          <t>边缘智能体系统平台开发</t>
        </is>
      </c>
      <c r="D505" s="16" t="inlineStr">
        <is>
          <t>健康管理服务</t>
        </is>
      </c>
      <c r="E505" s="16" t="inlineStr">
        <is>
          <t>评分与预警</t>
        </is>
      </c>
      <c r="F505" s="16" t="inlineStr">
        <is>
          <t>健康画像</t>
        </is>
      </c>
      <c r="G505" s="17" t="inlineStr">
        <is>
          <t xml:space="preserve"> 提供设备多维健康画像展示服务</t>
        </is>
      </c>
      <c r="H505" s="18" t="inlineStr">
        <is>
          <t>EI</t>
        </is>
      </c>
      <c r="I505" s="18">
        <f>IF(H505="ILF",10,IF(H505="EIF",7,IF(H505="EI",4,IF(H505="EO",5,IF(H505="EQ",4,"")))))</f>
        <v/>
      </c>
      <c r="J505" s="18" t="inlineStr">
        <is>
          <t>低</t>
        </is>
      </c>
      <c r="K505" s="18">
        <f>IF(J505="高",0.33,IF(J505="中",0.67,IF(J505="低",1,"")))</f>
        <v/>
      </c>
      <c r="L505" s="18" t="inlineStr">
        <is>
          <t>新增</t>
        </is>
      </c>
      <c r="M505" s="18">
        <f>IF(L505="新增",1,IF(L505="修改",0.8,IF(L505="删除",0.2,"")))</f>
        <v/>
      </c>
      <c r="N505" s="18">
        <f>I505*K505*M505</f>
        <v/>
      </c>
    </row>
    <row r="506" ht="19" customHeight="1" s="1">
      <c r="B506" s="16" t="n">
        <v>501</v>
      </c>
      <c r="C506" s="16" t="inlineStr">
        <is>
          <t>边缘智能体系统平台开发</t>
        </is>
      </c>
      <c r="D506" s="16" t="inlineStr">
        <is>
          <t>健康管理服务</t>
        </is>
      </c>
      <c r="E506" s="16" t="inlineStr">
        <is>
          <t>评分与预警</t>
        </is>
      </c>
      <c r="F506" s="16" t="inlineStr">
        <is>
          <t>效果评估</t>
        </is>
      </c>
      <c r="G506" s="17" t="inlineStr">
        <is>
          <t xml:space="preserve"> 提供设备故障预警准确性和及时性评估服务</t>
        </is>
      </c>
      <c r="H506" s="18" t="inlineStr">
        <is>
          <t>EI</t>
        </is>
      </c>
      <c r="I506" s="18">
        <f>IF(H506="ILF",10,IF(H506="EIF",7,IF(H506="EI",4,IF(H506="EO",5,IF(H506="EQ",4,"")))))</f>
        <v/>
      </c>
      <c r="J506" s="18" t="inlineStr">
        <is>
          <t>低</t>
        </is>
      </c>
      <c r="K506" s="18">
        <f>IF(J506="高",0.33,IF(J506="中",0.67,IF(J506="低",1,"")))</f>
        <v/>
      </c>
      <c r="L506" s="18" t="inlineStr">
        <is>
          <t>新增</t>
        </is>
      </c>
      <c r="M506" s="18">
        <f>IF(L506="新增",1,IF(L506="修改",0.8,IF(L506="删除",0.2,"")))</f>
        <v/>
      </c>
      <c r="N506" s="18">
        <f>I506*K506*M506</f>
        <v/>
      </c>
    </row>
    <row r="507" ht="19" customHeight="1" s="1">
      <c r="B507" s="16" t="n">
        <v>502</v>
      </c>
      <c r="C507" s="16" t="inlineStr">
        <is>
          <t>边缘智能体系统平台开发</t>
        </is>
      </c>
      <c r="D507" s="16" t="inlineStr">
        <is>
          <t>设备档案管理</t>
        </is>
      </c>
      <c r="E507" s="16" t="inlineStr">
        <is>
          <t>设备台账</t>
        </is>
      </c>
      <c r="F507" s="16" t="inlineStr">
        <is>
          <t>台账编制</t>
        </is>
      </c>
      <c r="G507" s="17" t="inlineStr">
        <is>
          <t xml:space="preserve"> 提供设备台账初始编制服务</t>
        </is>
      </c>
      <c r="H507" s="18" t="inlineStr">
        <is>
          <t>EI</t>
        </is>
      </c>
      <c r="I507" s="18">
        <f>IF(H507="ILF",10,IF(H507="EIF",7,IF(H507="EI",4,IF(H507="EO",5,IF(H507="EQ",4,"")))))</f>
        <v/>
      </c>
      <c r="J507" s="18" t="inlineStr">
        <is>
          <t>低</t>
        </is>
      </c>
      <c r="K507" s="18">
        <f>IF(J507="高",0.33,IF(J507="中",0.67,IF(J507="低",1,"")))</f>
        <v/>
      </c>
      <c r="L507" s="18" t="inlineStr">
        <is>
          <t>新增</t>
        </is>
      </c>
      <c r="M507" s="18">
        <f>IF(L507="新增",1,IF(L507="修改",0.8,IF(L507="删除",0.2,"")))</f>
        <v/>
      </c>
      <c r="N507" s="18">
        <f>I507*K507*M507</f>
        <v/>
      </c>
    </row>
    <row r="508" ht="19" customHeight="1" s="1">
      <c r="B508" s="16" t="n">
        <v>503</v>
      </c>
      <c r="C508" s="16" t="inlineStr">
        <is>
          <t>边缘智能体系统平台开发</t>
        </is>
      </c>
      <c r="D508" s="16" t="inlineStr">
        <is>
          <t>设备档案管理</t>
        </is>
      </c>
      <c r="E508" s="16" t="inlineStr">
        <is>
          <t>设备台账</t>
        </is>
      </c>
      <c r="F508" s="16" t="inlineStr">
        <is>
          <t>台账录入</t>
        </is>
      </c>
      <c r="G508" s="17" t="inlineStr">
        <is>
          <t xml:space="preserve"> 提供设备台账数据录入服务</t>
        </is>
      </c>
      <c r="H508" s="18" t="inlineStr">
        <is>
          <t>EI</t>
        </is>
      </c>
      <c r="I508" s="18">
        <f>IF(H508="ILF",10,IF(H508="EIF",7,IF(H508="EI",4,IF(H508="EO",5,IF(H508="EQ",4,"")))))</f>
        <v/>
      </c>
      <c r="J508" s="18" t="inlineStr">
        <is>
          <t>低</t>
        </is>
      </c>
      <c r="K508" s="18">
        <f>IF(J508="高",0.33,IF(J508="中",0.67,IF(J508="低",1,"")))</f>
        <v/>
      </c>
      <c r="L508" s="18" t="inlineStr">
        <is>
          <t>新增</t>
        </is>
      </c>
      <c r="M508" s="18">
        <f>IF(L508="新增",1,IF(L508="修改",0.8,IF(L508="删除",0.2,"")))</f>
        <v/>
      </c>
      <c r="N508" s="18">
        <f>I508*K508*M508</f>
        <v/>
      </c>
    </row>
    <row r="509" ht="19" customHeight="1" s="1">
      <c r="B509" s="16" t="n">
        <v>504</v>
      </c>
      <c r="C509" s="16" t="inlineStr">
        <is>
          <t>边缘智能体系统平台开发</t>
        </is>
      </c>
      <c r="D509" s="16" t="inlineStr">
        <is>
          <t>设备档案管理</t>
        </is>
      </c>
      <c r="E509" s="16" t="inlineStr">
        <is>
          <t>设备台账</t>
        </is>
      </c>
      <c r="F509" s="16" t="inlineStr">
        <is>
          <t>台账维护</t>
        </is>
      </c>
      <c r="G509" s="17" t="inlineStr">
        <is>
          <t xml:space="preserve"> 提供设备台账定期维护更新服务</t>
        </is>
      </c>
      <c r="H509" s="18" t="inlineStr">
        <is>
          <t>EI</t>
        </is>
      </c>
      <c r="I509" s="18">
        <f>IF(H509="ILF",10,IF(H509="EIF",7,IF(H509="EI",4,IF(H509="EO",5,IF(H509="EQ",4,"")))))</f>
        <v/>
      </c>
      <c r="J509" s="18" t="inlineStr">
        <is>
          <t>低</t>
        </is>
      </c>
      <c r="K509" s="18">
        <f>IF(J509="高",0.33,IF(J509="中",0.67,IF(J509="低",1,"")))</f>
        <v/>
      </c>
      <c r="L509" s="18" t="inlineStr">
        <is>
          <t>新增</t>
        </is>
      </c>
      <c r="M509" s="18">
        <f>IF(L509="新增",1,IF(L509="修改",0.8,IF(L509="删除",0.2,"")))</f>
        <v/>
      </c>
      <c r="N509" s="18">
        <f>I509*K509*M509</f>
        <v/>
      </c>
    </row>
    <row r="510" ht="19" customHeight="1" s="1">
      <c r="B510" s="16" t="n">
        <v>505</v>
      </c>
      <c r="C510" s="16" t="inlineStr">
        <is>
          <t>边缘智能体系统平台开发</t>
        </is>
      </c>
      <c r="D510" s="16" t="inlineStr">
        <is>
          <t>设备档案管理</t>
        </is>
      </c>
      <c r="E510" s="16" t="inlineStr">
        <is>
          <t>设备台账</t>
        </is>
      </c>
      <c r="F510" s="16" t="inlineStr">
        <is>
          <t>台账审核</t>
        </is>
      </c>
      <c r="G510" s="17" t="inlineStr">
        <is>
          <t xml:space="preserve"> 提供设备台账数据审核确认服务</t>
        </is>
      </c>
      <c r="H510" s="18" t="inlineStr">
        <is>
          <t>EI</t>
        </is>
      </c>
      <c r="I510" s="18">
        <f>IF(H510="ILF",10,IF(H510="EIF",7,IF(H510="EI",4,IF(H510="EO",5,IF(H510="EQ",4,"")))))</f>
        <v/>
      </c>
      <c r="J510" s="18" t="inlineStr">
        <is>
          <t>低</t>
        </is>
      </c>
      <c r="K510" s="18">
        <f>IF(J510="高",0.33,IF(J510="中",0.67,IF(J510="低",1,"")))</f>
        <v/>
      </c>
      <c r="L510" s="18" t="inlineStr">
        <is>
          <t>新增</t>
        </is>
      </c>
      <c r="M510" s="18">
        <f>IF(L510="新增",1,IF(L510="修改",0.8,IF(L510="删除",0.2,"")))</f>
        <v/>
      </c>
      <c r="N510" s="18">
        <f>I510*K510*M510</f>
        <v/>
      </c>
    </row>
    <row r="511" ht="19" customHeight="1" s="1">
      <c r="B511" s="16" t="n">
        <v>506</v>
      </c>
      <c r="C511" s="16" t="inlineStr">
        <is>
          <t>边缘智能体系统平台开发</t>
        </is>
      </c>
      <c r="D511" s="16" t="inlineStr">
        <is>
          <t>设备档案管理</t>
        </is>
      </c>
      <c r="E511" s="16" t="inlineStr">
        <is>
          <t>设备台账</t>
        </is>
      </c>
      <c r="F511" s="16" t="inlineStr">
        <is>
          <t>台账查询</t>
        </is>
      </c>
      <c r="G511" s="17" t="inlineStr">
        <is>
          <t xml:space="preserve"> 提供设备台账多维度查询服务</t>
        </is>
      </c>
      <c r="H511" s="18" t="inlineStr">
        <is>
          <t>EI</t>
        </is>
      </c>
      <c r="I511" s="18">
        <f>IF(H511="ILF",10,IF(H511="EIF",7,IF(H511="EI",4,IF(H511="EO",5,IF(H511="EQ",4,"")))))</f>
        <v/>
      </c>
      <c r="J511" s="18" t="inlineStr">
        <is>
          <t>低</t>
        </is>
      </c>
      <c r="K511" s="18">
        <f>IF(J511="高",0.33,IF(J511="中",0.67,IF(J511="低",1,"")))</f>
        <v/>
      </c>
      <c r="L511" s="18" t="inlineStr">
        <is>
          <t>新增</t>
        </is>
      </c>
      <c r="M511" s="18">
        <f>IF(L511="新增",1,IF(L511="修改",0.8,IF(L511="删除",0.2,"")))</f>
        <v/>
      </c>
      <c r="N511" s="18">
        <f>I511*K511*M511</f>
        <v/>
      </c>
    </row>
    <row r="512" ht="19" customHeight="1" s="1">
      <c r="B512" s="16" t="n">
        <v>507</v>
      </c>
      <c r="C512" s="16" t="inlineStr">
        <is>
          <t>边缘智能体系统平台开发</t>
        </is>
      </c>
      <c r="D512" s="16" t="inlineStr">
        <is>
          <t>设备档案管理</t>
        </is>
      </c>
      <c r="E512" s="16" t="inlineStr">
        <is>
          <t>设备台账</t>
        </is>
      </c>
      <c r="F512" s="16" t="inlineStr">
        <is>
          <t>台账统计</t>
        </is>
      </c>
      <c r="G512" s="17" t="inlineStr">
        <is>
          <t xml:space="preserve"> 提供设备台账分类汇总统计服务</t>
        </is>
      </c>
      <c r="H512" s="18" t="inlineStr">
        <is>
          <t>EI</t>
        </is>
      </c>
      <c r="I512" s="18">
        <f>IF(H512="ILF",10,IF(H512="EIF",7,IF(H512="EI",4,IF(H512="EO",5,IF(H512="EQ",4,"")))))</f>
        <v/>
      </c>
      <c r="J512" s="18" t="inlineStr">
        <is>
          <t>低</t>
        </is>
      </c>
      <c r="K512" s="18">
        <f>IF(J512="高",0.33,IF(J512="中",0.67,IF(J512="低",1,"")))</f>
        <v/>
      </c>
      <c r="L512" s="18" t="inlineStr">
        <is>
          <t>新增</t>
        </is>
      </c>
      <c r="M512" s="18">
        <f>IF(L512="新增",1,IF(L512="修改",0.8,IF(L512="删除",0.2,"")))</f>
        <v/>
      </c>
      <c r="N512" s="18">
        <f>I512*K512*M512</f>
        <v/>
      </c>
    </row>
    <row r="513" ht="19" customHeight="1" s="1">
      <c r="B513" s="16" t="n">
        <v>508</v>
      </c>
      <c r="C513" s="16" t="inlineStr">
        <is>
          <t>边缘智能体系统平台开发</t>
        </is>
      </c>
      <c r="D513" s="16" t="inlineStr">
        <is>
          <t>设备档案管理</t>
        </is>
      </c>
      <c r="E513" s="16" t="inlineStr">
        <is>
          <t>设备台账</t>
        </is>
      </c>
      <c r="F513" s="16" t="inlineStr">
        <is>
          <t>导出工具</t>
        </is>
      </c>
      <c r="G513" s="17" t="inlineStr">
        <is>
          <t xml:space="preserve"> 提供设备台账导出工具配置服务</t>
        </is>
      </c>
      <c r="H513" s="18" t="inlineStr">
        <is>
          <t>EI</t>
        </is>
      </c>
      <c r="I513" s="18">
        <f>IF(H513="ILF",10,IF(H513="EIF",7,IF(H513="EI",4,IF(H513="EO",5,IF(H513="EQ",4,"")))))</f>
        <v/>
      </c>
      <c r="J513" s="18" t="inlineStr">
        <is>
          <t>低</t>
        </is>
      </c>
      <c r="K513" s="18">
        <f>IF(J513="高",0.33,IF(J513="中",0.67,IF(J513="低",1,"")))</f>
        <v/>
      </c>
      <c r="L513" s="18" t="inlineStr">
        <is>
          <t>新增</t>
        </is>
      </c>
      <c r="M513" s="18">
        <f>IF(L513="新增",1,IF(L513="修改",0.8,IF(L513="删除",0.2,"")))</f>
        <v/>
      </c>
      <c r="N513" s="18">
        <f>I513*K513*M513</f>
        <v/>
      </c>
    </row>
    <row r="514" ht="19" customHeight="1" s="1">
      <c r="B514" s="16" t="n">
        <v>509</v>
      </c>
      <c r="C514" s="16" t="inlineStr">
        <is>
          <t>边缘智能体系统平台开发</t>
        </is>
      </c>
      <c r="D514" s="16" t="inlineStr">
        <is>
          <t>数据关联服务</t>
        </is>
      </c>
      <c r="E514" s="16" t="inlineStr">
        <is>
          <t>服务记录</t>
        </is>
      </c>
      <c r="F514" s="16" t="inlineStr">
        <is>
          <t>服务工单</t>
        </is>
      </c>
      <c r="G514" s="17" t="inlineStr">
        <is>
          <t xml:space="preserve"> 提供设备服务工单创建服务</t>
        </is>
      </c>
      <c r="H514" s="18" t="inlineStr">
        <is>
          <t>EI</t>
        </is>
      </c>
      <c r="I514" s="18">
        <f>IF(H514="ILF",10,IF(H514="EIF",7,IF(H514="EI",4,IF(H514="EO",5,IF(H514="EQ",4,"")))))</f>
        <v/>
      </c>
      <c r="J514" s="18" t="inlineStr">
        <is>
          <t>低</t>
        </is>
      </c>
      <c r="K514" s="18">
        <f>IF(J514="高",0.33,IF(J514="中",0.67,IF(J514="低",1,"")))</f>
        <v/>
      </c>
      <c r="L514" s="18" t="inlineStr">
        <is>
          <t>新增</t>
        </is>
      </c>
      <c r="M514" s="18">
        <f>IF(L514="新增",1,IF(L514="修改",0.8,IF(L514="删除",0.2,"")))</f>
        <v/>
      </c>
      <c r="N514" s="18">
        <f>I514*K514*M514</f>
        <v/>
      </c>
    </row>
    <row r="515" ht="19" customHeight="1" s="1">
      <c r="B515" s="16" t="n">
        <v>510</v>
      </c>
      <c r="C515" s="16" t="inlineStr">
        <is>
          <t>边缘智能体系统平台开发</t>
        </is>
      </c>
      <c r="D515" s="16" t="inlineStr">
        <is>
          <t>数据关联服务</t>
        </is>
      </c>
      <c r="E515" s="16" t="inlineStr">
        <is>
          <t>服务记录</t>
        </is>
      </c>
      <c r="F515" s="16" t="inlineStr">
        <is>
          <t>服务记录</t>
        </is>
      </c>
      <c r="G515" s="17" t="inlineStr">
        <is>
          <t xml:space="preserve"> 提供设备服务历史记录管理服务</t>
        </is>
      </c>
      <c r="H515" s="18" t="inlineStr">
        <is>
          <t>EI</t>
        </is>
      </c>
      <c r="I515" s="18">
        <f>IF(H515="ILF",10,IF(H515="EIF",7,IF(H515="EI",4,IF(H515="EO",5,IF(H515="EQ",4,"")))))</f>
        <v/>
      </c>
      <c r="J515" s="18" t="inlineStr">
        <is>
          <t>低</t>
        </is>
      </c>
      <c r="K515" s="18">
        <f>IF(J515="高",0.33,IF(J515="中",0.67,IF(J515="低",1,"")))</f>
        <v/>
      </c>
      <c r="L515" s="18" t="inlineStr">
        <is>
          <t>新增</t>
        </is>
      </c>
      <c r="M515" s="18">
        <f>IF(L515="新增",1,IF(L515="修改",0.8,IF(L515="删除",0.2,"")))</f>
        <v/>
      </c>
      <c r="N515" s="18">
        <f>I515*K515*M515</f>
        <v/>
      </c>
    </row>
    <row r="516" ht="19" customHeight="1" s="1">
      <c r="B516" s="16" t="n">
        <v>511</v>
      </c>
      <c r="C516" s="16" t="inlineStr">
        <is>
          <t>边缘智能体系统平台开发</t>
        </is>
      </c>
      <c r="D516" s="16" t="inlineStr">
        <is>
          <t>设备档案管理</t>
        </is>
      </c>
      <c r="E516" s="16" t="inlineStr">
        <is>
          <t>设备变更</t>
        </is>
      </c>
      <c r="F516" s="16" t="inlineStr">
        <is>
          <t>变更执行</t>
        </is>
      </c>
      <c r="G516" s="17" t="inlineStr">
        <is>
          <t xml:space="preserve"> 提供设备档案变更执行服务</t>
        </is>
      </c>
      <c r="H516" s="18" t="inlineStr">
        <is>
          <t>EI</t>
        </is>
      </c>
      <c r="I516" s="18">
        <f>IF(H516="ILF",10,IF(H516="EIF",7,IF(H516="EI",4,IF(H516="EO",5,IF(H516="EQ",4,"")))))</f>
        <v/>
      </c>
      <c r="J516" s="18" t="inlineStr">
        <is>
          <t>低</t>
        </is>
      </c>
      <c r="K516" s="18">
        <f>IF(J516="高",0.33,IF(J516="中",0.67,IF(J516="低",1,"")))</f>
        <v/>
      </c>
      <c r="L516" s="18" t="inlineStr">
        <is>
          <t>新增</t>
        </is>
      </c>
      <c r="M516" s="18">
        <f>IF(L516="新增",1,IF(L516="修改",0.8,IF(L516="删除",0.2,"")))</f>
        <v/>
      </c>
      <c r="N516" s="18">
        <f>I516*K516*M516</f>
        <v/>
      </c>
    </row>
    <row r="517" ht="19" customHeight="1" s="1">
      <c r="B517" s="16" t="n">
        <v>512</v>
      </c>
      <c r="C517" s="16" t="inlineStr">
        <is>
          <t>边缘智能体系统平台开发</t>
        </is>
      </c>
      <c r="D517" s="16" t="inlineStr">
        <is>
          <t>健康管理服务</t>
        </is>
      </c>
      <c r="E517" s="16" t="inlineStr">
        <is>
          <t>设备状态监测</t>
        </is>
      </c>
      <c r="F517" s="16" t="inlineStr">
        <is>
          <t>设备KPI编制</t>
        </is>
      </c>
      <c r="G517" s="17" t="inlineStr">
        <is>
          <t xml:space="preserve"> 提供设备关键绩效指标KPI编制服务</t>
        </is>
      </c>
      <c r="H517" s="18" t="inlineStr">
        <is>
          <t>EI</t>
        </is>
      </c>
      <c r="I517" s="18">
        <f>IF(H517="ILF",10,IF(H517="EIF",7,IF(H517="EI",4,IF(H517="EO",5,IF(H517="EQ",4,"")))))</f>
        <v/>
      </c>
      <c r="J517" s="18" t="inlineStr">
        <is>
          <t>低</t>
        </is>
      </c>
      <c r="K517" s="18">
        <f>IF(J517="高",0.33,IF(J517="中",0.67,IF(J517="低",1,"")))</f>
        <v/>
      </c>
      <c r="L517" s="18" t="inlineStr">
        <is>
          <t>新增</t>
        </is>
      </c>
      <c r="M517" s="18">
        <f>IF(L517="新增",1,IF(L517="修改",0.8,IF(L517="删除",0.2,"")))</f>
        <v/>
      </c>
      <c r="N517" s="18">
        <f>I517*K517*M517</f>
        <v/>
      </c>
    </row>
    <row r="518" ht="19" customHeight="1" s="1">
      <c r="B518" s="16" t="n">
        <v>513</v>
      </c>
      <c r="C518" s="16" t="inlineStr">
        <is>
          <t>边缘智能体系统平台开发</t>
        </is>
      </c>
      <c r="D518" s="16" t="inlineStr">
        <is>
          <t>健康管理服务</t>
        </is>
      </c>
      <c r="E518" s="16" t="inlineStr">
        <is>
          <t>设备状态监测</t>
        </is>
      </c>
      <c r="F518" s="16" t="inlineStr">
        <is>
          <t>设备KPI监控</t>
        </is>
      </c>
      <c r="G518" s="17" t="inlineStr">
        <is>
          <t xml:space="preserve"> 提供设备KPI实时监控服务</t>
        </is>
      </c>
      <c r="H518" s="18" t="inlineStr">
        <is>
          <t>EI</t>
        </is>
      </c>
      <c r="I518" s="18">
        <f>IF(H518="ILF",10,IF(H518="EIF",7,IF(H518="EI",4,IF(H518="EO",5,IF(H518="EQ",4,"")))))</f>
        <v/>
      </c>
      <c r="J518" s="18" t="inlineStr">
        <is>
          <t>低</t>
        </is>
      </c>
      <c r="K518" s="18">
        <f>IF(J518="高",0.33,IF(J518="中",0.67,IF(J518="低",1,"")))</f>
        <v/>
      </c>
      <c r="L518" s="18" t="inlineStr">
        <is>
          <t>新增</t>
        </is>
      </c>
      <c r="M518" s="18">
        <f>IF(L518="新增",1,IF(L518="修改",0.8,IF(L518="删除",0.2,"")))</f>
        <v/>
      </c>
      <c r="N518" s="18">
        <f>I518*K518*M518</f>
        <v/>
      </c>
    </row>
    <row r="519" ht="19" customHeight="1" s="1">
      <c r="B519" s="16" t="n">
        <v>514</v>
      </c>
      <c r="C519" s="16" t="inlineStr">
        <is>
          <t>边缘智能体系统平台开发</t>
        </is>
      </c>
      <c r="D519" s="16" t="inlineStr">
        <is>
          <t>健康管理服务</t>
        </is>
      </c>
      <c r="E519" s="16" t="inlineStr">
        <is>
          <t>设备状态监测</t>
        </is>
      </c>
      <c r="F519" s="16" t="inlineStr">
        <is>
          <t>设备KPI报表</t>
        </is>
      </c>
      <c r="G519" s="17" t="inlineStr">
        <is>
          <t xml:space="preserve"> 提供设备KPI统计报表生成服务</t>
        </is>
      </c>
      <c r="H519" s="18" t="inlineStr">
        <is>
          <t>EI</t>
        </is>
      </c>
      <c r="I519" s="18">
        <f>IF(H519="ILF",10,IF(H519="EIF",7,IF(H519="EI",4,IF(H519="EO",5,IF(H519="EQ",4,"")))))</f>
        <v/>
      </c>
      <c r="J519" s="18" t="inlineStr">
        <is>
          <t>低</t>
        </is>
      </c>
      <c r="K519" s="18">
        <f>IF(J519="高",0.33,IF(J519="中",0.67,IF(J519="低",1,"")))</f>
        <v/>
      </c>
      <c r="L519" s="18" t="inlineStr">
        <is>
          <t>新增</t>
        </is>
      </c>
      <c r="M519" s="18">
        <f>IF(L519="新增",1,IF(L519="修改",0.8,IF(L519="删除",0.2,"")))</f>
        <v/>
      </c>
      <c r="N519" s="18">
        <f>I519*K519*M519</f>
        <v/>
      </c>
    </row>
    <row r="520" ht="19" customHeight="1" s="1">
      <c r="B520" s="16" t="n">
        <v>515</v>
      </c>
      <c r="C520" s="16" t="inlineStr">
        <is>
          <t>边缘智能体系统平台开发</t>
        </is>
      </c>
      <c r="D520" s="16" t="inlineStr">
        <is>
          <t>健康管理服务</t>
        </is>
      </c>
      <c r="E520" s="16" t="inlineStr">
        <is>
          <t>设备状态监测</t>
        </is>
      </c>
      <c r="F520" s="16" t="inlineStr">
        <is>
          <t>设备排放监测</t>
        </is>
      </c>
      <c r="G520" s="17" t="inlineStr">
        <is>
          <t xml:space="preserve"> 提供设备环保排放监测服务</t>
        </is>
      </c>
      <c r="H520" s="18" t="inlineStr">
        <is>
          <t>EI</t>
        </is>
      </c>
      <c r="I520" s="18">
        <f>IF(H520="ILF",10,IF(H520="EIF",7,IF(H520="EI",4,IF(H520="EO",5,IF(H520="EQ",4,"")))))</f>
        <v/>
      </c>
      <c r="J520" s="18" t="inlineStr">
        <is>
          <t>低</t>
        </is>
      </c>
      <c r="K520" s="18">
        <f>IF(J520="高",0.33,IF(J520="中",0.67,IF(J520="低",1,"")))</f>
        <v/>
      </c>
      <c r="L520" s="18" t="inlineStr">
        <is>
          <t>新增</t>
        </is>
      </c>
      <c r="M520" s="18">
        <f>IF(L520="新增",1,IF(L520="修改",0.8,IF(L520="删除",0.2,"")))</f>
        <v/>
      </c>
      <c r="N520" s="18">
        <f>I520*K520*M520</f>
        <v/>
      </c>
    </row>
    <row r="521" ht="19" customHeight="1" s="1">
      <c r="B521" s="16" t="n">
        <v>516</v>
      </c>
      <c r="C521" s="16" t="inlineStr">
        <is>
          <t>边缘智能体系统平台开发</t>
        </is>
      </c>
      <c r="D521" s="16" t="inlineStr">
        <is>
          <t>健康管理服务</t>
        </is>
      </c>
      <c r="E521" s="16" t="inlineStr">
        <is>
          <t>设备状态监测</t>
        </is>
      </c>
      <c r="F521" s="16" t="inlineStr">
        <is>
          <t>设备校准管理</t>
        </is>
      </c>
      <c r="G521" s="17" t="inlineStr">
        <is>
          <t xml:space="preserve"> 提供设备校准周期和记录管理服务</t>
        </is>
      </c>
      <c r="H521" s="18" t="inlineStr">
        <is>
          <t>EI</t>
        </is>
      </c>
      <c r="I521" s="18">
        <f>IF(H521="ILF",10,IF(H521="EIF",7,IF(H521="EI",4,IF(H521="EO",5,IF(H521="EQ",4,"")))))</f>
        <v/>
      </c>
      <c r="J521" s="18" t="inlineStr">
        <is>
          <t>低</t>
        </is>
      </c>
      <c r="K521" s="18">
        <f>IF(J521="高",0.33,IF(J521="中",0.67,IF(J521="低",1,"")))</f>
        <v/>
      </c>
      <c r="L521" s="18" t="inlineStr">
        <is>
          <t>新增</t>
        </is>
      </c>
      <c r="M521" s="18">
        <f>IF(L521="新增",1,IF(L521="修改",0.8,IF(L521="删除",0.2,"")))</f>
        <v/>
      </c>
      <c r="N521" s="18">
        <f>I521*K521*M521</f>
        <v/>
      </c>
    </row>
    <row r="522" ht="19" customHeight="1" s="1">
      <c r="B522" s="16" t="n">
        <v>517</v>
      </c>
      <c r="C522" s="16" t="inlineStr">
        <is>
          <t>边缘智能体系统平台开发</t>
        </is>
      </c>
      <c r="D522" s="16" t="inlineStr">
        <is>
          <t>健康管理服务</t>
        </is>
      </c>
      <c r="E522" s="16" t="inlineStr">
        <is>
          <t>设备状态监测</t>
        </is>
      </c>
      <c r="F522" s="16" t="inlineStr">
        <is>
          <t>设备检定管理</t>
        </is>
      </c>
      <c r="G522" s="17" t="inlineStr">
        <is>
          <t xml:space="preserve"> 提供设备计量检定管理服务</t>
        </is>
      </c>
      <c r="H522" s="18" t="inlineStr">
        <is>
          <t>EI</t>
        </is>
      </c>
      <c r="I522" s="18">
        <f>IF(H522="ILF",10,IF(H522="EIF",7,IF(H522="EI",4,IF(H522="EO",5,IF(H522="EQ",4,"")))))</f>
        <v/>
      </c>
      <c r="J522" s="18" t="inlineStr">
        <is>
          <t>低</t>
        </is>
      </c>
      <c r="K522" s="18">
        <f>IF(J522="高",0.33,IF(J522="中",0.67,IF(J522="低",1,"")))</f>
        <v/>
      </c>
      <c r="L522" s="18" t="inlineStr">
        <is>
          <t>新增</t>
        </is>
      </c>
      <c r="M522" s="18">
        <f>IF(L522="新增",1,IF(L522="修改",0.8,IF(L522="删除",0.2,"")))</f>
        <v/>
      </c>
      <c r="N522" s="18">
        <f>I522*K522*M522</f>
        <v/>
      </c>
    </row>
    <row r="523" ht="19" customHeight="1" s="1">
      <c r="B523" s="16" t="n">
        <v>518</v>
      </c>
      <c r="C523" s="16" t="inlineStr">
        <is>
          <t>边缘智能体系统平台开发</t>
        </is>
      </c>
      <c r="D523" s="16" t="inlineStr">
        <is>
          <t>健康管理服务</t>
        </is>
      </c>
      <c r="E523" s="16" t="inlineStr">
        <is>
          <t>设备状态监测</t>
        </is>
      </c>
      <c r="F523" s="16" t="inlineStr">
        <is>
          <t>设备巡检管理</t>
        </is>
      </c>
      <c r="G523" s="17" t="inlineStr">
        <is>
          <t xml:space="preserve"> 提供设备巡检任务和记录管理服务</t>
        </is>
      </c>
      <c r="H523" s="18" t="inlineStr">
        <is>
          <t>EI</t>
        </is>
      </c>
      <c r="I523" s="18">
        <f>IF(H523="ILF",10,IF(H523="EIF",7,IF(H523="EI",4,IF(H523="EO",5,IF(H523="EQ",4,"")))))</f>
        <v/>
      </c>
      <c r="J523" s="18" t="inlineStr">
        <is>
          <t>低</t>
        </is>
      </c>
      <c r="K523" s="18">
        <f>IF(J523="高",0.33,IF(J523="中",0.67,IF(J523="低",1,"")))</f>
        <v/>
      </c>
      <c r="L523" s="18" t="inlineStr">
        <is>
          <t>新增</t>
        </is>
      </c>
      <c r="M523" s="18">
        <f>IF(L523="新增",1,IF(L523="修改",0.8,IF(L523="删除",0.2,"")))</f>
        <v/>
      </c>
      <c r="N523" s="18">
        <f>I523*K523*M523</f>
        <v/>
      </c>
    </row>
    <row r="524" ht="19" customHeight="1" s="1">
      <c r="B524" s="16" t="n">
        <v>519</v>
      </c>
      <c r="C524" s="16" t="inlineStr">
        <is>
          <t>边缘智能体系统平台开发</t>
        </is>
      </c>
      <c r="D524" s="16" t="inlineStr">
        <is>
          <t>健康管理服务</t>
        </is>
      </c>
      <c r="E524" s="16" t="inlineStr">
        <is>
          <t>设备状态监测</t>
        </is>
      </c>
      <c r="F524" s="16" t="inlineStr">
        <is>
          <t>设备点检管理</t>
        </is>
      </c>
      <c r="G524" s="17" t="inlineStr">
        <is>
          <t xml:space="preserve"> 提供设备点检标准和记录管理服务</t>
        </is>
      </c>
      <c r="H524" s="18" t="inlineStr">
        <is>
          <t>EI</t>
        </is>
      </c>
      <c r="I524" s="18">
        <f>IF(H524="ILF",10,IF(H524="EIF",7,IF(H524="EI",4,IF(H524="EO",5,IF(H524="EQ",4,"")))))</f>
        <v/>
      </c>
      <c r="J524" s="18" t="inlineStr">
        <is>
          <t>低</t>
        </is>
      </c>
      <c r="K524" s="18">
        <f>IF(J524="高",0.33,IF(J524="中",0.67,IF(J524="低",1,"")))</f>
        <v/>
      </c>
      <c r="L524" s="18" t="inlineStr">
        <is>
          <t>新增</t>
        </is>
      </c>
      <c r="M524" s="18">
        <f>IF(L524="新增",1,IF(L524="修改",0.8,IF(L524="删除",0.2,"")))</f>
        <v/>
      </c>
      <c r="N524" s="18">
        <f>I524*K524*M524</f>
        <v/>
      </c>
    </row>
    <row r="525" ht="19" customHeight="1" s="1">
      <c r="B525" s="16" t="n">
        <v>520</v>
      </c>
      <c r="C525" s="16" t="inlineStr">
        <is>
          <t>边缘智能体系统平台开发</t>
        </is>
      </c>
      <c r="D525" s="16" t="inlineStr">
        <is>
          <t>健康管理服务</t>
        </is>
      </c>
      <c r="E525" s="16" t="inlineStr">
        <is>
          <t>设备状态监测</t>
        </is>
      </c>
      <c r="F525" s="16" t="inlineStr">
        <is>
          <t>设备保养管理</t>
        </is>
      </c>
      <c r="G525" s="17" t="inlineStr">
        <is>
          <t xml:space="preserve"> 提供设备保养计划执行管理服务</t>
        </is>
      </c>
      <c r="H525" s="18" t="inlineStr">
        <is>
          <t>EI</t>
        </is>
      </c>
      <c r="I525" s="18">
        <f>IF(H525="ILF",10,IF(H525="EIF",7,IF(H525="EI",4,IF(H525="EO",5,IF(H525="EQ",4,"")))))</f>
        <v/>
      </c>
      <c r="J525" s="18" t="inlineStr">
        <is>
          <t>低</t>
        </is>
      </c>
      <c r="K525" s="18">
        <f>IF(J525="高",0.33,IF(J525="中",0.67,IF(J525="低",1,"")))</f>
        <v/>
      </c>
      <c r="L525" s="18" t="inlineStr">
        <is>
          <t>新增</t>
        </is>
      </c>
      <c r="M525" s="18">
        <f>IF(L525="新增",1,IF(L525="修改",0.8,IF(L525="删除",0.2,"")))</f>
        <v/>
      </c>
      <c r="N525" s="18">
        <f>I525*K525*M525</f>
        <v/>
      </c>
    </row>
    <row r="526" ht="19" customHeight="1" s="1">
      <c r="B526" s="16" t="n">
        <v>521</v>
      </c>
      <c r="C526" s="16" t="inlineStr">
        <is>
          <t>边缘智能体系统平台开发</t>
        </is>
      </c>
      <c r="D526" s="16" t="inlineStr">
        <is>
          <t>设备档案管理</t>
        </is>
      </c>
      <c r="E526" s="16" t="inlineStr">
        <is>
          <t>设备巡检管理</t>
        </is>
      </c>
      <c r="F526" s="16" t="inlineStr">
        <is>
          <t>巡检计划配置</t>
        </is>
      </c>
      <c r="G526" s="17" t="inlineStr">
        <is>
          <t xml:space="preserve"> 提供设备巡检计划编制和配置技术服务</t>
        </is>
      </c>
      <c r="H526" s="18" t="inlineStr">
        <is>
          <t>EI</t>
        </is>
      </c>
      <c r="I526" s="18">
        <f>IF(H526="ILF",10,IF(H526="EIF",7,IF(H526="EI",4,IF(H526="EO",5,IF(H526="EQ",4,"")))))</f>
        <v/>
      </c>
      <c r="J526" s="18" t="inlineStr">
        <is>
          <t>低</t>
        </is>
      </c>
      <c r="K526" s="18">
        <f>IF(J526="高",0.33,IF(J526="中",0.67,IF(J526="低",1,"")))</f>
        <v/>
      </c>
      <c r="L526" s="18" t="inlineStr">
        <is>
          <t>新增</t>
        </is>
      </c>
      <c r="M526" s="18">
        <f>IF(L526="新增",1,IF(L526="修改",0.8,IF(L526="删除",0.2,"")))</f>
        <v/>
      </c>
      <c r="N526" s="18">
        <f>I526*K526*M526</f>
        <v/>
      </c>
    </row>
    <row r="527" ht="19" customHeight="1" s="1">
      <c r="B527" s="16" t="n">
        <v>522</v>
      </c>
      <c r="C527" s="16" t="inlineStr">
        <is>
          <t>边缘智能体系统平台开发</t>
        </is>
      </c>
      <c r="D527" s="16" t="inlineStr">
        <is>
          <t>设备档案管理</t>
        </is>
      </c>
      <c r="E527" s="16" t="inlineStr">
        <is>
          <t>设备巡检管理</t>
        </is>
      </c>
      <c r="F527" s="16" t="inlineStr">
        <is>
          <t>巡检路线配置</t>
        </is>
      </c>
      <c r="G527" s="17" t="inlineStr">
        <is>
          <t xml:space="preserve"> 提供设备巡检路线和点位配置技术服务</t>
        </is>
      </c>
      <c r="H527" s="18" t="inlineStr">
        <is>
          <t>EI</t>
        </is>
      </c>
      <c r="I527" s="18">
        <f>IF(H527="ILF",10,IF(H527="EIF",7,IF(H527="EI",4,IF(H527="EO",5,IF(H527="EQ",4,"")))))</f>
        <v/>
      </c>
      <c r="J527" s="18" t="inlineStr">
        <is>
          <t>低</t>
        </is>
      </c>
      <c r="K527" s="18">
        <f>IF(J527="高",0.33,IF(J527="中",0.67,IF(J527="低",1,"")))</f>
        <v/>
      </c>
      <c r="L527" s="18" t="inlineStr">
        <is>
          <t>新增</t>
        </is>
      </c>
      <c r="M527" s="18">
        <f>IF(L527="新增",1,IF(L527="修改",0.8,IF(L527="删除",0.2,"")))</f>
        <v/>
      </c>
      <c r="N527" s="18">
        <f>I527*K527*M527</f>
        <v/>
      </c>
    </row>
    <row r="528" ht="19" customHeight="1" s="1">
      <c r="B528" s="16" t="n">
        <v>523</v>
      </c>
      <c r="C528" s="16" t="inlineStr">
        <is>
          <t>边缘智能体系统平台开发</t>
        </is>
      </c>
      <c r="D528" s="16" t="inlineStr">
        <is>
          <t>设备档案管理</t>
        </is>
      </c>
      <c r="E528" s="16" t="inlineStr">
        <is>
          <t>设备巡检管理</t>
        </is>
      </c>
      <c r="F528" s="16" t="inlineStr">
        <is>
          <t>巡检标准配置</t>
        </is>
      </c>
      <c r="G528" s="17" t="inlineStr">
        <is>
          <t xml:space="preserve"> 提供设备巡检标准参数配置技术服务</t>
        </is>
      </c>
      <c r="H528" s="18" t="inlineStr">
        <is>
          <t>EI</t>
        </is>
      </c>
      <c r="I528" s="18">
        <f>IF(H528="ILF",10,IF(H528="EIF",7,IF(H528="EI",4,IF(H528="EO",5,IF(H528="EQ",4,"")))))</f>
        <v/>
      </c>
      <c r="J528" s="18" t="inlineStr">
        <is>
          <t>低</t>
        </is>
      </c>
      <c r="K528" s="18">
        <f>IF(J528="高",0.33,IF(J528="中",0.67,IF(J528="低",1,"")))</f>
        <v/>
      </c>
      <c r="L528" s="18" t="inlineStr">
        <is>
          <t>新增</t>
        </is>
      </c>
      <c r="M528" s="18">
        <f>IF(L528="新增",1,IF(L528="修改",0.8,IF(L528="删除",0.2,"")))</f>
        <v/>
      </c>
      <c r="N528" s="18">
        <f>I528*K528*M528</f>
        <v/>
      </c>
    </row>
    <row r="529" ht="19" customHeight="1" s="1">
      <c r="B529" s="16" t="n">
        <v>524</v>
      </c>
      <c r="C529" s="16" t="inlineStr">
        <is>
          <t>边缘智能体系统平台开发</t>
        </is>
      </c>
      <c r="D529" s="16" t="inlineStr">
        <is>
          <t>设备档案管理</t>
        </is>
      </c>
      <c r="E529" s="16" t="inlineStr">
        <is>
          <t>设备保养管理</t>
        </is>
      </c>
      <c r="F529" s="16" t="inlineStr">
        <is>
          <t>保养计划配置</t>
        </is>
      </c>
      <c r="G529" s="17" t="inlineStr">
        <is>
          <t xml:space="preserve"> 提供设备保养计划编制配置技术服务</t>
        </is>
      </c>
      <c r="H529" s="18" t="inlineStr">
        <is>
          <t>EI</t>
        </is>
      </c>
      <c r="I529" s="18">
        <f>IF(H529="ILF",10,IF(H529="EIF",7,IF(H529="EI",4,IF(H529="EO",5,IF(H529="EQ",4,"")))))</f>
        <v/>
      </c>
      <c r="J529" s="18" t="inlineStr">
        <is>
          <t>低</t>
        </is>
      </c>
      <c r="K529" s="18">
        <f>IF(J529="高",0.33,IF(J529="中",0.67,IF(J529="低",1,"")))</f>
        <v/>
      </c>
      <c r="L529" s="18" t="inlineStr">
        <is>
          <t>新增</t>
        </is>
      </c>
      <c r="M529" s="18">
        <f>IF(L529="新增",1,IF(L529="修改",0.8,IF(L529="删除",0.2,"")))</f>
        <v/>
      </c>
      <c r="N529" s="18">
        <f>I529*K529*M529</f>
        <v/>
      </c>
    </row>
    <row r="530" ht="19" customHeight="1" s="1">
      <c r="B530" s="16" t="n">
        <v>525</v>
      </c>
      <c r="C530" s="16" t="inlineStr">
        <is>
          <t>边缘智能体系统平台开发</t>
        </is>
      </c>
      <c r="D530" s="16" t="inlineStr">
        <is>
          <t>设备档案管理</t>
        </is>
      </c>
      <c r="E530" s="16" t="inlineStr">
        <is>
          <t>设备保养管理</t>
        </is>
      </c>
      <c r="F530" s="16" t="inlineStr">
        <is>
          <t>保养标准配置</t>
        </is>
      </c>
      <c r="G530" s="17" t="inlineStr">
        <is>
          <t xml:space="preserve"> 提供设备保养标准参数配置技术服务</t>
        </is>
      </c>
      <c r="H530" s="18" t="inlineStr">
        <is>
          <t>EI</t>
        </is>
      </c>
      <c r="I530" s="18">
        <f>IF(H530="ILF",10,IF(H530="EIF",7,IF(H530="EI",4,IF(H530="EO",5,IF(H530="EQ",4,"")))))</f>
        <v/>
      </c>
      <c r="J530" s="18" t="inlineStr">
        <is>
          <t>低</t>
        </is>
      </c>
      <c r="K530" s="18">
        <f>IF(J530="高",0.33,IF(J530="中",0.67,IF(J530="低",1,"")))</f>
        <v/>
      </c>
      <c r="L530" s="18" t="inlineStr">
        <is>
          <t>新增</t>
        </is>
      </c>
      <c r="M530" s="18">
        <f>IF(L530="新增",1,IF(L530="修改",0.8,IF(L530="删除",0.2,"")))</f>
        <v/>
      </c>
      <c r="N530" s="18">
        <f>I530*K530*M530</f>
        <v/>
      </c>
    </row>
    <row r="531" ht="19" customHeight="1" s="1">
      <c r="B531" s="16" t="n">
        <v>526</v>
      </c>
      <c r="C531" s="16" t="inlineStr">
        <is>
          <t>边缘智能体系统平台开发</t>
        </is>
      </c>
      <c r="D531" s="16" t="inlineStr">
        <is>
          <t>设备档案管理</t>
        </is>
      </c>
      <c r="E531" s="16" t="inlineStr">
        <is>
          <t>设备校准管理</t>
        </is>
      </c>
      <c r="F531" s="16" t="inlineStr">
        <is>
          <t>校准周期配置</t>
        </is>
      </c>
      <c r="G531" s="17" t="inlineStr">
        <is>
          <t xml:space="preserve"> 提供设备校准周期参数配置技术服务</t>
        </is>
      </c>
      <c r="H531" s="18" t="inlineStr">
        <is>
          <t>EI</t>
        </is>
      </c>
      <c r="I531" s="18">
        <f>IF(H531="ILF",10,IF(H531="EIF",7,IF(H531="EI",4,IF(H531="EO",5,IF(H531="EQ",4,"")))))</f>
        <v/>
      </c>
      <c r="J531" s="18" t="inlineStr">
        <is>
          <t>低</t>
        </is>
      </c>
      <c r="K531" s="18">
        <f>IF(J531="高",0.33,IF(J531="中",0.67,IF(J531="低",1,"")))</f>
        <v/>
      </c>
      <c r="L531" s="18" t="inlineStr">
        <is>
          <t>新增</t>
        </is>
      </c>
      <c r="M531" s="18">
        <f>IF(L531="新增",1,IF(L531="修改",0.8,IF(L531="删除",0.2,"")))</f>
        <v/>
      </c>
      <c r="N531" s="18">
        <f>I531*K531*M531</f>
        <v/>
      </c>
    </row>
    <row r="532" ht="19" customHeight="1" s="1">
      <c r="B532" s="16" t="n">
        <v>527</v>
      </c>
      <c r="C532" s="16" t="inlineStr">
        <is>
          <t>边缘智能体系统平台开发</t>
        </is>
      </c>
      <c r="D532" s="16" t="inlineStr">
        <is>
          <t>设备档案管理</t>
        </is>
      </c>
      <c r="E532" s="16" t="inlineStr">
        <is>
          <t>设备校准管理</t>
        </is>
      </c>
      <c r="F532" s="16" t="inlineStr">
        <is>
          <t>校准标准配置</t>
        </is>
      </c>
      <c r="G532" s="17" t="inlineStr">
        <is>
          <t xml:space="preserve"> 提供设备校准标准参数配置技术服务</t>
        </is>
      </c>
      <c r="H532" s="18" t="inlineStr">
        <is>
          <t>EI</t>
        </is>
      </c>
      <c r="I532" s="18">
        <f>IF(H532="ILF",10,IF(H532="EIF",7,IF(H532="EI",4,IF(H532="EO",5,IF(H532="EQ",4,"")))))</f>
        <v/>
      </c>
      <c r="J532" s="18" t="inlineStr">
        <is>
          <t>中</t>
        </is>
      </c>
      <c r="K532" s="18">
        <f>IF(J532="高",0.33,IF(J532="中",0.67,IF(J532="低",1,"")))</f>
        <v/>
      </c>
      <c r="L532" s="18" t="inlineStr">
        <is>
          <t>新增</t>
        </is>
      </c>
      <c r="M532" s="18">
        <f>IF(L532="新增",1,IF(L532="修改",0.8,IF(L532="删除",0.2,"")))</f>
        <v/>
      </c>
      <c r="N532" s="18">
        <f>I532*K532*M532</f>
        <v/>
      </c>
    </row>
    <row r="533" ht="19" customHeight="1" s="1">
      <c r="B533" s="16" t="n">
        <v>528</v>
      </c>
      <c r="C533" s="16" t="inlineStr">
        <is>
          <t>边缘智能体系统平台开发</t>
        </is>
      </c>
      <c r="D533" s="16" t="inlineStr">
        <is>
          <t>设备档案管理</t>
        </is>
      </c>
      <c r="E533" s="16" t="inlineStr">
        <is>
          <t>设备备件管理</t>
        </is>
      </c>
      <c r="F533" s="16" t="inlineStr">
        <is>
          <t>备件目录配置</t>
        </is>
      </c>
      <c r="G533" s="17" t="inlineStr">
        <is>
          <t xml:space="preserve"> 提供设备备件目录编制配置技术服务</t>
        </is>
      </c>
      <c r="H533" s="18" t="inlineStr">
        <is>
          <t>EI</t>
        </is>
      </c>
      <c r="I533" s="18">
        <f>IF(H533="ILF",10,IF(H533="EIF",7,IF(H533="EI",4,IF(H533="EO",5,IF(H533="EQ",4,"")))))</f>
        <v/>
      </c>
      <c r="J533" s="18" t="inlineStr">
        <is>
          <t>中</t>
        </is>
      </c>
      <c r="K533" s="18">
        <f>IF(J533="高",0.33,IF(J533="中",0.67,IF(J533="低",1,"")))</f>
        <v/>
      </c>
      <c r="L533" s="18" t="inlineStr">
        <is>
          <t>新增</t>
        </is>
      </c>
      <c r="M533" s="18">
        <f>IF(L533="新增",1,IF(L533="修改",0.8,IF(L533="删除",0.2,"")))</f>
        <v/>
      </c>
      <c r="N533" s="18">
        <f>I533*K533*M533</f>
        <v/>
      </c>
    </row>
    <row r="534" ht="19" customHeight="1" s="1">
      <c r="B534" s="16" t="n">
        <v>529</v>
      </c>
      <c r="C534" s="16" t="inlineStr">
        <is>
          <t>边缘智能体系统平台开发</t>
        </is>
      </c>
      <c r="D534" s="16" t="inlineStr">
        <is>
          <t>设备档案管理</t>
        </is>
      </c>
      <c r="E534" s="16" t="inlineStr">
        <is>
          <t>设备备件管理</t>
        </is>
      </c>
      <c r="F534" s="16" t="inlineStr">
        <is>
          <t>备件库存查询</t>
        </is>
      </c>
      <c r="G534" s="17" t="inlineStr">
        <is>
          <t xml:space="preserve"> 提供设备备件库存实时查询技术服务</t>
        </is>
      </c>
      <c r="H534" s="18" t="inlineStr">
        <is>
          <t>EI</t>
        </is>
      </c>
      <c r="I534" s="18">
        <f>IF(H534="ILF",10,IF(H534="EIF",7,IF(H534="EI",4,IF(H534="EO",5,IF(H534="EQ",4,"")))))</f>
        <v/>
      </c>
      <c r="J534" s="18" t="inlineStr">
        <is>
          <t>中</t>
        </is>
      </c>
      <c r="K534" s="18">
        <f>IF(J534="高",0.33,IF(J534="中",0.67,IF(J534="低",1,"")))</f>
        <v/>
      </c>
      <c r="L534" s="18" t="inlineStr">
        <is>
          <t>新增</t>
        </is>
      </c>
      <c r="M534" s="18">
        <f>IF(L534="新增",1,IF(L534="修改",0.8,IF(L534="删除",0.2,"")))</f>
        <v/>
      </c>
      <c r="N534" s="18">
        <f>I534*K534*M534</f>
        <v/>
      </c>
    </row>
    <row r="535" ht="19" customHeight="1" s="1">
      <c r="B535" s="16" t="n">
        <v>530</v>
      </c>
      <c r="C535" s="16" t="inlineStr">
        <is>
          <t>边缘智能体系统平台开发</t>
        </is>
      </c>
      <c r="D535" s="16" t="inlineStr">
        <is>
          <t>健康管理服务</t>
        </is>
      </c>
      <c r="E535" s="16" t="inlineStr">
        <is>
          <t>设备评估管理</t>
        </is>
      </c>
      <c r="F535" s="16" t="inlineStr">
        <is>
          <t>综合状态评估</t>
        </is>
      </c>
      <c r="G535" s="17" t="inlineStr">
        <is>
          <t xml:space="preserve"> 提供设备综合运行状态评估报告服务</t>
        </is>
      </c>
      <c r="H535" s="18" t="inlineStr">
        <is>
          <t>EI</t>
        </is>
      </c>
      <c r="I535" s="18">
        <f>IF(H535="ILF",10,IF(H535="EIF",7,IF(H535="EI",4,IF(H535="EO",5,IF(H535="EQ",4,"")))))</f>
        <v/>
      </c>
      <c r="J535" s="18" t="inlineStr">
        <is>
          <t>中</t>
        </is>
      </c>
      <c r="K535" s="18">
        <f>IF(J535="高",0.33,IF(J535="中",0.67,IF(J535="低",1,"")))</f>
        <v/>
      </c>
      <c r="L535" s="18" t="inlineStr">
        <is>
          <t>新增</t>
        </is>
      </c>
      <c r="M535" s="18">
        <f>IF(L535="新增",1,IF(L535="修改",0.8,IF(L535="删除",0.2,"")))</f>
        <v/>
      </c>
      <c r="N535" s="18">
        <f>I535*K535*M535</f>
        <v/>
      </c>
    </row>
    <row r="536" ht="19" customHeight="1" s="1">
      <c r="B536" s="16" t="n">
        <v>531</v>
      </c>
      <c r="C536" s="16" t="inlineStr">
        <is>
          <t>边缘智能体系统平台开发</t>
        </is>
      </c>
      <c r="D536" s="16" t="inlineStr">
        <is>
          <t>健康管理服务</t>
        </is>
      </c>
      <c r="E536" s="16" t="inlineStr">
        <is>
          <t>设备评估管理</t>
        </is>
      </c>
      <c r="F536" s="16" t="inlineStr">
        <is>
          <t>运维绩效报表</t>
        </is>
      </c>
      <c r="G536" s="17" t="inlineStr">
        <is>
          <t xml:space="preserve"> 提供设备运维绩效统计报表服务</t>
        </is>
      </c>
      <c r="H536" s="18" t="inlineStr">
        <is>
          <t>EI</t>
        </is>
      </c>
      <c r="I536" s="18">
        <f>IF(H536="ILF",10,IF(H536="EIF",7,IF(H536="EI",4,IF(H536="EO",5,IF(H536="EQ",4,"")))))</f>
        <v/>
      </c>
      <c r="J536" s="18" t="inlineStr">
        <is>
          <t>中</t>
        </is>
      </c>
      <c r="K536" s="18">
        <f>IF(J536="高",0.33,IF(J536="中",0.67,IF(J536="低",1,"")))</f>
        <v/>
      </c>
      <c r="L536" s="18" t="inlineStr">
        <is>
          <t>新增</t>
        </is>
      </c>
      <c r="M536" s="18">
        <f>IF(L536="新增",1,IF(L536="修改",0.8,IF(L536="删除",0.2,"")))</f>
        <v/>
      </c>
      <c r="N536" s="18">
        <f>I536*K536*M536</f>
        <v/>
      </c>
    </row>
    <row r="537" ht="19" customHeight="1" s="1">
      <c r="B537" s="16" t="n">
        <v>532</v>
      </c>
      <c r="C537" s="16" t="inlineStr">
        <is>
          <t>边缘智能体系统平台开发</t>
        </is>
      </c>
      <c r="D537" s="16" t="inlineStr">
        <is>
          <t>设备档案管理</t>
        </is>
      </c>
      <c r="E537" s="16" t="inlineStr">
        <is>
          <t>设备验收管理</t>
        </is>
      </c>
      <c r="F537" s="16" t="inlineStr">
        <is>
          <t>验收标准配置</t>
        </is>
      </c>
      <c r="G537" s="17" t="inlineStr">
        <is>
          <t xml:space="preserve"> 提供设备验收标准参数配置技术服务</t>
        </is>
      </c>
      <c r="H537" s="18" t="inlineStr">
        <is>
          <t>EI</t>
        </is>
      </c>
      <c r="I537" s="18">
        <f>IF(H537="ILF",10,IF(H537="EIF",7,IF(H537="EI",4,IF(H537="EO",5,IF(H537="EQ",4,"")))))</f>
        <v/>
      </c>
      <c r="J537" s="18" t="inlineStr">
        <is>
          <t>中</t>
        </is>
      </c>
      <c r="K537" s="18">
        <f>IF(J537="高",0.33,IF(J537="中",0.67,IF(J537="低",1,"")))</f>
        <v/>
      </c>
      <c r="L537" s="18" t="inlineStr">
        <is>
          <t>新增</t>
        </is>
      </c>
      <c r="M537" s="18">
        <f>IF(L537="新增",1,IF(L537="修改",0.8,IF(L537="删除",0.2,"")))</f>
        <v/>
      </c>
      <c r="N537" s="18">
        <f>I537*K537*M537</f>
        <v/>
      </c>
    </row>
    <row r="538" ht="19" customHeight="1" s="1">
      <c r="B538" s="16" t="n">
        <v>533</v>
      </c>
      <c r="C538" s="16" t="inlineStr">
        <is>
          <t>边缘智能体系统平台开发</t>
        </is>
      </c>
      <c r="D538" s="16" t="inlineStr">
        <is>
          <t>设备档案管理</t>
        </is>
      </c>
      <c r="E538" s="16" t="inlineStr">
        <is>
          <t>设备验收管理</t>
        </is>
      </c>
      <c r="F538" s="16" t="inlineStr">
        <is>
          <t>验收报告编制</t>
        </is>
      </c>
      <c r="G538" s="17" t="inlineStr">
        <is>
          <t xml:space="preserve"> 提供设备验收报告编制技术服务</t>
        </is>
      </c>
      <c r="H538" s="18" t="inlineStr">
        <is>
          <t>EI</t>
        </is>
      </c>
      <c r="I538" s="18">
        <f>IF(H538="ILF",10,IF(H538="EIF",7,IF(H538="EI",4,IF(H538="EO",5,IF(H538="EQ",4,"")))))</f>
        <v/>
      </c>
      <c r="J538" s="18" t="inlineStr">
        <is>
          <t>中</t>
        </is>
      </c>
      <c r="K538" s="18">
        <f>IF(J538="高",0.33,IF(J538="中",0.67,IF(J538="低",1,"")))</f>
        <v/>
      </c>
      <c r="L538" s="18" t="inlineStr">
        <is>
          <t>新增</t>
        </is>
      </c>
      <c r="M538" s="18">
        <f>IF(L538="新增",1,IF(L538="修改",0.8,IF(L538="删除",0.2,"")))</f>
        <v/>
      </c>
      <c r="N538" s="18">
        <f>I538*K538*M538</f>
        <v/>
      </c>
    </row>
    <row r="539" ht="19" customHeight="1" s="1">
      <c r="B539" s="16" t="n">
        <v>534</v>
      </c>
      <c r="C539" s="16" t="inlineStr">
        <is>
          <t>边缘智能体系统平台开发</t>
        </is>
      </c>
      <c r="D539" s="16" t="inlineStr">
        <is>
          <t>设备档案管理</t>
        </is>
      </c>
      <c r="E539" s="16" t="inlineStr">
        <is>
          <t>设备转固管理</t>
        </is>
      </c>
      <c r="F539" s="16" t="inlineStr">
        <is>
          <t>转固流程配置</t>
        </is>
      </c>
      <c r="G539" s="17" t="inlineStr">
        <is>
          <t xml:space="preserve"> 提供设备转固流程参数配置技术服务</t>
        </is>
      </c>
      <c r="H539" s="18" t="inlineStr">
        <is>
          <t>EI</t>
        </is>
      </c>
      <c r="I539" s="18">
        <f>IF(H539="ILF",10,IF(H539="EIF",7,IF(H539="EI",4,IF(H539="EO",5,IF(H539="EQ",4,"")))))</f>
        <v/>
      </c>
      <c r="J539" s="18" t="inlineStr">
        <is>
          <t>中</t>
        </is>
      </c>
      <c r="K539" s="18">
        <f>IF(J539="高",0.33,IF(J539="中",0.67,IF(J539="低",1,"")))</f>
        <v/>
      </c>
      <c r="L539" s="18" t="inlineStr">
        <is>
          <t>新增</t>
        </is>
      </c>
      <c r="M539" s="18">
        <f>IF(L539="新增",1,IF(L539="修改",0.8,IF(L539="删除",0.2,"")))</f>
        <v/>
      </c>
      <c r="N539" s="18">
        <f>I539*K539*M539</f>
        <v/>
      </c>
    </row>
    <row r="540" ht="19" customHeight="1" s="1">
      <c r="B540" s="16" t="n">
        <v>535</v>
      </c>
      <c r="C540" s="16" t="inlineStr">
        <is>
          <t>边缘智能体系统平台开发</t>
        </is>
      </c>
      <c r="D540" s="16" t="inlineStr">
        <is>
          <t>设备档案管理</t>
        </is>
      </c>
      <c r="E540" s="16" t="inlineStr">
        <is>
          <t>设备转固管理</t>
        </is>
      </c>
      <c r="F540" s="16" t="inlineStr">
        <is>
          <t>转固报表生成</t>
        </is>
      </c>
      <c r="G540" s="17" t="inlineStr">
        <is>
          <t xml:space="preserve"> 提供设备转固报表生成技术服务</t>
        </is>
      </c>
      <c r="H540" s="18" t="inlineStr">
        <is>
          <t>EI</t>
        </is>
      </c>
      <c r="I540" s="18">
        <f>IF(H540="ILF",10,IF(H540="EIF",7,IF(H540="EI",4,IF(H540="EO",5,IF(H540="EQ",4,"")))))</f>
        <v/>
      </c>
      <c r="J540" s="18" t="inlineStr">
        <is>
          <t>中</t>
        </is>
      </c>
      <c r="K540" s="18">
        <f>IF(J540="高",0.33,IF(J540="中",0.67,IF(J540="低",1,"")))</f>
        <v/>
      </c>
      <c r="L540" s="18" t="inlineStr">
        <is>
          <t>新增</t>
        </is>
      </c>
      <c r="M540" s="18">
        <f>IF(L540="新增",1,IF(L540="修改",0.8,IF(L540="删除",0.2,"")))</f>
        <v/>
      </c>
      <c r="N540" s="18">
        <f>I540*K540*M540</f>
        <v/>
      </c>
    </row>
    <row r="541" ht="19" customHeight="1" s="1">
      <c r="B541" s="16" t="n">
        <v>536</v>
      </c>
      <c r="C541" s="16" t="inlineStr">
        <is>
          <t>边缘智能体系统平台开发</t>
        </is>
      </c>
      <c r="D541" s="16" t="inlineStr">
        <is>
          <t>数据关联服务</t>
        </is>
      </c>
      <c r="E541" s="16" t="inlineStr">
        <is>
          <t>数据归档管理</t>
        </is>
      </c>
      <c r="F541" s="16" t="inlineStr">
        <is>
          <t>归档策略配置</t>
        </is>
      </c>
      <c r="G541" s="17" t="inlineStr">
        <is>
          <t xml:space="preserve"> 提供数据归档策略参数配置技术服务</t>
        </is>
      </c>
      <c r="H541" s="18" t="inlineStr">
        <is>
          <t>EI</t>
        </is>
      </c>
      <c r="I541" s="18">
        <f>IF(H541="ILF",10,IF(H541="EIF",7,IF(H541="EI",4,IF(H541="EO",5,IF(H541="EQ",4,"")))))</f>
        <v/>
      </c>
      <c r="J541" s="18" t="inlineStr">
        <is>
          <t>中</t>
        </is>
      </c>
      <c r="K541" s="18">
        <f>IF(J541="高",0.33,IF(J541="中",0.67,IF(J541="低",1,"")))</f>
        <v/>
      </c>
      <c r="L541" s="18" t="inlineStr">
        <is>
          <t>新增</t>
        </is>
      </c>
      <c r="M541" s="18">
        <f>IF(L541="新增",1,IF(L541="修改",0.8,IF(L541="删除",0.2,"")))</f>
        <v/>
      </c>
      <c r="N541" s="18">
        <f>I541*K541*M541</f>
        <v/>
      </c>
    </row>
    <row r="542" ht="19" customHeight="1" s="1">
      <c r="B542" s="16" t="n">
        <v>537</v>
      </c>
      <c r="C542" s="16" t="inlineStr">
        <is>
          <t>边缘智能体系统平台开发</t>
        </is>
      </c>
      <c r="D542" s="16" t="inlineStr">
        <is>
          <t>设备档案管理</t>
        </is>
      </c>
      <c r="E542" s="16" t="inlineStr">
        <is>
          <t>设备档案服务</t>
        </is>
      </c>
      <c r="F542" s="16" t="inlineStr">
        <is>
          <t>设备档案完整性校验</t>
        </is>
      </c>
      <c r="G542" s="17" t="inlineStr">
        <is>
          <t xml:space="preserve"> 提供设备档案完整性校验服务</t>
        </is>
      </c>
      <c r="H542" s="18" t="inlineStr">
        <is>
          <t>EI</t>
        </is>
      </c>
      <c r="I542" s="18">
        <f>IF(H542="ILF",10,IF(H542="EIF",7,IF(H542="EI",4,IF(H542="EO",5,IF(H542="EQ",4,"")))))</f>
        <v/>
      </c>
      <c r="J542" s="18" t="inlineStr">
        <is>
          <t>中</t>
        </is>
      </c>
      <c r="K542" s="18">
        <f>IF(J542="高",0.33,IF(J542="中",0.67,IF(J542="低",1,"")))</f>
        <v/>
      </c>
      <c r="L542" s="18" t="inlineStr">
        <is>
          <t>新增</t>
        </is>
      </c>
      <c r="M542" s="18">
        <f>IF(L542="新增",1,IF(L542="修改",0.8,IF(L542="删除",0.2,"")))</f>
        <v/>
      </c>
      <c r="N542" s="18">
        <f>I542*K542*M542</f>
        <v/>
      </c>
    </row>
    <row r="543" ht="19" customHeight="1" s="1">
      <c r="B543" s="16" t="n">
        <v>538</v>
      </c>
      <c r="C543" s="16" t="inlineStr">
        <is>
          <t>边缘智能体系统平台开发</t>
        </is>
      </c>
      <c r="D543" s="16" t="inlineStr">
        <is>
          <t>设备档案管理</t>
        </is>
      </c>
      <c r="E543" s="16" t="inlineStr">
        <is>
          <t>设备档案服务</t>
        </is>
      </c>
      <c r="F543" s="16" t="inlineStr">
        <is>
          <t>设备档案一致性校验</t>
        </is>
      </c>
      <c r="G543" s="17" t="inlineStr">
        <is>
          <t xml:space="preserve"> 提供设备档案一致性校验服务</t>
        </is>
      </c>
      <c r="H543" s="18" t="inlineStr">
        <is>
          <t>EI</t>
        </is>
      </c>
      <c r="I543" s="18">
        <f>IF(H543="ILF",10,IF(H543="EIF",7,IF(H543="EI",4,IF(H543="EO",5,IF(H543="EQ",4,"")))))</f>
        <v/>
      </c>
      <c r="J543" s="18" t="inlineStr">
        <is>
          <t>中</t>
        </is>
      </c>
      <c r="K543" s="18">
        <f>IF(J543="高",0.33,IF(J543="中",0.67,IF(J543="低",1,"")))</f>
        <v/>
      </c>
      <c r="L543" s="18" t="inlineStr">
        <is>
          <t>新增</t>
        </is>
      </c>
      <c r="M543" s="18">
        <f>IF(L543="新增",1,IF(L543="修改",0.8,IF(L543="删除",0.2,"")))</f>
        <v/>
      </c>
      <c r="N543" s="18">
        <f>I543*K543*M543</f>
        <v/>
      </c>
    </row>
    <row r="544" ht="19" customHeight="1" s="1">
      <c r="B544" s="16" t="n">
        <v>539</v>
      </c>
      <c r="C544" s="16" t="inlineStr">
        <is>
          <t>边缘智能体系统平台开发</t>
        </is>
      </c>
      <c r="D544" s="16" t="inlineStr">
        <is>
          <t>设备档案管理</t>
        </is>
      </c>
      <c r="E544" s="16" t="inlineStr">
        <is>
          <t>设备档案服务</t>
        </is>
      </c>
      <c r="F544" s="16" t="inlineStr">
        <is>
          <t>设备档案差异报告</t>
        </is>
      </c>
      <c r="G544" s="17" t="inlineStr">
        <is>
          <t xml:space="preserve"> 提供设备档案差异对比报告服务</t>
        </is>
      </c>
      <c r="H544" s="18" t="inlineStr">
        <is>
          <t>EI</t>
        </is>
      </c>
      <c r="I544" s="18">
        <f>IF(H544="ILF",10,IF(H544="EIF",7,IF(H544="EI",4,IF(H544="EO",5,IF(H544="EQ",4,"")))))</f>
        <v/>
      </c>
      <c r="J544" s="18" t="inlineStr">
        <is>
          <t>中</t>
        </is>
      </c>
      <c r="K544" s="18">
        <f>IF(J544="高",0.33,IF(J544="中",0.67,IF(J544="低",1,"")))</f>
        <v/>
      </c>
      <c r="L544" s="18" t="inlineStr">
        <is>
          <t>新增</t>
        </is>
      </c>
      <c r="M544" s="18">
        <f>IF(L544="新增",1,IF(L544="修改",0.8,IF(L544="删除",0.2,"")))</f>
        <v/>
      </c>
      <c r="N544" s="18">
        <f>I544*K544*M544</f>
        <v/>
      </c>
    </row>
    <row r="545" ht="19" customHeight="1" s="1">
      <c r="B545" s="16" t="n">
        <v>540</v>
      </c>
      <c r="C545" s="16" t="inlineStr">
        <is>
          <t>边缘智能体系统平台开发</t>
        </is>
      </c>
      <c r="D545" s="16" t="inlineStr">
        <is>
          <t>设备档案管理</t>
        </is>
      </c>
      <c r="E545" s="16" t="inlineStr">
        <is>
          <t>设备分析服务</t>
        </is>
      </c>
      <c r="F545" s="16" t="inlineStr">
        <is>
          <t>设备类型分布统计</t>
        </is>
      </c>
      <c r="G545" s="17" t="inlineStr">
        <is>
          <t xml:space="preserve"> 提供设备类型分布统计服务</t>
        </is>
      </c>
      <c r="H545" s="18" t="inlineStr">
        <is>
          <t>EI</t>
        </is>
      </c>
      <c r="I545" s="18">
        <f>IF(H545="ILF",10,IF(H545="EIF",7,IF(H545="EI",4,IF(H545="EO",5,IF(H545="EQ",4,"")))))</f>
        <v/>
      </c>
      <c r="J545" s="18" t="inlineStr">
        <is>
          <t>中</t>
        </is>
      </c>
      <c r="K545" s="18">
        <f>IF(J545="高",0.33,IF(J545="中",0.67,IF(J545="低",1,"")))</f>
        <v/>
      </c>
      <c r="L545" s="18" t="inlineStr">
        <is>
          <t>新增</t>
        </is>
      </c>
      <c r="M545" s="18">
        <f>IF(L545="新增",1,IF(L545="修改",0.8,IF(L545="删除",0.2,"")))</f>
        <v/>
      </c>
      <c r="N545" s="18">
        <f>I545*K545*M545</f>
        <v/>
      </c>
    </row>
    <row r="546" ht="19" customHeight="1" s="1">
      <c r="B546" s="16" t="n">
        <v>541</v>
      </c>
      <c r="C546" s="16" t="inlineStr">
        <is>
          <t>边缘智能体系统平台开发</t>
        </is>
      </c>
      <c r="D546" s="16" t="inlineStr">
        <is>
          <t>设备档案管理</t>
        </is>
      </c>
      <c r="E546" s="16" t="inlineStr">
        <is>
          <t>设备分析服务</t>
        </is>
      </c>
      <c r="F546" s="16" t="inlineStr">
        <is>
          <t>设备厂商分布统计</t>
        </is>
      </c>
      <c r="G546" s="17" t="inlineStr">
        <is>
          <t xml:space="preserve"> 提供设备厂商分布统计服务</t>
        </is>
      </c>
      <c r="H546" s="18" t="inlineStr">
        <is>
          <t>EI</t>
        </is>
      </c>
      <c r="I546" s="18">
        <f>IF(H546="ILF",10,IF(H546="EIF",7,IF(H546="EI",4,IF(H546="EO",5,IF(H546="EQ",4,"")))))</f>
        <v/>
      </c>
      <c r="J546" s="18" t="inlineStr">
        <is>
          <t>中</t>
        </is>
      </c>
      <c r="K546" s="18">
        <f>IF(J546="高",0.33,IF(J546="中",0.67,IF(J546="低",1,"")))</f>
        <v/>
      </c>
      <c r="L546" s="18" t="inlineStr">
        <is>
          <t>新增</t>
        </is>
      </c>
      <c r="M546" s="18">
        <f>IF(L546="新增",1,IF(L546="修改",0.8,IF(L546="删除",0.2,"")))</f>
        <v/>
      </c>
      <c r="N546" s="18">
        <f>I546*K546*M546</f>
        <v/>
      </c>
    </row>
    <row r="547" ht="19" customHeight="1" s="1">
      <c r="B547" s="16" t="n">
        <v>542</v>
      </c>
      <c r="C547" s="16" t="inlineStr">
        <is>
          <t>边缘智能体系统平台开发</t>
        </is>
      </c>
      <c r="D547" s="16" t="inlineStr">
        <is>
          <t>设备档案管理</t>
        </is>
      </c>
      <c r="E547" s="16" t="inlineStr">
        <is>
          <t>设备分析服务</t>
        </is>
      </c>
      <c r="F547" s="16" t="inlineStr">
        <is>
          <t>设备区域分布统计</t>
        </is>
      </c>
      <c r="G547" s="17" t="inlineStr">
        <is>
          <t xml:space="preserve"> 提供设备区域分布统计服务</t>
        </is>
      </c>
      <c r="H547" s="18" t="inlineStr">
        <is>
          <t>EI</t>
        </is>
      </c>
      <c r="I547" s="18">
        <f>IF(H547="ILF",10,IF(H547="EIF",7,IF(H547="EI",4,IF(H547="EO",5,IF(H547="EQ",4,"")))))</f>
        <v/>
      </c>
      <c r="J547" s="18" t="inlineStr">
        <is>
          <t>中</t>
        </is>
      </c>
      <c r="K547" s="18">
        <f>IF(J547="高",0.33,IF(J547="中",0.67,IF(J547="低",1,"")))</f>
        <v/>
      </c>
      <c r="L547" s="18" t="inlineStr">
        <is>
          <t>新增</t>
        </is>
      </c>
      <c r="M547" s="18">
        <f>IF(L547="新增",1,IF(L547="修改",0.8,IF(L547="删除",0.2,"")))</f>
        <v/>
      </c>
      <c r="N547" s="18">
        <f>I547*K547*M547</f>
        <v/>
      </c>
    </row>
    <row r="548" ht="19" customHeight="1" s="1">
      <c r="B548" s="16" t="n">
        <v>543</v>
      </c>
      <c r="C548" s="16" t="inlineStr">
        <is>
          <t>边缘智能体系统平台开发</t>
        </is>
      </c>
      <c r="D548" s="16" t="inlineStr">
        <is>
          <t>健康管理服务</t>
        </is>
      </c>
      <c r="E548" s="16" t="inlineStr">
        <is>
          <t>设备诊断服务</t>
        </is>
      </c>
      <c r="F548" s="16" t="inlineStr">
        <is>
          <t>设备异常诊断配置</t>
        </is>
      </c>
      <c r="G548" s="17" t="inlineStr">
        <is>
          <t xml:space="preserve"> 提供设备异常诊断规则配置服务</t>
        </is>
      </c>
      <c r="H548" s="18" t="inlineStr">
        <is>
          <t>EI</t>
        </is>
      </c>
      <c r="I548" s="18">
        <f>IF(H548="ILF",10,IF(H548="EIF",7,IF(H548="EI",4,IF(H548="EO",5,IF(H548="EQ",4,"")))))</f>
        <v/>
      </c>
      <c r="J548" s="18" t="inlineStr">
        <is>
          <t>中</t>
        </is>
      </c>
      <c r="K548" s="18">
        <f>IF(J548="高",0.33,IF(J548="中",0.67,IF(J548="低",1,"")))</f>
        <v/>
      </c>
      <c r="L548" s="18" t="inlineStr">
        <is>
          <t>新增</t>
        </is>
      </c>
      <c r="M548" s="18">
        <f>IF(L548="新增",1,IF(L548="修改",0.8,IF(L548="删除",0.2,"")))</f>
        <v/>
      </c>
      <c r="N548" s="18">
        <f>I548*K548*M548</f>
        <v/>
      </c>
    </row>
    <row r="549" ht="19" customHeight="1" s="1">
      <c r="B549" s="16" t="n">
        <v>544</v>
      </c>
      <c r="C549" s="16" t="inlineStr">
        <is>
          <t>边缘智能体系统平台开发</t>
        </is>
      </c>
      <c r="D549" s="16" t="inlineStr">
        <is>
          <t>健康管理服务</t>
        </is>
      </c>
      <c r="E549" s="16" t="inlineStr">
        <is>
          <t>设备诊断服务</t>
        </is>
      </c>
      <c r="F549" s="16" t="inlineStr">
        <is>
          <t>设备诊断报告生成</t>
        </is>
      </c>
      <c r="G549" s="17" t="inlineStr">
        <is>
          <t xml:space="preserve"> 提供设备诊断报告生成服务</t>
        </is>
      </c>
      <c r="H549" s="18" t="inlineStr">
        <is>
          <t>EI</t>
        </is>
      </c>
      <c r="I549" s="18">
        <f>IF(H549="ILF",10,IF(H549="EIF",7,IF(H549="EI",4,IF(H549="EO",5,IF(H549="EQ",4,"")))))</f>
        <v/>
      </c>
      <c r="J549" s="18" t="inlineStr">
        <is>
          <t>中</t>
        </is>
      </c>
      <c r="K549" s="18">
        <f>IF(J549="高",0.33,IF(J549="中",0.67,IF(J549="低",1,"")))</f>
        <v/>
      </c>
      <c r="L549" s="18" t="inlineStr">
        <is>
          <t>新增</t>
        </is>
      </c>
      <c r="M549" s="18">
        <f>IF(L549="新增",1,IF(L549="修改",0.8,IF(L549="删除",0.2,"")))</f>
        <v/>
      </c>
      <c r="N549" s="18">
        <f>I549*K549*M549</f>
        <v/>
      </c>
    </row>
    <row r="550" ht="19" customHeight="1" s="1">
      <c r="B550" s="16" t="n">
        <v>545</v>
      </c>
      <c r="C550" s="16" t="inlineStr">
        <is>
          <t>边缘智能体系统平台开发</t>
        </is>
      </c>
      <c r="D550" s="16" t="inlineStr">
        <is>
          <t>设备档案管理</t>
        </is>
      </c>
      <c r="E550" s="16" t="inlineStr">
        <is>
          <t>设备查询服务</t>
        </is>
      </c>
      <c r="F550" s="16" t="inlineStr">
        <is>
          <t>设备全量查询导出</t>
        </is>
      </c>
      <c r="G550" s="17" t="inlineStr">
        <is>
          <t xml:space="preserve"> 提供设备全量数据导出服务</t>
        </is>
      </c>
      <c r="H550" s="18" t="inlineStr">
        <is>
          <t>EI</t>
        </is>
      </c>
      <c r="I550" s="18">
        <f>IF(H550="ILF",10,IF(H550="EIF",7,IF(H550="EI",4,IF(H550="EO",5,IF(H550="EQ",4,"")))))</f>
        <v/>
      </c>
      <c r="J550" s="18" t="inlineStr">
        <is>
          <t>中</t>
        </is>
      </c>
      <c r="K550" s="18">
        <f>IF(J550="高",0.33,IF(J550="中",0.67,IF(J550="低",1,"")))</f>
        <v/>
      </c>
      <c r="L550" s="18" t="inlineStr">
        <is>
          <t>新增</t>
        </is>
      </c>
      <c r="M550" s="18">
        <f>IF(L550="新增",1,IF(L550="修改",0.8,IF(L550="删除",0.2,"")))</f>
        <v/>
      </c>
      <c r="N550" s="18">
        <f>I550*K550*M550</f>
        <v/>
      </c>
    </row>
    <row r="551" ht="19" customHeight="1" s="1">
      <c r="B551" s="16" t="n">
        <v>546</v>
      </c>
      <c r="C551" s="16" t="inlineStr">
        <is>
          <t>边缘智能体系统平台开发</t>
        </is>
      </c>
      <c r="D551" s="16" t="inlineStr">
        <is>
          <t>健康管理服务</t>
        </is>
      </c>
      <c r="E551" s="16" t="inlineStr">
        <is>
          <t>实时健康评分</t>
        </is>
      </c>
      <c r="F551" s="16" t="inlineStr">
        <is>
          <t>动态评分计算</t>
        </is>
      </c>
      <c r="G551" s="17" t="inlineStr">
        <is>
          <t xml:space="preserve"> 提供设备实时健康评分动态计算服务</t>
        </is>
      </c>
      <c r="H551" s="18" t="inlineStr">
        <is>
          <t>EI</t>
        </is>
      </c>
      <c r="I551" s="18">
        <f>IF(H551="ILF",10,IF(H551="EIF",7,IF(H551="EI",4,IF(H551="EO",5,IF(H551="EQ",4,"")))))</f>
        <v/>
      </c>
      <c r="J551" s="18" t="inlineStr">
        <is>
          <t>中</t>
        </is>
      </c>
      <c r="K551" s="18">
        <f>IF(J551="高",0.33,IF(J551="中",0.67,IF(J551="低",1,"")))</f>
        <v/>
      </c>
      <c r="L551" s="18" t="inlineStr">
        <is>
          <t>新增</t>
        </is>
      </c>
      <c r="M551" s="18">
        <f>IF(L551="新增",1,IF(L551="修改",0.8,IF(L551="删除",0.2,"")))</f>
        <v/>
      </c>
      <c r="N551" s="18">
        <f>I551*K551*M551</f>
        <v/>
      </c>
    </row>
    <row r="552" ht="19" customHeight="1" s="1">
      <c r="B552" s="16" t="n">
        <v>547</v>
      </c>
      <c r="C552" s="16" t="inlineStr">
        <is>
          <t>边缘智能体系统平台开发</t>
        </is>
      </c>
      <c r="D552" s="16" t="inlineStr">
        <is>
          <t>健康管理服务</t>
        </is>
      </c>
      <c r="E552" s="16" t="inlineStr">
        <is>
          <t>实时健康评分</t>
        </is>
      </c>
      <c r="F552" s="16" t="inlineStr">
        <is>
          <t>评分阈值联动</t>
        </is>
      </c>
      <c r="G552" s="17" t="inlineStr">
        <is>
          <t xml:space="preserve"> 提供健康评分与告警级别联动配置</t>
        </is>
      </c>
      <c r="H552" s="18" t="inlineStr">
        <is>
          <t>EI</t>
        </is>
      </c>
      <c r="I552" s="18">
        <f>IF(H552="ILF",10,IF(H552="EIF",7,IF(H552="EI",4,IF(H552="EO",5,IF(H552="EQ",4,"")))))</f>
        <v/>
      </c>
      <c r="J552" s="18" t="inlineStr">
        <is>
          <t>中</t>
        </is>
      </c>
      <c r="K552" s="18">
        <f>IF(J552="高",0.33,IF(J552="中",0.67,IF(J552="低",1,"")))</f>
        <v/>
      </c>
      <c r="L552" s="18" t="inlineStr">
        <is>
          <t>新增</t>
        </is>
      </c>
      <c r="M552" s="18">
        <f>IF(L552="新增",1,IF(L552="修改",0.8,IF(L552="删除",0.2,"")))</f>
        <v/>
      </c>
      <c r="N552" s="18">
        <f>I552*K552*M552</f>
        <v/>
      </c>
    </row>
    <row r="553" ht="19" customHeight="1" s="1">
      <c r="B553" s="16" t="n">
        <v>548</v>
      </c>
      <c r="C553" s="16" t="inlineStr">
        <is>
          <t>边缘智能体系统平台开发</t>
        </is>
      </c>
      <c r="D553" s="16" t="inlineStr">
        <is>
          <t>设备档案管理</t>
        </is>
      </c>
      <c r="E553" s="16" t="inlineStr">
        <is>
          <t>注册管理</t>
        </is>
      </c>
      <c r="F553" s="16" t="inlineStr">
        <is>
          <t>信息录入</t>
        </is>
      </c>
      <c r="G553" s="17" t="inlineStr">
        <is>
          <t xml:space="preserve"> 提供设备基础信息注册录入服务</t>
        </is>
      </c>
      <c r="H553" s="18" t="inlineStr">
        <is>
          <t>EI</t>
        </is>
      </c>
      <c r="I553" s="18">
        <f>IF(H553="ILF",10,IF(H553="EIF",7,IF(H553="EI",4,IF(H553="EO",5,IF(H553="EQ",4,"")))))</f>
        <v/>
      </c>
      <c r="J553" s="18" t="inlineStr">
        <is>
          <t>中</t>
        </is>
      </c>
      <c r="K553" s="18">
        <f>IF(J553="高",0.33,IF(J553="中",0.67,IF(J553="低",1,"")))</f>
        <v/>
      </c>
      <c r="L553" s="18" t="inlineStr">
        <is>
          <t>新增</t>
        </is>
      </c>
      <c r="M553" s="18">
        <f>IF(L553="新增",1,IF(L553="修改",0.8,IF(L553="删除",0.2,"")))</f>
        <v/>
      </c>
      <c r="N553" s="18">
        <f>I553*K553*M553</f>
        <v/>
      </c>
    </row>
    <row r="554" ht="19" customHeight="1" s="1">
      <c r="B554" s="16" t="n">
        <v>549</v>
      </c>
      <c r="C554" s="16" t="inlineStr">
        <is>
          <t>边缘智能体系统平台开发</t>
        </is>
      </c>
      <c r="D554" s="16" t="inlineStr">
        <is>
          <t>设备档案管理</t>
        </is>
      </c>
      <c r="E554" s="16" t="inlineStr">
        <is>
          <t>注册管理</t>
        </is>
      </c>
      <c r="F554" s="16" t="inlineStr">
        <is>
          <t>ID哈希</t>
        </is>
      </c>
      <c r="G554" s="17" t="inlineStr">
        <is>
          <t xml:space="preserve"> 提供基于设备特征信息的唯一设备ID哈希生成服务</t>
        </is>
      </c>
      <c r="H554" s="18" t="inlineStr">
        <is>
          <t>EI</t>
        </is>
      </c>
      <c r="I554" s="18">
        <f>IF(H554="ILF",10,IF(H554="EIF",7,IF(H554="EI",4,IF(H554="EO",5,IF(H554="EQ",4,"")))))</f>
        <v/>
      </c>
      <c r="J554" s="18" t="inlineStr">
        <is>
          <t>中</t>
        </is>
      </c>
      <c r="K554" s="18">
        <f>IF(J554="高",0.33,IF(J554="中",0.67,IF(J554="低",1,"")))</f>
        <v/>
      </c>
      <c r="L554" s="18" t="inlineStr">
        <is>
          <t>新增</t>
        </is>
      </c>
      <c r="M554" s="18">
        <f>IF(L554="新增",1,IF(L554="修改",0.8,IF(L554="删除",0.2,"")))</f>
        <v/>
      </c>
      <c r="N554" s="18">
        <f>I554*K554*M554</f>
        <v/>
      </c>
    </row>
    <row r="555" ht="19" customHeight="1" s="1">
      <c r="B555" s="16" t="n">
        <v>550</v>
      </c>
      <c r="C555" s="16" t="inlineStr">
        <is>
          <t>边缘智能体系统平台开发</t>
        </is>
      </c>
      <c r="D555" s="16" t="inlineStr">
        <is>
          <t>设备档案管理</t>
        </is>
      </c>
      <c r="E555" s="16" t="inlineStr">
        <is>
          <t>注册管理</t>
        </is>
      </c>
      <c r="F555" s="16" t="inlineStr">
        <is>
          <t>设备分类</t>
        </is>
      </c>
      <c r="G555" s="17" t="inlineStr">
        <is>
          <t xml:space="preserve"> 提供按设备型号规格的分类管理服务</t>
        </is>
      </c>
      <c r="H555" s="18" t="inlineStr">
        <is>
          <t>EI</t>
        </is>
      </c>
      <c r="I555" s="18">
        <f>IF(H555="ILF",10,IF(H555="EIF",7,IF(H555="EI",4,IF(H555="EO",5,IF(H555="EQ",4,"")))))</f>
        <v/>
      </c>
      <c r="J555" s="18" t="inlineStr">
        <is>
          <t>中</t>
        </is>
      </c>
      <c r="K555" s="18">
        <f>IF(J555="高",0.33,IF(J555="中",0.67,IF(J555="低",1,"")))</f>
        <v/>
      </c>
      <c r="L555" s="18" t="inlineStr">
        <is>
          <t>新增</t>
        </is>
      </c>
      <c r="M555" s="18">
        <f>IF(L555="新增",1,IF(L555="修改",0.8,IF(L555="删除",0.2,"")))</f>
        <v/>
      </c>
      <c r="N555" s="18">
        <f>I555*K555*M555</f>
        <v/>
      </c>
    </row>
    <row r="556" ht="19" customHeight="1" s="1">
      <c r="B556" s="16" t="n">
        <v>551</v>
      </c>
      <c r="C556" s="16" t="inlineStr">
        <is>
          <t>边缘智能体系统平台开发</t>
        </is>
      </c>
      <c r="D556" s="16" t="inlineStr">
        <is>
          <t>设备档案管理</t>
        </is>
      </c>
      <c r="E556" s="16" t="inlineStr">
        <is>
          <t>注册管理</t>
        </is>
      </c>
      <c r="F556" s="16" t="inlineStr">
        <is>
          <t>批量导入</t>
        </is>
      </c>
      <c r="G556" s="17" t="inlineStr">
        <is>
          <t xml:space="preserve"> 提供设备信息Excel批量导入服务</t>
        </is>
      </c>
      <c r="H556" s="18" t="inlineStr">
        <is>
          <t>EI</t>
        </is>
      </c>
      <c r="I556" s="18">
        <f>IF(H556="ILF",10,IF(H556="EIF",7,IF(H556="EI",4,IF(H556="EO",5,IF(H556="EQ",4,"")))))</f>
        <v/>
      </c>
      <c r="J556" s="18" t="inlineStr">
        <is>
          <t>中</t>
        </is>
      </c>
      <c r="K556" s="18">
        <f>IF(J556="高",0.33,IF(J556="中",0.67,IF(J556="低",1,"")))</f>
        <v/>
      </c>
      <c r="L556" s="18" t="inlineStr">
        <is>
          <t>新增</t>
        </is>
      </c>
      <c r="M556" s="18">
        <f>IF(L556="新增",1,IF(L556="修改",0.8,IF(L556="删除",0.2,"")))</f>
        <v/>
      </c>
      <c r="N556" s="18">
        <f>I556*K556*M556</f>
        <v/>
      </c>
    </row>
    <row r="557" ht="19" customHeight="1" s="1">
      <c r="B557" s="16" t="n">
        <v>552</v>
      </c>
      <c r="C557" s="16" t="inlineStr">
        <is>
          <t>边缘智能体系统平台开发</t>
        </is>
      </c>
      <c r="D557" s="16" t="inlineStr">
        <is>
          <t>设备档案管理</t>
        </is>
      </c>
      <c r="E557" s="16" t="inlineStr">
        <is>
          <t>注册管理</t>
        </is>
      </c>
      <c r="F557" s="16" t="inlineStr">
        <is>
          <t>批量导出</t>
        </is>
      </c>
      <c r="G557" s="17" t="inlineStr">
        <is>
          <t xml:space="preserve"> 提供设备信息Excel批量导出服务</t>
        </is>
      </c>
      <c r="H557" s="18" t="inlineStr">
        <is>
          <t>EI</t>
        </is>
      </c>
      <c r="I557" s="18">
        <f>IF(H557="ILF",10,IF(H557="EIF",7,IF(H557="EI",4,IF(H557="EO",5,IF(H557="EQ",4,"")))))</f>
        <v/>
      </c>
      <c r="J557" s="18" t="inlineStr">
        <is>
          <t>中</t>
        </is>
      </c>
      <c r="K557" s="18">
        <f>IF(J557="高",0.33,IF(J557="中",0.67,IF(J557="低",1,"")))</f>
        <v/>
      </c>
      <c r="L557" s="18" t="inlineStr">
        <is>
          <t>新增</t>
        </is>
      </c>
      <c r="M557" s="18">
        <f>IF(L557="新增",1,IF(L557="修改",0.8,IF(L557="删除",0.2,"")))</f>
        <v/>
      </c>
      <c r="N557" s="18">
        <f>I557*K557*M557</f>
        <v/>
      </c>
    </row>
    <row r="558" ht="19" customHeight="1" s="1">
      <c r="B558" s="16" t="n">
        <v>553</v>
      </c>
      <c r="C558" s="16" t="inlineStr">
        <is>
          <t>边缘智能体系统平台开发</t>
        </is>
      </c>
      <c r="D558" s="16" t="inlineStr">
        <is>
          <t>设备档案管理</t>
        </is>
      </c>
      <c r="E558" s="16" t="inlineStr">
        <is>
          <t>注册管理</t>
        </is>
      </c>
      <c r="F558" s="16" t="inlineStr">
        <is>
          <t>版本管理</t>
        </is>
      </c>
      <c r="G558" s="17" t="inlineStr">
        <is>
          <t xml:space="preserve"> 提供设备档案修改版本历史记录和追溯服务</t>
        </is>
      </c>
      <c r="H558" s="18" t="inlineStr">
        <is>
          <t>EI</t>
        </is>
      </c>
      <c r="I558" s="18">
        <f>IF(H558="ILF",10,IF(H558="EIF",7,IF(H558="EI",4,IF(H558="EO",5,IF(H558="EQ",4,"")))))</f>
        <v/>
      </c>
      <c r="J558" s="18" t="inlineStr">
        <is>
          <t>中</t>
        </is>
      </c>
      <c r="K558" s="18">
        <f>IF(J558="高",0.33,IF(J558="中",0.67,IF(J558="低",1,"")))</f>
        <v/>
      </c>
      <c r="L558" s="18" t="inlineStr">
        <is>
          <t>新增</t>
        </is>
      </c>
      <c r="M558" s="18">
        <f>IF(L558="新增",1,IF(L558="修改",0.8,IF(L558="删除",0.2,"")))</f>
        <v/>
      </c>
      <c r="N558" s="18">
        <f>I558*K558*M558</f>
        <v/>
      </c>
    </row>
    <row r="559" ht="19" customHeight="1" s="1">
      <c r="B559" s="16" t="n">
        <v>554</v>
      </c>
      <c r="C559" s="16" t="inlineStr">
        <is>
          <t>边缘智能体系统平台开发</t>
        </is>
      </c>
      <c r="D559" s="16" t="inlineStr">
        <is>
          <t>设备档案管理</t>
        </is>
      </c>
      <c r="E559" s="16" t="inlineStr">
        <is>
          <t>注册管理</t>
        </is>
      </c>
      <c r="F559" s="16" t="inlineStr">
        <is>
          <t>标签管理</t>
        </is>
      </c>
      <c r="G559" s="17" t="inlineStr">
        <is>
          <t xml:space="preserve"> 提供设备自定义标签创建/检索/管理服务</t>
        </is>
      </c>
      <c r="H559" s="18" t="inlineStr">
        <is>
          <t>EI</t>
        </is>
      </c>
      <c r="I559" s="18">
        <f>IF(H559="ILF",10,IF(H559="EIF",7,IF(H559="EI",4,IF(H559="EO",5,IF(H559="EQ",4,"")))))</f>
        <v/>
      </c>
      <c r="J559" s="18" t="inlineStr">
        <is>
          <t>中</t>
        </is>
      </c>
      <c r="K559" s="18">
        <f>IF(J559="高",0.33,IF(J559="中",0.67,IF(J559="低",1,"")))</f>
        <v/>
      </c>
      <c r="L559" s="18" t="inlineStr">
        <is>
          <t>新增</t>
        </is>
      </c>
      <c r="M559" s="18">
        <f>IF(L559="新增",1,IF(L559="修改",0.8,IF(L559="删除",0.2,"")))</f>
        <v/>
      </c>
      <c r="N559" s="18">
        <f>I559*K559*M559</f>
        <v/>
      </c>
    </row>
    <row r="560" ht="19" customHeight="1" s="1">
      <c r="B560" s="16" t="n">
        <v>555</v>
      </c>
      <c r="C560" s="16" t="inlineStr">
        <is>
          <t>边缘智能体系统平台开发</t>
        </is>
      </c>
      <c r="D560" s="16" t="inlineStr">
        <is>
          <t>设备档案管理</t>
        </is>
      </c>
      <c r="E560" s="16" t="inlineStr">
        <is>
          <t>注册管理</t>
        </is>
      </c>
      <c r="F560" s="16" t="inlineStr">
        <is>
          <t>分组管理</t>
        </is>
      </c>
      <c r="G560" s="17" t="inlineStr">
        <is>
          <t xml:space="preserve"> 提供设备按采油厂/作业区/类型分组管理服务</t>
        </is>
      </c>
      <c r="H560" s="18" t="inlineStr">
        <is>
          <t>EI</t>
        </is>
      </c>
      <c r="I560" s="18">
        <f>IF(H560="ILF",10,IF(H560="EIF",7,IF(H560="EI",4,IF(H560="EO",5,IF(H560="EQ",4,"")))))</f>
        <v/>
      </c>
      <c r="J560" s="18" t="inlineStr">
        <is>
          <t>中</t>
        </is>
      </c>
      <c r="K560" s="18">
        <f>IF(J560="高",0.33,IF(J560="中",0.67,IF(J560="低",1,"")))</f>
        <v/>
      </c>
      <c r="L560" s="18" t="inlineStr">
        <is>
          <t>新增</t>
        </is>
      </c>
      <c r="M560" s="18">
        <f>IF(L560="新增",1,IF(L560="修改",0.8,IF(L560="删除",0.2,"")))</f>
        <v/>
      </c>
      <c r="N560" s="18">
        <f>I560*K560*M560</f>
        <v/>
      </c>
    </row>
    <row r="561" ht="19" customHeight="1" s="1">
      <c r="B561" s="16" t="n">
        <v>556</v>
      </c>
      <c r="C561" s="16" t="inlineStr">
        <is>
          <t>边缘智能体系统平台开发</t>
        </is>
      </c>
      <c r="D561" s="16" t="inlineStr">
        <is>
          <t>设备档案管理</t>
        </is>
      </c>
      <c r="E561" s="16" t="inlineStr">
        <is>
          <t>状态监控</t>
        </is>
      </c>
      <c r="F561" s="16" t="inlineStr">
        <is>
          <t>在线监控</t>
        </is>
      </c>
      <c r="G561" s="17" t="inlineStr">
        <is>
          <t xml:space="preserve"> 提供设备在线/离线状态实时监控服务</t>
        </is>
      </c>
      <c r="H561" s="18" t="inlineStr">
        <is>
          <t>EI</t>
        </is>
      </c>
      <c r="I561" s="18">
        <f>IF(H561="ILF",10,IF(H561="EIF",7,IF(H561="EI",4,IF(H561="EO",5,IF(H561="EQ",4,"")))))</f>
        <v/>
      </c>
      <c r="J561" s="18" t="inlineStr">
        <is>
          <t>中</t>
        </is>
      </c>
      <c r="K561" s="18">
        <f>IF(J561="高",0.33,IF(J561="中",0.67,IF(J561="低",1,"")))</f>
        <v/>
      </c>
      <c r="L561" s="18" t="inlineStr">
        <is>
          <t>新增</t>
        </is>
      </c>
      <c r="M561" s="18">
        <f>IF(L561="新增",1,IF(L561="修改",0.8,IF(L561="删除",0.2,"")))</f>
        <v/>
      </c>
      <c r="N561" s="18">
        <f>I561*K561*M561</f>
        <v/>
      </c>
    </row>
    <row r="562" ht="19" customHeight="1" s="1">
      <c r="B562" s="16" t="n">
        <v>557</v>
      </c>
      <c r="C562" s="16" t="inlineStr">
        <is>
          <t>边缘智能体系统平台开发</t>
        </is>
      </c>
      <c r="D562" s="16" t="inlineStr">
        <is>
          <t>设备档案管理</t>
        </is>
      </c>
      <c r="E562" s="16" t="inlineStr">
        <is>
          <t>状态监控</t>
        </is>
      </c>
      <c r="F562" s="16" t="inlineStr">
        <is>
          <t>通信质量</t>
        </is>
      </c>
      <c r="G562" s="17" t="inlineStr">
        <is>
          <t xml:space="preserve"> 提供设备通信响应时延和丢包率质量监控服务</t>
        </is>
      </c>
      <c r="H562" s="18" t="inlineStr">
        <is>
          <t>EI</t>
        </is>
      </c>
      <c r="I562" s="18">
        <f>IF(H562="ILF",10,IF(H562="EIF",7,IF(H562="EI",4,IF(H562="EO",5,IF(H562="EQ",4,"")))))</f>
        <v/>
      </c>
      <c r="J562" s="18" t="inlineStr">
        <is>
          <t>中</t>
        </is>
      </c>
      <c r="K562" s="18">
        <f>IF(J562="高",0.33,IF(J562="中",0.67,IF(J562="低",1,"")))</f>
        <v/>
      </c>
      <c r="L562" s="18" t="inlineStr">
        <is>
          <t>新增</t>
        </is>
      </c>
      <c r="M562" s="18">
        <f>IF(L562="新增",1,IF(L562="修改",0.8,IF(L562="删除",0.2,"")))</f>
        <v/>
      </c>
      <c r="N562" s="18">
        <f>I562*K562*M562</f>
        <v/>
      </c>
    </row>
    <row r="563" ht="19" customHeight="1" s="1">
      <c r="B563" s="16" t="n">
        <v>558</v>
      </c>
      <c r="C563" s="16" t="inlineStr">
        <is>
          <t>边缘智能体系统平台开发</t>
        </is>
      </c>
      <c r="D563" s="16" t="inlineStr">
        <is>
          <t>设备档案管理</t>
        </is>
      </c>
      <c r="E563" s="16" t="inlineStr">
        <is>
          <t>状态监控</t>
        </is>
      </c>
      <c r="F563" s="16" t="inlineStr">
        <is>
          <t>运行参数</t>
        </is>
      </c>
      <c r="G563" s="17" t="inlineStr">
        <is>
          <t xml:space="preserve"> 提供设备关键运行参数实时监控服务</t>
        </is>
      </c>
      <c r="H563" s="18" t="inlineStr">
        <is>
          <t>EI</t>
        </is>
      </c>
      <c r="I563" s="18">
        <f>IF(H563="ILF",10,IF(H563="EIF",7,IF(H563="EI",4,IF(H563="EO",5,IF(H563="EQ",4,"")))))</f>
        <v/>
      </c>
      <c r="J563" s="18" t="inlineStr">
        <is>
          <t>中</t>
        </is>
      </c>
      <c r="K563" s="18">
        <f>IF(J563="高",0.33,IF(J563="中",0.67,IF(J563="低",1,"")))</f>
        <v/>
      </c>
      <c r="L563" s="18" t="inlineStr">
        <is>
          <t>新增</t>
        </is>
      </c>
      <c r="M563" s="18">
        <f>IF(L563="新增",1,IF(L563="修改",0.8,IF(L563="删除",0.2,"")))</f>
        <v/>
      </c>
      <c r="N563" s="18">
        <f>I563*K563*M563</f>
        <v/>
      </c>
    </row>
    <row r="564" ht="19" customHeight="1" s="1">
      <c r="B564" s="16" t="n">
        <v>559</v>
      </c>
      <c r="C564" s="16" t="inlineStr">
        <is>
          <t>边缘智能体系统平台开发</t>
        </is>
      </c>
      <c r="D564" s="16" t="inlineStr">
        <is>
          <t>设备档案管理</t>
        </is>
      </c>
      <c r="E564" s="16" t="inlineStr">
        <is>
          <t>状态监控</t>
        </is>
      </c>
      <c r="F564" s="16" t="inlineStr">
        <is>
          <t>状态推送</t>
        </is>
      </c>
      <c r="G564" s="17" t="inlineStr">
        <is>
          <t xml:space="preserve"> 提供设备状态变化MQTT实时推送服务</t>
        </is>
      </c>
      <c r="H564" s="18" t="inlineStr">
        <is>
          <t>EI</t>
        </is>
      </c>
      <c r="I564" s="18">
        <f>IF(H564="ILF",10,IF(H564="EIF",7,IF(H564="EI",4,IF(H564="EO",5,IF(H564="EQ",4,"")))))</f>
        <v/>
      </c>
      <c r="J564" s="18" t="inlineStr">
        <is>
          <t>中</t>
        </is>
      </c>
      <c r="K564" s="18">
        <f>IF(J564="高",0.33,IF(J564="中",0.67,IF(J564="低",1,"")))</f>
        <v/>
      </c>
      <c r="L564" s="18" t="inlineStr">
        <is>
          <t>新增</t>
        </is>
      </c>
      <c r="M564" s="18">
        <f>IF(L564="新增",1,IF(L564="修改",0.8,IF(L564="删除",0.2,"")))</f>
        <v/>
      </c>
      <c r="N564" s="18">
        <f>I564*K564*M564</f>
        <v/>
      </c>
    </row>
    <row r="565" ht="19" customHeight="1" s="1">
      <c r="B565" s="16" t="n">
        <v>560</v>
      </c>
      <c r="C565" s="16" t="inlineStr">
        <is>
          <t>边缘智能体系统平台开发</t>
        </is>
      </c>
      <c r="D565" s="16" t="inlineStr">
        <is>
          <t>设备档案管理</t>
        </is>
      </c>
      <c r="E565" s="16" t="inlineStr">
        <is>
          <t>状态监控</t>
        </is>
      </c>
      <c r="F565" s="16" t="inlineStr">
        <is>
          <t>历史查询</t>
        </is>
      </c>
      <c r="G565" s="17" t="inlineStr">
        <is>
          <t xml:space="preserve"> 提供设备状态变化历史记录查询服务</t>
        </is>
      </c>
      <c r="H565" s="18" t="inlineStr">
        <is>
          <t>EI</t>
        </is>
      </c>
      <c r="I565" s="18">
        <f>IF(H565="ILF",10,IF(H565="EIF",7,IF(H565="EI",4,IF(H565="EO",5,IF(H565="EQ",4,"")))))</f>
        <v/>
      </c>
      <c r="J565" s="18" t="inlineStr">
        <is>
          <t>中</t>
        </is>
      </c>
      <c r="K565" s="18">
        <f>IF(J565="高",0.33,IF(J565="中",0.67,IF(J565="低",1,"")))</f>
        <v/>
      </c>
      <c r="L565" s="18" t="inlineStr">
        <is>
          <t>新增</t>
        </is>
      </c>
      <c r="M565" s="18">
        <f>IF(L565="新增",1,IF(L565="修改",0.8,IF(L565="删除",0.2,"")))</f>
        <v/>
      </c>
      <c r="N565" s="18">
        <f>I565*K565*M565</f>
        <v/>
      </c>
    </row>
    <row r="566" ht="19" customHeight="1" s="1">
      <c r="B566" s="16" t="n">
        <v>561</v>
      </c>
      <c r="C566" s="16" t="inlineStr">
        <is>
          <t>边缘智能体系统平台开发</t>
        </is>
      </c>
      <c r="D566" s="16" t="inlineStr">
        <is>
          <t>设备档案管理</t>
        </is>
      </c>
      <c r="E566" s="16" t="inlineStr">
        <is>
          <t>状态监控</t>
        </is>
      </c>
      <c r="F566" s="16" t="inlineStr">
        <is>
          <t>统计报表</t>
        </is>
      </c>
      <c r="G566" s="17" t="inlineStr">
        <is>
          <t xml:space="preserve"> 提供设备在线率/离线时长统计服务</t>
        </is>
      </c>
      <c r="H566" s="18" t="inlineStr">
        <is>
          <t>EI</t>
        </is>
      </c>
      <c r="I566" s="18">
        <f>IF(H566="ILF",10,IF(H566="EIF",7,IF(H566="EI",4,IF(H566="EO",5,IF(H566="EQ",4,"")))))</f>
        <v/>
      </c>
      <c r="J566" s="18" t="inlineStr">
        <is>
          <t>中</t>
        </is>
      </c>
      <c r="K566" s="18">
        <f>IF(J566="高",0.33,IF(J566="中",0.67,IF(J566="低",1,"")))</f>
        <v/>
      </c>
      <c r="L566" s="18" t="inlineStr">
        <is>
          <t>新增</t>
        </is>
      </c>
      <c r="M566" s="18">
        <f>IF(L566="新增",1,IF(L566="修改",0.8,IF(L566="删除",0.2,"")))</f>
        <v/>
      </c>
      <c r="N566" s="18">
        <f>I566*K566*M566</f>
        <v/>
      </c>
    </row>
    <row r="567" ht="19" customHeight="1" s="1">
      <c r="B567" s="16" t="n">
        <v>562</v>
      </c>
      <c r="C567" s="16" t="inlineStr">
        <is>
          <t>边缘智能体系统平台开发</t>
        </is>
      </c>
      <c r="D567" s="16" t="inlineStr">
        <is>
          <t>设备档案管理</t>
        </is>
      </c>
      <c r="E567" s="16" t="inlineStr">
        <is>
          <t>状态监控</t>
        </is>
      </c>
      <c r="F567" s="16" t="inlineStr">
        <is>
          <t>健康评分</t>
        </is>
      </c>
      <c r="G567" s="17" t="inlineStr">
        <is>
          <t xml:space="preserve"> 提供设备综合健康评分服务</t>
        </is>
      </c>
      <c r="H567" s="18" t="inlineStr">
        <is>
          <t>EI</t>
        </is>
      </c>
      <c r="I567" s="18">
        <f>IF(H567="ILF",10,IF(H567="EIF",7,IF(H567="EI",4,IF(H567="EO",5,IF(H567="EQ",4,"")))))</f>
        <v/>
      </c>
      <c r="J567" s="18" t="inlineStr">
        <is>
          <t>中</t>
        </is>
      </c>
      <c r="K567" s="18">
        <f>IF(J567="高",0.33,IF(J567="中",0.67,IF(J567="低",1,"")))</f>
        <v/>
      </c>
      <c r="L567" s="18" t="inlineStr">
        <is>
          <t>新增</t>
        </is>
      </c>
      <c r="M567" s="18">
        <f>IF(L567="新增",1,IF(L567="修改",0.8,IF(L567="删除",0.2,"")))</f>
        <v/>
      </c>
      <c r="N567" s="18">
        <f>I567*K567*M567</f>
        <v/>
      </c>
    </row>
    <row r="568" ht="19" customHeight="1" s="1">
      <c r="B568" s="16" t="n">
        <v>563</v>
      </c>
      <c r="C568" s="16" t="inlineStr">
        <is>
          <t>边缘智能体系统平台开发</t>
        </is>
      </c>
      <c r="D568" s="16" t="inlineStr">
        <is>
          <t>设备档案管理</t>
        </is>
      </c>
      <c r="E568" s="16" t="inlineStr">
        <is>
          <t>退役管理</t>
        </is>
      </c>
      <c r="F568" s="16" t="inlineStr">
        <is>
          <t>数据归档</t>
        </is>
      </c>
      <c r="G568" s="17" t="inlineStr">
        <is>
          <t xml:space="preserve"> 提供退役设备运行数据归档服务</t>
        </is>
      </c>
      <c r="H568" s="18" t="inlineStr">
        <is>
          <t>EI</t>
        </is>
      </c>
      <c r="I568" s="18">
        <f>IF(H568="ILF",10,IF(H568="EIF",7,IF(H568="EI",4,IF(H568="EO",5,IF(H568="EQ",4,"")))))</f>
        <v/>
      </c>
      <c r="J568" s="18" t="inlineStr">
        <is>
          <t>中</t>
        </is>
      </c>
      <c r="K568" s="18">
        <f>IF(J568="高",0.33,IF(J568="中",0.67,IF(J568="低",1,"")))</f>
        <v/>
      </c>
      <c r="L568" s="18" t="inlineStr">
        <is>
          <t>新增</t>
        </is>
      </c>
      <c r="M568" s="18">
        <f>IF(L568="新增",1,IF(L568="修改",0.8,IF(L568="删除",0.2,"")))</f>
        <v/>
      </c>
      <c r="N568" s="18">
        <f>I568*K568*M568</f>
        <v/>
      </c>
    </row>
    <row r="569" ht="19" customHeight="1" s="1">
      <c r="B569" s="16" t="n">
        <v>564</v>
      </c>
      <c r="C569" s="16" t="inlineStr">
        <is>
          <t>边缘智能体系统平台开发</t>
        </is>
      </c>
      <c r="D569" s="16" t="inlineStr">
        <is>
          <t>设备档案管理</t>
        </is>
      </c>
      <c r="E569" s="16" t="inlineStr">
        <is>
          <t>退役管理</t>
        </is>
      </c>
      <c r="F569" s="16" t="inlineStr">
        <is>
          <t>台账导出</t>
        </is>
      </c>
      <c r="G569" s="17" t="inlineStr">
        <is>
          <t xml:space="preserve"> 提供设备全量台账信息Excel一键导出服务</t>
        </is>
      </c>
      <c r="H569" s="18" t="inlineStr">
        <is>
          <t>EI</t>
        </is>
      </c>
      <c r="I569" s="18">
        <f>IF(H569="ILF",10,IF(H569="EIF",7,IF(H569="EI",4,IF(H569="EO",5,IF(H569="EQ",4,"")))))</f>
        <v/>
      </c>
      <c r="J569" s="18" t="inlineStr">
        <is>
          <t>中</t>
        </is>
      </c>
      <c r="K569" s="18">
        <f>IF(J569="高",0.33,IF(J569="中",0.67,IF(J569="低",1,"")))</f>
        <v/>
      </c>
      <c r="L569" s="18" t="inlineStr">
        <is>
          <t>新增</t>
        </is>
      </c>
      <c r="M569" s="18">
        <f>IF(L569="新增",1,IF(L569="修改",0.8,IF(L569="删除",0.2,"")))</f>
        <v/>
      </c>
      <c r="N569" s="18">
        <f>I569*K569*M569</f>
        <v/>
      </c>
    </row>
    <row r="570" ht="19" customHeight="1" s="1">
      <c r="B570" s="16" t="n">
        <v>565</v>
      </c>
      <c r="C570" s="16" t="inlineStr">
        <is>
          <t>边缘智能体系统平台开发</t>
        </is>
      </c>
      <c r="D570" s="16" t="inlineStr">
        <is>
          <t>设备档案管理</t>
        </is>
      </c>
      <c r="E570" s="16" t="inlineStr">
        <is>
          <t>退役管理</t>
        </is>
      </c>
      <c r="F570" s="16" t="inlineStr">
        <is>
          <t>变更追溯</t>
        </is>
      </c>
      <c r="G570" s="17" t="inlineStr">
        <is>
          <t xml:space="preserve"> 提供设备信息变更历史记录和追溯服务</t>
        </is>
      </c>
      <c r="H570" s="18" t="inlineStr">
        <is>
          <t>EI</t>
        </is>
      </c>
      <c r="I570" s="18">
        <f>IF(H570="ILF",10,IF(H570="EIF",7,IF(H570="EI",4,IF(H570="EO",5,IF(H570="EQ",4,"")))))</f>
        <v/>
      </c>
      <c r="J570" s="18" t="inlineStr">
        <is>
          <t>中</t>
        </is>
      </c>
      <c r="K570" s="18">
        <f>IF(J570="高",0.33,IF(J570="中",0.67,IF(J570="低",1,"")))</f>
        <v/>
      </c>
      <c r="L570" s="18" t="inlineStr">
        <is>
          <t>新增</t>
        </is>
      </c>
      <c r="M570" s="18">
        <f>IF(L570="新增",1,IF(L570="修改",0.8,IF(L570="删除",0.2,"")))</f>
        <v/>
      </c>
      <c r="N570" s="18">
        <f>I570*K570*M570</f>
        <v/>
      </c>
    </row>
    <row r="571" ht="19" customHeight="1" s="1">
      <c r="B571" s="16" t="n">
        <v>566</v>
      </c>
      <c r="C571" s="16" t="inlineStr">
        <is>
          <t>边缘智能体系统平台开发</t>
        </is>
      </c>
      <c r="D571" s="16" t="inlineStr">
        <is>
          <t>设备档案管理</t>
        </is>
      </c>
      <c r="E571" s="16" t="inlineStr">
        <is>
          <t>退役管理</t>
        </is>
      </c>
      <c r="F571" s="16" t="inlineStr">
        <is>
          <t>回收管理</t>
        </is>
      </c>
      <c r="G571" s="17" t="inlineStr">
        <is>
          <t xml:space="preserve"> 提供退役设备物理回收处理流程管理服务</t>
        </is>
      </c>
      <c r="H571" s="18" t="inlineStr">
        <is>
          <t>EI</t>
        </is>
      </c>
      <c r="I571" s="18">
        <f>IF(H571="ILF",10,IF(H571="EIF",7,IF(H571="EI",4,IF(H571="EO",5,IF(H571="EQ",4,"")))))</f>
        <v/>
      </c>
      <c r="J571" s="18" t="inlineStr">
        <is>
          <t>中</t>
        </is>
      </c>
      <c r="K571" s="18">
        <f>IF(J571="高",0.33,IF(J571="中",0.67,IF(J571="低",1,"")))</f>
        <v/>
      </c>
      <c r="L571" s="18" t="inlineStr">
        <is>
          <t>新增</t>
        </is>
      </c>
      <c r="M571" s="18">
        <f>IF(L571="新增",1,IF(L571="修改",0.8,IF(L571="删除",0.2,"")))</f>
        <v/>
      </c>
      <c r="N571" s="18">
        <f>I571*K571*M571</f>
        <v/>
      </c>
    </row>
    <row r="572" ht="19" customHeight="1" s="1">
      <c r="B572" s="16" t="n">
        <v>567</v>
      </c>
      <c r="C572" s="16" t="inlineStr">
        <is>
          <t>边缘智能体系统平台开发</t>
        </is>
      </c>
      <c r="D572" s="16" t="inlineStr">
        <is>
          <t>设备档案管理</t>
        </is>
      </c>
      <c r="E572" s="16" t="inlineStr">
        <is>
          <t>退役管理</t>
        </is>
      </c>
      <c r="F572" s="16" t="inlineStr">
        <is>
          <t>退役查询</t>
        </is>
      </c>
      <c r="G572" s="17" t="inlineStr">
        <is>
          <t xml:space="preserve"> 提供设备退役记录查询服务</t>
        </is>
      </c>
      <c r="H572" s="18" t="inlineStr">
        <is>
          <t>EO</t>
        </is>
      </c>
      <c r="I572" s="18">
        <f>IF(H572="ILF",10,IF(H572="EIF",7,IF(H572="EI",4,IF(H572="EO",5,IF(H572="EQ",4,"")))))</f>
        <v/>
      </c>
      <c r="J572" s="18" t="inlineStr">
        <is>
          <t>低</t>
        </is>
      </c>
      <c r="K572" s="18">
        <f>IF(J572="高",0.33,IF(J572="中",0.67,IF(J572="低",1,"")))</f>
        <v/>
      </c>
      <c r="L572" s="18" t="inlineStr">
        <is>
          <t>新增</t>
        </is>
      </c>
      <c r="M572" s="18">
        <f>IF(L572="新增",1,IF(L572="修改",0.8,IF(L572="删除",0.2,"")))</f>
        <v/>
      </c>
      <c r="N572" s="18">
        <f>I572*K572*M572</f>
        <v/>
      </c>
    </row>
    <row r="573" ht="19" customHeight="1" s="1">
      <c r="B573" s="16" t="n">
        <v>568</v>
      </c>
      <c r="C573" s="16" t="inlineStr">
        <is>
          <t>边缘智能体系统平台开发</t>
        </is>
      </c>
      <c r="D573" s="16" t="inlineStr">
        <is>
          <t>数据关联服务</t>
        </is>
      </c>
      <c r="E573" s="16" t="inlineStr">
        <is>
          <t>时序绑定</t>
        </is>
      </c>
      <c r="F573" s="16" t="inlineStr">
        <is>
          <t>设备-时序</t>
        </is>
      </c>
      <c r="G573" s="17" t="inlineStr">
        <is>
          <t xml:space="preserve"> 提供设备档案与实时数据的关联绑定服务</t>
        </is>
      </c>
      <c r="H573" s="18" t="inlineStr">
        <is>
          <t>EO</t>
        </is>
      </c>
      <c r="I573" s="18">
        <f>IF(H573="ILF",10,IF(H573="EIF",7,IF(H573="EI",4,IF(H573="EO",5,IF(H573="EQ",4,"")))))</f>
        <v/>
      </c>
      <c r="J573" s="18" t="inlineStr">
        <is>
          <t>低</t>
        </is>
      </c>
      <c r="K573" s="18">
        <f>IF(J573="高",0.33,IF(J573="中",0.67,IF(J573="低",1,"")))</f>
        <v/>
      </c>
      <c r="L573" s="18" t="inlineStr">
        <is>
          <t>新增</t>
        </is>
      </c>
      <c r="M573" s="18">
        <f>IF(L573="新增",1,IF(L573="修改",0.8,IF(L573="删除",0.2,"")))</f>
        <v/>
      </c>
      <c r="N573" s="18">
        <f>I573*K573*M573</f>
        <v/>
      </c>
    </row>
    <row r="574" ht="19" customHeight="1" s="1">
      <c r="B574" s="16" t="n">
        <v>569</v>
      </c>
      <c r="C574" s="16" t="inlineStr">
        <is>
          <t>边缘智能体系统平台开发</t>
        </is>
      </c>
      <c r="D574" s="16" t="inlineStr">
        <is>
          <t>数据关联服务</t>
        </is>
      </c>
      <c r="E574" s="16" t="inlineStr">
        <is>
          <t>时序绑定</t>
        </is>
      </c>
      <c r="F574" s="16" t="inlineStr">
        <is>
          <t>历史查询</t>
        </is>
      </c>
      <c r="G574" s="17" t="inlineStr">
        <is>
          <t xml:space="preserve"> 提供设备与历史数据的关联查询服务</t>
        </is>
      </c>
      <c r="H574" s="18" t="inlineStr">
        <is>
          <t>EO</t>
        </is>
      </c>
      <c r="I574" s="18">
        <f>IF(H574="ILF",10,IF(H574="EIF",7,IF(H574="EI",4,IF(H574="EO",5,IF(H574="EQ",4,"")))))</f>
        <v/>
      </c>
      <c r="J574" s="18" t="inlineStr">
        <is>
          <t>中</t>
        </is>
      </c>
      <c r="K574" s="18">
        <f>IF(J574="高",0.33,IF(J574="中",0.67,IF(J574="低",1,"")))</f>
        <v/>
      </c>
      <c r="L574" s="18" t="inlineStr">
        <is>
          <t>新增</t>
        </is>
      </c>
      <c r="M574" s="18">
        <f>IF(L574="新增",1,IF(L574="修改",0.8,IF(L574="删除",0.2,"")))</f>
        <v/>
      </c>
      <c r="N574" s="18">
        <f>I574*K574*M574</f>
        <v/>
      </c>
    </row>
    <row r="575" ht="19" customHeight="1" s="1">
      <c r="B575" s="16" t="n">
        <v>570</v>
      </c>
      <c r="C575" s="16" t="inlineStr">
        <is>
          <t>边缘智能体系统平台开发</t>
        </is>
      </c>
      <c r="D575" s="16" t="inlineStr">
        <is>
          <t>数据关联服务</t>
        </is>
      </c>
      <c r="E575" s="16" t="inlineStr">
        <is>
          <t>时序绑定</t>
        </is>
      </c>
      <c r="F575" s="16" t="inlineStr">
        <is>
          <t>增量同步</t>
        </is>
      </c>
      <c r="G575" s="17" t="inlineStr">
        <is>
          <t xml:space="preserve"> 提供设备档案变更后关联数据增量同步服务</t>
        </is>
      </c>
      <c r="H575" s="18" t="inlineStr">
        <is>
          <t>EO</t>
        </is>
      </c>
      <c r="I575" s="18">
        <f>IF(H575="ILF",10,IF(H575="EIF",7,IF(H575="EI",4,IF(H575="EO",5,IF(H575="EQ",4,"")))))</f>
        <v/>
      </c>
      <c r="J575" s="18" t="inlineStr">
        <is>
          <t>中</t>
        </is>
      </c>
      <c r="K575" s="18">
        <f>IF(J575="高",0.33,IF(J575="中",0.67,IF(J575="低",1,"")))</f>
        <v/>
      </c>
      <c r="L575" s="18" t="inlineStr">
        <is>
          <t>新增</t>
        </is>
      </c>
      <c r="M575" s="18">
        <f>IF(L575="新增",1,IF(L575="修改",0.8,IF(L575="删除",0.2,"")))</f>
        <v/>
      </c>
      <c r="N575" s="18">
        <f>I575*K575*M575</f>
        <v/>
      </c>
    </row>
    <row r="576" ht="19" customHeight="1" s="1">
      <c r="B576" s="16" t="n">
        <v>571</v>
      </c>
      <c r="C576" s="16" t="inlineStr">
        <is>
          <t>边缘智能体系统平台开发</t>
        </is>
      </c>
      <c r="D576" s="16" t="inlineStr">
        <is>
          <t>数据关联服务</t>
        </is>
      </c>
      <c r="E576" s="16" t="inlineStr">
        <is>
          <t>时序绑定</t>
        </is>
      </c>
      <c r="F576" s="16" t="inlineStr">
        <is>
          <t>一致性</t>
        </is>
      </c>
      <c r="G576" s="17" t="inlineStr">
        <is>
          <t xml:space="preserve"> 提供设备-时序数据关联一致性校验服务</t>
        </is>
      </c>
      <c r="H576" s="18" t="inlineStr">
        <is>
          <t>EO</t>
        </is>
      </c>
      <c r="I576" s="18">
        <f>IF(H576="ILF",10,IF(H576="EIF",7,IF(H576="EI",4,IF(H576="EO",5,IF(H576="EQ",4,"")))))</f>
        <v/>
      </c>
      <c r="J576" s="18" t="inlineStr">
        <is>
          <t>中</t>
        </is>
      </c>
      <c r="K576" s="18">
        <f>IF(J576="高",0.33,IF(J576="中",0.67,IF(J576="低",1,"")))</f>
        <v/>
      </c>
      <c r="L576" s="18" t="inlineStr">
        <is>
          <t>新增</t>
        </is>
      </c>
      <c r="M576" s="18">
        <f>IF(L576="新增",1,IF(L576="修改",0.8,IF(L576="删除",0.2,"")))</f>
        <v/>
      </c>
      <c r="N576" s="18">
        <f>I576*K576*M576</f>
        <v/>
      </c>
    </row>
    <row r="577" ht="19" customHeight="1" s="1">
      <c r="B577" s="16" t="n">
        <v>572</v>
      </c>
      <c r="C577" s="16" t="inlineStr">
        <is>
          <t>边缘智能体系统平台开发</t>
        </is>
      </c>
      <c r="D577" s="16" t="inlineStr">
        <is>
          <t>数据关联服务</t>
        </is>
      </c>
      <c r="E577" s="16" t="inlineStr">
        <is>
          <t>维修管理</t>
        </is>
      </c>
      <c r="F577" s="16" t="inlineStr">
        <is>
          <t>工单创建</t>
        </is>
      </c>
      <c r="G577" s="17" t="inlineStr">
        <is>
          <t xml:space="preserve"> 提供设备维修工单创建服务</t>
        </is>
      </c>
      <c r="H577" s="18" t="inlineStr">
        <is>
          <t>EO</t>
        </is>
      </c>
      <c r="I577" s="18">
        <f>IF(H577="ILF",10,IF(H577="EIF",7,IF(H577="EI",4,IF(H577="EO",5,IF(H577="EQ",4,"")))))</f>
        <v/>
      </c>
      <c r="J577" s="18" t="inlineStr">
        <is>
          <t>中</t>
        </is>
      </c>
      <c r="K577" s="18">
        <f>IF(J577="高",0.33,IF(J577="中",0.67,IF(J577="低",1,"")))</f>
        <v/>
      </c>
      <c r="L577" s="18" t="inlineStr">
        <is>
          <t>新增</t>
        </is>
      </c>
      <c r="M577" s="18">
        <f>IF(L577="新增",1,IF(L577="修改",0.8,IF(L577="删除",0.2,"")))</f>
        <v/>
      </c>
      <c r="N577" s="18">
        <f>I577*K577*M577</f>
        <v/>
      </c>
    </row>
    <row r="578" ht="19" customHeight="1" s="1">
      <c r="B578" s="16" t="n">
        <v>573</v>
      </c>
      <c r="C578" s="16" t="inlineStr">
        <is>
          <t>边缘智能体系统平台开发</t>
        </is>
      </c>
      <c r="D578" s="16" t="inlineStr">
        <is>
          <t>数据关联服务</t>
        </is>
      </c>
      <c r="E578" s="16" t="inlineStr">
        <is>
          <t>维修管理</t>
        </is>
      </c>
      <c r="F578" s="16" t="inlineStr">
        <is>
          <t>历史记录</t>
        </is>
      </c>
      <c r="G578" s="17" t="inlineStr">
        <is>
          <t xml:space="preserve"> 提供设备维修历史记录管理服务</t>
        </is>
      </c>
      <c r="H578" s="18" t="inlineStr">
        <is>
          <t>EO</t>
        </is>
      </c>
      <c r="I578" s="18">
        <f>IF(H578="ILF",10,IF(H578="EIF",7,IF(H578="EI",4,IF(H578="EO",5,IF(H578="EQ",4,"")))))</f>
        <v/>
      </c>
      <c r="J578" s="18" t="inlineStr">
        <is>
          <t>中</t>
        </is>
      </c>
      <c r="K578" s="18">
        <f>IF(J578="高",0.33,IF(J578="中",0.67,IF(J578="低",1,"")))</f>
        <v/>
      </c>
      <c r="L578" s="18" t="inlineStr">
        <is>
          <t>新增</t>
        </is>
      </c>
      <c r="M578" s="18">
        <f>IF(L578="新增",1,IF(L578="修改",0.8,IF(L578="删除",0.2,"")))</f>
        <v/>
      </c>
      <c r="N578" s="18">
        <f>I578*K578*M578</f>
        <v/>
      </c>
    </row>
    <row r="579" ht="19" customHeight="1" s="1">
      <c r="B579" s="16" t="n">
        <v>574</v>
      </c>
      <c r="C579" s="16" t="inlineStr">
        <is>
          <t>边缘智能体系统平台开发</t>
        </is>
      </c>
      <c r="D579" s="16" t="inlineStr">
        <is>
          <t>数据关联服务</t>
        </is>
      </c>
      <c r="E579" s="16" t="inlineStr">
        <is>
          <t>维修管理</t>
        </is>
      </c>
      <c r="F579" s="16" t="inlineStr">
        <is>
          <t>备件更换</t>
        </is>
      </c>
      <c r="G579" s="17" t="inlineStr">
        <is>
          <t xml:space="preserve"> 提供设备备件更换的记录和跟踪服务</t>
        </is>
      </c>
      <c r="H579" s="18" t="inlineStr">
        <is>
          <t>EO</t>
        </is>
      </c>
      <c r="I579" s="18">
        <f>IF(H579="ILF",10,IF(H579="EIF",7,IF(H579="EI",4,IF(H579="EO",5,IF(H579="EQ",4,"")))))</f>
        <v/>
      </c>
      <c r="J579" s="18" t="inlineStr">
        <is>
          <t>中</t>
        </is>
      </c>
      <c r="K579" s="18">
        <f>IF(J579="高",0.33,IF(J579="中",0.67,IF(J579="低",1,"")))</f>
        <v/>
      </c>
      <c r="L579" s="18" t="inlineStr">
        <is>
          <t>新增</t>
        </is>
      </c>
      <c r="M579" s="18">
        <f>IF(L579="新增",1,IF(L579="修改",0.8,IF(L579="删除",0.2,"")))</f>
        <v/>
      </c>
      <c r="N579" s="18">
        <f>I579*K579*M579</f>
        <v/>
      </c>
    </row>
    <row r="580" ht="19" customHeight="1" s="1">
      <c r="B580" s="16" t="n">
        <v>575</v>
      </c>
      <c r="C580" s="16" t="inlineStr">
        <is>
          <t>边缘智能体系统平台开发</t>
        </is>
      </c>
      <c r="D580" s="16" t="inlineStr">
        <is>
          <t>数据关联服务</t>
        </is>
      </c>
      <c r="E580" s="16" t="inlineStr">
        <is>
          <t>维修管理</t>
        </is>
      </c>
      <c r="F580" s="16" t="inlineStr">
        <is>
          <t>成本统计</t>
        </is>
      </c>
      <c r="G580" s="17" t="inlineStr">
        <is>
          <t xml:space="preserve"> 提供分设备/分类别维修成本统计服务</t>
        </is>
      </c>
      <c r="H580" s="18" t="inlineStr">
        <is>
          <t>EO</t>
        </is>
      </c>
      <c r="I580" s="18">
        <f>IF(H580="ILF",10,IF(H580="EIF",7,IF(H580="EI",4,IF(H580="EO",5,IF(H580="EQ",4,"")))))</f>
        <v/>
      </c>
      <c r="J580" s="18" t="inlineStr">
        <is>
          <t>中</t>
        </is>
      </c>
      <c r="K580" s="18">
        <f>IF(J580="高",0.33,IF(J580="中",0.67,IF(J580="低",1,"")))</f>
        <v/>
      </c>
      <c r="L580" s="18" t="inlineStr">
        <is>
          <t>新增</t>
        </is>
      </c>
      <c r="M580" s="18">
        <f>IF(L580="新增",1,IF(L580="修改",0.8,IF(L580="删除",0.2,"")))</f>
        <v/>
      </c>
      <c r="N580" s="18">
        <f>I580*K580*M580</f>
        <v/>
      </c>
    </row>
    <row r="581" ht="19" customHeight="1" s="1">
      <c r="B581" s="16" t="n">
        <v>576</v>
      </c>
      <c r="C581" s="16" t="inlineStr">
        <is>
          <t>边缘智能体系统平台开发</t>
        </is>
      </c>
      <c r="D581" s="16" t="inlineStr">
        <is>
          <t>数据关联服务</t>
        </is>
      </c>
      <c r="E581" s="16" t="inlineStr">
        <is>
          <t>维修管理</t>
        </is>
      </c>
      <c r="F581" s="16" t="inlineStr">
        <is>
          <t>报表生成</t>
        </is>
      </c>
      <c r="G581" s="17" t="inlineStr">
        <is>
          <t xml:space="preserve"> 提供维修记录统计报表自动生成服务</t>
        </is>
      </c>
      <c r="H581" s="18" t="inlineStr">
        <is>
          <t>EQ</t>
        </is>
      </c>
      <c r="I581" s="18">
        <f>IF(H581="ILF",10,IF(H581="EIF",7,IF(H581="EI",4,IF(H581="EO",5,IF(H581="EQ",4,"")))))</f>
        <v/>
      </c>
      <c r="J581" s="18" t="inlineStr">
        <is>
          <t>低</t>
        </is>
      </c>
      <c r="K581" s="18">
        <f>IF(J581="高",0.33,IF(J581="中",0.67,IF(J581="低",1,"")))</f>
        <v/>
      </c>
      <c r="L581" s="18" t="inlineStr">
        <is>
          <t>新增</t>
        </is>
      </c>
      <c r="M581" s="18">
        <f>IF(L581="新增",1,IF(L581="修改",0.8,IF(L581="删除",0.2,"")))</f>
        <v/>
      </c>
      <c r="N581" s="18">
        <f>I581*K581*M581</f>
        <v/>
      </c>
    </row>
    <row r="582" ht="19" customHeight="1" s="1">
      <c r="B582" s="16" t="n">
        <v>577</v>
      </c>
      <c r="C582" s="16" t="inlineStr">
        <is>
          <t>边缘智能体系统平台开发</t>
        </is>
      </c>
      <c r="D582" s="16" t="inlineStr">
        <is>
          <t>数据关联服务</t>
        </is>
      </c>
      <c r="E582" s="16" t="inlineStr">
        <is>
          <t>告警关联</t>
        </is>
      </c>
      <c r="F582" s="16" t="inlineStr">
        <is>
          <t>告警-设备</t>
        </is>
      </c>
      <c r="G582" s="17" t="inlineStr">
        <is>
          <t xml:space="preserve"> 提供告警事件与设备的关联绑定服务</t>
        </is>
      </c>
      <c r="H582" s="18" t="inlineStr">
        <is>
          <t>EQ</t>
        </is>
      </c>
      <c r="I582" s="18">
        <f>IF(H582="ILF",10,IF(H582="EIF",7,IF(H582="EI",4,IF(H582="EO",5,IF(H582="EQ",4,"")))))</f>
        <v/>
      </c>
      <c r="J582" s="18" t="inlineStr">
        <is>
          <t>低</t>
        </is>
      </c>
      <c r="K582" s="18">
        <f>IF(J582="高",0.33,IF(J582="中",0.67,IF(J582="低",1,"")))</f>
        <v/>
      </c>
      <c r="L582" s="18" t="inlineStr">
        <is>
          <t>新增</t>
        </is>
      </c>
      <c r="M582" s="18">
        <f>IF(L582="新增",1,IF(L582="修改",0.8,IF(L582="删除",0.2,"")))</f>
        <v/>
      </c>
      <c r="N582" s="18">
        <f>I582*K582*M582</f>
        <v/>
      </c>
    </row>
    <row r="583" ht="19" customHeight="1" s="1">
      <c r="B583" s="16" t="n">
        <v>578</v>
      </c>
      <c r="C583" s="16" t="inlineStr">
        <is>
          <t>边缘智能体系统平台开发</t>
        </is>
      </c>
      <c r="D583" s="16" t="inlineStr">
        <is>
          <t>数据关联服务</t>
        </is>
      </c>
      <c r="E583" s="16" t="inlineStr">
        <is>
          <t>告警关联</t>
        </is>
      </c>
      <c r="F583" s="16" t="inlineStr">
        <is>
          <t>频率趋势</t>
        </is>
      </c>
      <c r="G583" s="17" t="inlineStr">
        <is>
          <t xml:space="preserve"> 提供设备告警频率趋势统计分析服务</t>
        </is>
      </c>
      <c r="H583" s="18" t="inlineStr">
        <is>
          <t>EQ</t>
        </is>
      </c>
      <c r="I583" s="18">
        <f>IF(H583="ILF",10,IF(H583="EIF",7,IF(H583="EI",4,IF(H583="EO",5,IF(H583="EQ",4,"")))))</f>
        <v/>
      </c>
      <c r="J583" s="18" t="inlineStr">
        <is>
          <t>低</t>
        </is>
      </c>
      <c r="K583" s="18">
        <f>IF(J583="高",0.33,IF(J583="中",0.67,IF(J583="低",1,"")))</f>
        <v/>
      </c>
      <c r="L583" s="18" t="inlineStr">
        <is>
          <t>新增</t>
        </is>
      </c>
      <c r="M583" s="18">
        <f>IF(L583="新增",1,IF(L583="修改",0.8,IF(L583="删除",0.2,"")))</f>
        <v/>
      </c>
      <c r="N583" s="18">
        <f>I583*K583*M583</f>
        <v/>
      </c>
    </row>
    <row r="584" ht="19" customHeight="1" s="1">
      <c r="B584" s="16" t="n">
        <v>579</v>
      </c>
      <c r="C584" s="16" t="inlineStr">
        <is>
          <t>边缘智能体系统平台开发</t>
        </is>
      </c>
      <c r="D584" s="16" t="inlineStr">
        <is>
          <t>数据关联服务</t>
        </is>
      </c>
      <c r="E584" s="16" t="inlineStr">
        <is>
          <t>告警关联</t>
        </is>
      </c>
      <c r="F584" s="16" t="inlineStr">
        <is>
          <t>根因追溯</t>
        </is>
      </c>
      <c r="G584" s="17" t="inlineStr">
        <is>
          <t xml:space="preserve"> 提供设备异常根因追溯和影响范围分析服务</t>
        </is>
      </c>
      <c r="H584" s="18" t="inlineStr">
        <is>
          <t>EQ</t>
        </is>
      </c>
      <c r="I584" s="18">
        <f>IF(H584="ILF",10,IF(H584="EIF",7,IF(H584="EI",4,IF(H584="EO",5,IF(H584="EQ",4,"")))))</f>
        <v/>
      </c>
      <c r="J584" s="18" t="inlineStr">
        <is>
          <t>低</t>
        </is>
      </c>
      <c r="K584" s="18">
        <f>IF(J584="高",0.33,IF(J584="中",0.67,IF(J584="低",1,"")))</f>
        <v/>
      </c>
      <c r="L584" s="18" t="inlineStr">
        <is>
          <t>新增</t>
        </is>
      </c>
      <c r="M584" s="18">
        <f>IF(L584="新增",1,IF(L584="修改",0.8,IF(L584="删除",0.2,"")))</f>
        <v/>
      </c>
      <c r="N584" s="18">
        <f>I584*K584*M584</f>
        <v/>
      </c>
    </row>
    <row r="585" ht="19" customHeight="1" s="1">
      <c r="B585" s="16" t="n">
        <v>580</v>
      </c>
      <c r="C585" s="16" t="inlineStr">
        <is>
          <t>边缘智能体系统平台开发</t>
        </is>
      </c>
      <c r="D585" s="16" t="inlineStr">
        <is>
          <t>数据关联服务</t>
        </is>
      </c>
      <c r="E585" s="16" t="inlineStr">
        <is>
          <t>告警关联</t>
        </is>
      </c>
      <c r="F585" s="16" t="inlineStr">
        <is>
          <t>跨设备</t>
        </is>
      </c>
      <c r="G585" s="17" t="inlineStr">
        <is>
          <t xml:space="preserve"> 提供关联设备间的告警关联分析服务</t>
        </is>
      </c>
      <c r="H585" s="18" t="inlineStr">
        <is>
          <t>EQ</t>
        </is>
      </c>
      <c r="I585" s="18">
        <f>IF(H585="ILF",10,IF(H585="EIF",7,IF(H585="EI",4,IF(H585="EO",5,IF(H585="EQ",4,"")))))</f>
        <v/>
      </c>
      <c r="J585" s="18" t="inlineStr">
        <is>
          <t>低</t>
        </is>
      </c>
      <c r="K585" s="18">
        <f>IF(J585="高",0.33,IF(J585="中",0.67,IF(J585="低",1,"")))</f>
        <v/>
      </c>
      <c r="L585" s="18" t="inlineStr">
        <is>
          <t>新增</t>
        </is>
      </c>
      <c r="M585" s="18">
        <f>IF(L585="新增",1,IF(L585="修改",0.8,IF(L585="删除",0.2,"")))</f>
        <v/>
      </c>
      <c r="N585" s="18">
        <f>I585*K585*M585</f>
        <v/>
      </c>
    </row>
    <row r="586" ht="19" customHeight="1" s="1">
      <c r="B586" s="16" t="n">
        <v>581</v>
      </c>
      <c r="C586" s="16" t="inlineStr">
        <is>
          <t>边缘智能体系统平台开发</t>
        </is>
      </c>
      <c r="D586" s="16" t="inlineStr">
        <is>
          <t>数据关联服务</t>
        </is>
      </c>
      <c r="E586" s="16" t="inlineStr">
        <is>
          <t>告警关联</t>
        </is>
      </c>
      <c r="F586" s="16" t="inlineStr">
        <is>
          <t>告警回溯</t>
        </is>
      </c>
      <c r="G586" s="17" t="inlineStr">
        <is>
          <t xml:space="preserve"> 提供设备历史告警回溯查询服务</t>
        </is>
      </c>
      <c r="H586" s="18" t="inlineStr">
        <is>
          <t>EQ</t>
        </is>
      </c>
      <c r="I586" s="18">
        <f>IF(H586="ILF",10,IF(H586="EIF",7,IF(H586="EI",4,IF(H586="EO",5,IF(H586="EQ",4,"")))))</f>
        <v/>
      </c>
      <c r="J586" s="18" t="inlineStr">
        <is>
          <t>低</t>
        </is>
      </c>
      <c r="K586" s="18">
        <f>IF(J586="高",0.33,IF(J586="中",0.67,IF(J586="低",1,"")))</f>
        <v/>
      </c>
      <c r="L586" s="18" t="inlineStr">
        <is>
          <t>新增</t>
        </is>
      </c>
      <c r="M586" s="18">
        <f>IF(L586="新增",1,IF(L586="修改",0.8,IF(L586="删除",0.2,"")))</f>
        <v/>
      </c>
      <c r="N586" s="18">
        <f>I586*K586*M586</f>
        <v/>
      </c>
    </row>
    <row r="587" ht="19" customHeight="1" s="1">
      <c r="B587" s="16" t="n">
        <v>582</v>
      </c>
      <c r="C587" s="16" t="inlineStr">
        <is>
          <t>边缘智能体系统平台开发</t>
        </is>
      </c>
      <c r="D587" s="16" t="inlineStr">
        <is>
          <t>健康管理服务</t>
        </is>
      </c>
      <c r="E587" s="16" t="inlineStr">
        <is>
          <t>评分与预警</t>
        </is>
      </c>
      <c r="F587" s="16" t="inlineStr">
        <is>
          <t>综合评分</t>
        </is>
      </c>
      <c r="G587" s="17" t="inlineStr">
        <is>
          <t xml:space="preserve"> 提供基于告警频率/数据质量/在线率三维度健康评分</t>
        </is>
      </c>
      <c r="H587" s="18" t="inlineStr">
        <is>
          <t>EQ</t>
        </is>
      </c>
      <c r="I587" s="18">
        <f>IF(H587="ILF",10,IF(H587="EIF",7,IF(H587="EI",4,IF(H587="EO",5,IF(H587="EQ",4,"")))))</f>
        <v/>
      </c>
      <c r="J587" s="18" t="inlineStr">
        <is>
          <t>低</t>
        </is>
      </c>
      <c r="K587" s="18">
        <f>IF(J587="高",0.33,IF(J587="中",0.67,IF(J587="低",1,"")))</f>
        <v/>
      </c>
      <c r="L587" s="18" t="inlineStr">
        <is>
          <t>新增</t>
        </is>
      </c>
      <c r="M587" s="18">
        <f>IF(L587="新增",1,IF(L587="修改",0.8,IF(L587="删除",0.2,"")))</f>
        <v/>
      </c>
      <c r="N587" s="18">
        <f>I587*K587*M587</f>
        <v/>
      </c>
    </row>
    <row r="588" ht="19" customHeight="1" s="1">
      <c r="B588" s="16" t="n">
        <v>583</v>
      </c>
      <c r="C588" s="16" t="inlineStr">
        <is>
          <t>边缘智能体系统平台开发</t>
        </is>
      </c>
      <c r="D588" s="16" t="inlineStr">
        <is>
          <t>健康管理服务</t>
        </is>
      </c>
      <c r="E588" s="16" t="inlineStr">
        <is>
          <t>评分与预警</t>
        </is>
      </c>
      <c r="F588" s="16" t="inlineStr">
        <is>
          <t>故障预测</t>
        </is>
      </c>
      <c r="G588" s="17" t="inlineStr">
        <is>
          <t xml:space="preserve"> 提供基于历史数据设备故障趋势预测服务</t>
        </is>
      </c>
      <c r="H588" s="18" t="inlineStr">
        <is>
          <t>EQ</t>
        </is>
      </c>
      <c r="I588" s="18">
        <f>IF(H588="ILF",10,IF(H588="EIF",7,IF(H588="EI",4,IF(H588="EO",5,IF(H588="EQ",4,"")))))</f>
        <v/>
      </c>
      <c r="J588" s="18" t="inlineStr">
        <is>
          <t>低</t>
        </is>
      </c>
      <c r="K588" s="18">
        <f>IF(J588="高",0.33,IF(J588="中",0.67,IF(J588="低",1,"")))</f>
        <v/>
      </c>
      <c r="L588" s="18" t="inlineStr">
        <is>
          <t>新增</t>
        </is>
      </c>
      <c r="M588" s="18">
        <f>IF(L588="新增",1,IF(L588="修改",0.8,IF(L588="删除",0.2,"")))</f>
        <v/>
      </c>
      <c r="N588" s="18">
        <f>I588*K588*M588</f>
        <v/>
      </c>
    </row>
    <row r="589" ht="19" customHeight="1" s="1">
      <c r="B589" s="16" t="n">
        <v>584</v>
      </c>
      <c r="C589" s="16" t="inlineStr">
        <is>
          <t>边缘智能体系统平台开发</t>
        </is>
      </c>
      <c r="D589" s="16" t="inlineStr">
        <is>
          <t>健康管理服务</t>
        </is>
      </c>
      <c r="E589" s="16" t="inlineStr">
        <is>
          <t>评分与预警</t>
        </is>
      </c>
      <c r="F589" s="16" t="inlineStr">
        <is>
          <t>预警阈值</t>
        </is>
      </c>
      <c r="G589" s="17" t="inlineStr">
        <is>
          <t xml:space="preserve"> 提供设备健康预警触发阈值配置服务</t>
        </is>
      </c>
      <c r="H589" s="18" t="inlineStr">
        <is>
          <t>EQ</t>
        </is>
      </c>
      <c r="I589" s="18">
        <f>IF(H589="ILF",10,IF(H589="EIF",7,IF(H589="EI",4,IF(H589="EO",5,IF(H589="EQ",4,"")))))</f>
        <v/>
      </c>
      <c r="J589" s="18" t="inlineStr">
        <is>
          <t>低</t>
        </is>
      </c>
      <c r="K589" s="18">
        <f>IF(J589="高",0.33,IF(J589="中",0.67,IF(J589="低",1,"")))</f>
        <v/>
      </c>
      <c r="L589" s="18" t="inlineStr">
        <is>
          <t>新增</t>
        </is>
      </c>
      <c r="M589" s="18">
        <f>IF(L589="新增",1,IF(L589="修改",0.8,IF(L589="删除",0.2,"")))</f>
        <v/>
      </c>
      <c r="N589" s="18">
        <f>I589*K589*M589</f>
        <v/>
      </c>
    </row>
    <row r="590" ht="19" customHeight="1" s="1">
      <c r="B590" s="16" t="n">
        <v>585</v>
      </c>
      <c r="C590" s="16" t="inlineStr">
        <is>
          <t>边缘智能体系统平台开发</t>
        </is>
      </c>
      <c r="D590" s="16" t="inlineStr">
        <is>
          <t>健康管理服务</t>
        </is>
      </c>
      <c r="E590" s="16" t="inlineStr">
        <is>
          <t>评分与预警</t>
        </is>
      </c>
      <c r="F590" s="16" t="inlineStr">
        <is>
          <t>预警通知</t>
        </is>
      </c>
      <c r="G590" s="17" t="inlineStr">
        <is>
          <t xml:space="preserve"> 提供设备健康评分低于阈值通知推送服务</t>
        </is>
      </c>
      <c r="H590" s="18" t="inlineStr">
        <is>
          <t>EQ</t>
        </is>
      </c>
      <c r="I590" s="18">
        <f>IF(H590="ILF",10,IF(H590="EIF",7,IF(H590="EI",4,IF(H590="EO",5,IF(H590="EQ",4,"")))))</f>
        <v/>
      </c>
      <c r="J590" s="18" t="inlineStr">
        <is>
          <t>低</t>
        </is>
      </c>
      <c r="K590" s="18">
        <f>IF(J590="高",0.33,IF(J590="中",0.67,IF(J590="低",1,"")))</f>
        <v/>
      </c>
      <c r="L590" s="18" t="inlineStr">
        <is>
          <t>新增</t>
        </is>
      </c>
      <c r="M590" s="18">
        <f>IF(L590="新增",1,IF(L590="修改",0.8,IF(L590="删除",0.2,"")))</f>
        <v/>
      </c>
      <c r="N590" s="18">
        <f>I590*K590*M590</f>
        <v/>
      </c>
    </row>
    <row r="591" ht="19" customHeight="1" s="1">
      <c r="B591" s="16" t="n">
        <v>586</v>
      </c>
      <c r="C591" s="16" t="inlineStr">
        <is>
          <t>边缘智能体系统平台开发</t>
        </is>
      </c>
      <c r="D591" s="16" t="inlineStr">
        <is>
          <t>健康管理服务</t>
        </is>
      </c>
      <c r="E591" s="16" t="inlineStr">
        <is>
          <t>评分与预警</t>
        </is>
      </c>
      <c r="F591" s="16" t="inlineStr">
        <is>
          <t>模型配置</t>
        </is>
      </c>
      <c r="G591" s="17" t="inlineStr">
        <is>
          <t xml:space="preserve"> 提供健康评分模型权重参数配置服务</t>
        </is>
      </c>
      <c r="H591" s="18" t="inlineStr">
        <is>
          <t>EQ</t>
        </is>
      </c>
      <c r="I591" s="18">
        <f>IF(H591="ILF",10,IF(H591="EIF",7,IF(H591="EI",4,IF(H591="EO",5,IF(H591="EQ",4,"")))))</f>
        <v/>
      </c>
      <c r="J591" s="18" t="inlineStr">
        <is>
          <t>低</t>
        </is>
      </c>
      <c r="K591" s="18">
        <f>IF(J591="高",0.33,IF(J591="中",0.67,IF(J591="低",1,"")))</f>
        <v/>
      </c>
      <c r="L591" s="18" t="inlineStr">
        <is>
          <t>新增</t>
        </is>
      </c>
      <c r="M591" s="18">
        <f>IF(L591="新增",1,IF(L591="修改",0.8,IF(L591="删除",0.2,"")))</f>
        <v/>
      </c>
      <c r="N591" s="18">
        <f>I591*K591*M591</f>
        <v/>
      </c>
    </row>
    <row r="592" ht="19" customHeight="1" s="1">
      <c r="B592" s="16" t="n">
        <v>587</v>
      </c>
      <c r="C592" s="16" t="inlineStr">
        <is>
          <t>边缘智能体系统平台开发</t>
        </is>
      </c>
      <c r="D592" s="16" t="inlineStr">
        <is>
          <t>健康管理服务</t>
        </is>
      </c>
      <c r="E592" s="16" t="inlineStr">
        <is>
          <t>评分与预警</t>
        </is>
      </c>
      <c r="F592" s="16" t="inlineStr">
        <is>
          <t>健康报告</t>
        </is>
      </c>
      <c r="G592" s="17" t="inlineStr">
        <is>
          <t xml:space="preserve"> 提供设备健康状态报告自动生成服务</t>
        </is>
      </c>
      <c r="H592" s="18" t="inlineStr">
        <is>
          <t>EQ</t>
        </is>
      </c>
      <c r="I592" s="18">
        <f>IF(H592="ILF",10,IF(H592="EIF",7,IF(H592="EI",4,IF(H592="EO",5,IF(H592="EQ",4,"")))))</f>
        <v/>
      </c>
      <c r="J592" s="18" t="inlineStr">
        <is>
          <t>低</t>
        </is>
      </c>
      <c r="K592" s="18">
        <f>IF(J592="高",0.33,IF(J592="中",0.67,IF(J592="低",1,"")))</f>
        <v/>
      </c>
      <c r="L592" s="18" t="inlineStr">
        <is>
          <t>新增</t>
        </is>
      </c>
      <c r="M592" s="18">
        <f>IF(L592="新增",1,IF(L592="修改",0.8,IF(L592="删除",0.2,"")))</f>
        <v/>
      </c>
      <c r="N592" s="18">
        <f>I592*K592*M592</f>
        <v/>
      </c>
    </row>
    <row r="593" ht="19" customHeight="1" s="1">
      <c r="B593" s="16" t="n">
        <v>588</v>
      </c>
      <c r="C593" s="16" t="inlineStr">
        <is>
          <t>边缘智能体系统平台开发</t>
        </is>
      </c>
      <c r="D593" s="16" t="inlineStr">
        <is>
          <t>健康管理服务</t>
        </is>
      </c>
      <c r="E593" s="16" t="inlineStr">
        <is>
          <t>评分与预警</t>
        </is>
      </c>
      <c r="F593" s="16" t="inlineStr">
        <is>
          <t>健康画像</t>
        </is>
      </c>
      <c r="G593" s="17" t="inlineStr">
        <is>
          <t xml:space="preserve"> 提供设备多维健康画像展示服务</t>
        </is>
      </c>
      <c r="H593" s="18" t="inlineStr">
        <is>
          <t>EQ</t>
        </is>
      </c>
      <c r="I593" s="18">
        <f>IF(H593="ILF",10,IF(H593="EIF",7,IF(H593="EI",4,IF(H593="EO",5,IF(H593="EQ",4,"")))))</f>
        <v/>
      </c>
      <c r="J593" s="18" t="inlineStr">
        <is>
          <t>低</t>
        </is>
      </c>
      <c r="K593" s="18">
        <f>IF(J593="高",0.33,IF(J593="中",0.67,IF(J593="低",1,"")))</f>
        <v/>
      </c>
      <c r="L593" s="18" t="inlineStr">
        <is>
          <t>新增</t>
        </is>
      </c>
      <c r="M593" s="18">
        <f>IF(L593="新增",1,IF(L593="修改",0.8,IF(L593="删除",0.2,"")))</f>
        <v/>
      </c>
      <c r="N593" s="18">
        <f>I593*K593*M593</f>
        <v/>
      </c>
    </row>
    <row r="594" ht="19" customHeight="1" s="1">
      <c r="B594" s="16" t="n">
        <v>589</v>
      </c>
      <c r="C594" s="16" t="inlineStr">
        <is>
          <t>边缘智能体系统平台开发</t>
        </is>
      </c>
      <c r="D594" s="16" t="inlineStr">
        <is>
          <t>健康管理服务</t>
        </is>
      </c>
      <c r="E594" s="16" t="inlineStr">
        <is>
          <t>评分与预警</t>
        </is>
      </c>
      <c r="F594" s="16" t="inlineStr">
        <is>
          <t>效果评估</t>
        </is>
      </c>
      <c r="G594" s="17" t="inlineStr">
        <is>
          <t xml:space="preserve"> 提供设备故障预警准确性和及时性评估服务</t>
        </is>
      </c>
      <c r="H594" s="18" t="inlineStr">
        <is>
          <t>EQ</t>
        </is>
      </c>
      <c r="I594" s="18">
        <f>IF(H594="ILF",10,IF(H594="EIF",7,IF(H594="EI",4,IF(H594="EO",5,IF(H594="EQ",4,"")))))</f>
        <v/>
      </c>
      <c r="J594" s="18" t="inlineStr">
        <is>
          <t>中</t>
        </is>
      </c>
      <c r="K594" s="18">
        <f>IF(J594="高",0.33,IF(J594="中",0.67,IF(J594="低",1,"")))</f>
        <v/>
      </c>
      <c r="L594" s="18" t="inlineStr">
        <is>
          <t>新增</t>
        </is>
      </c>
      <c r="M594" s="18">
        <f>IF(L594="新增",1,IF(L594="修改",0.8,IF(L594="删除",0.2,"")))</f>
        <v/>
      </c>
      <c r="N594" s="18">
        <f>I594*K594*M594</f>
        <v/>
      </c>
    </row>
    <row r="595" ht="19" customHeight="1" s="1">
      <c r="B595" s="16" t="n">
        <v>590</v>
      </c>
      <c r="C595" s="16" t="inlineStr">
        <is>
          <t>边缘智能体系统平台开发</t>
        </is>
      </c>
      <c r="D595" s="16" t="inlineStr">
        <is>
          <t>设备档案管理</t>
        </is>
      </c>
      <c r="E595" s="16" t="inlineStr">
        <is>
          <t>设备台账</t>
        </is>
      </c>
      <c r="F595" s="16" t="inlineStr">
        <is>
          <t>台账编制</t>
        </is>
      </c>
      <c r="G595" s="17" t="inlineStr">
        <is>
          <t xml:space="preserve"> 提供设备台账初始编制服务</t>
        </is>
      </c>
      <c r="H595" s="18" t="inlineStr">
        <is>
          <t>EQ</t>
        </is>
      </c>
      <c r="I595" s="18">
        <f>IF(H595="ILF",10,IF(H595="EIF",7,IF(H595="EI",4,IF(H595="EO",5,IF(H595="EQ",4,"")))))</f>
        <v/>
      </c>
      <c r="J595" s="18" t="inlineStr">
        <is>
          <t>中</t>
        </is>
      </c>
      <c r="K595" s="18">
        <f>IF(J595="高",0.33,IF(J595="中",0.67,IF(J595="低",1,"")))</f>
        <v/>
      </c>
      <c r="L595" s="18" t="inlineStr">
        <is>
          <t>新增</t>
        </is>
      </c>
      <c r="M595" s="18">
        <f>IF(L595="新增",1,IF(L595="修改",0.8,IF(L595="删除",0.2,"")))</f>
        <v/>
      </c>
      <c r="N595" s="18">
        <f>I595*K595*M595</f>
        <v/>
      </c>
    </row>
    <row r="596" ht="19" customHeight="1" s="1">
      <c r="B596" s="16" t="n">
        <v>591</v>
      </c>
      <c r="C596" s="16" t="inlineStr">
        <is>
          <t>边缘智能体系统平台开发</t>
        </is>
      </c>
      <c r="D596" s="16" t="inlineStr">
        <is>
          <t>设备档案管理</t>
        </is>
      </c>
      <c r="E596" s="16" t="inlineStr">
        <is>
          <t>设备台账</t>
        </is>
      </c>
      <c r="F596" s="16" t="inlineStr">
        <is>
          <t>台账录入</t>
        </is>
      </c>
      <c r="G596" s="17" t="inlineStr">
        <is>
          <t xml:space="preserve"> 提供设备台账数据录入服务</t>
        </is>
      </c>
      <c r="H596" s="18" t="inlineStr">
        <is>
          <t>EQ</t>
        </is>
      </c>
      <c r="I596" s="18">
        <f>IF(H596="ILF",10,IF(H596="EIF",7,IF(H596="EI",4,IF(H596="EO",5,IF(H596="EQ",4,"")))))</f>
        <v/>
      </c>
      <c r="J596" s="18" t="inlineStr">
        <is>
          <t>中</t>
        </is>
      </c>
      <c r="K596" s="18">
        <f>IF(J596="高",0.33,IF(J596="中",0.67,IF(J596="低",1,"")))</f>
        <v/>
      </c>
      <c r="L596" s="18" t="inlineStr">
        <is>
          <t>新增</t>
        </is>
      </c>
      <c r="M596" s="18">
        <f>IF(L596="新增",1,IF(L596="修改",0.8,IF(L596="删除",0.2,"")))</f>
        <v/>
      </c>
      <c r="N596" s="18">
        <f>I596*K596*M596</f>
        <v/>
      </c>
    </row>
    <row r="597" ht="19" customHeight="1" s="1">
      <c r="B597" s="16" t="n">
        <v>592</v>
      </c>
      <c r="C597" s="16" t="inlineStr">
        <is>
          <t>边缘智能体系统平台开发</t>
        </is>
      </c>
      <c r="D597" s="16" t="inlineStr">
        <is>
          <t>设备档案管理</t>
        </is>
      </c>
      <c r="E597" s="16" t="inlineStr">
        <is>
          <t>设备台账</t>
        </is>
      </c>
      <c r="F597" s="16" t="inlineStr">
        <is>
          <t>台账维护</t>
        </is>
      </c>
      <c r="G597" s="17" t="inlineStr">
        <is>
          <t xml:space="preserve"> 提供设备台账定期维护更新服务</t>
        </is>
      </c>
      <c r="H597" s="18" t="inlineStr">
        <is>
          <t>EQ</t>
        </is>
      </c>
      <c r="I597" s="18">
        <f>IF(H597="ILF",10,IF(H597="EIF",7,IF(H597="EI",4,IF(H597="EO",5,IF(H597="EQ",4,"")))))</f>
        <v/>
      </c>
      <c r="J597" s="18" t="inlineStr">
        <is>
          <t>中</t>
        </is>
      </c>
      <c r="K597" s="18">
        <f>IF(J597="高",0.33,IF(J597="中",0.67,IF(J597="低",1,"")))</f>
        <v/>
      </c>
      <c r="L597" s="18" t="inlineStr">
        <is>
          <t>新增</t>
        </is>
      </c>
      <c r="M597" s="18">
        <f>IF(L597="新增",1,IF(L597="修改",0.8,IF(L597="删除",0.2,"")))</f>
        <v/>
      </c>
      <c r="N597" s="18">
        <f>I597*K597*M597</f>
        <v/>
      </c>
    </row>
    <row r="598" ht="19" customHeight="1" s="1">
      <c r="B598" s="16" t="n">
        <v>593</v>
      </c>
      <c r="C598" s="16" t="inlineStr">
        <is>
          <t>边缘智能体系统平台开发</t>
        </is>
      </c>
      <c r="D598" s="16" t="inlineStr">
        <is>
          <t>设备档案管理</t>
        </is>
      </c>
      <c r="E598" s="16" t="inlineStr">
        <is>
          <t>设备台账</t>
        </is>
      </c>
      <c r="F598" s="16" t="inlineStr">
        <is>
          <t>台账审核</t>
        </is>
      </c>
      <c r="G598" s="17" t="inlineStr">
        <is>
          <t xml:space="preserve"> 提供设备台账数据审核确认服务</t>
        </is>
      </c>
      <c r="H598" s="18" t="inlineStr">
        <is>
          <t>EQ</t>
        </is>
      </c>
      <c r="I598" s="18">
        <f>IF(H598="ILF",10,IF(H598="EIF",7,IF(H598="EI",4,IF(H598="EO",5,IF(H598="EQ",4,"")))))</f>
        <v/>
      </c>
      <c r="J598" s="18" t="inlineStr">
        <is>
          <t>中</t>
        </is>
      </c>
      <c r="K598" s="18">
        <f>IF(J598="高",0.33,IF(J598="中",0.67,IF(J598="低",1,"")))</f>
        <v/>
      </c>
      <c r="L598" s="18" t="inlineStr">
        <is>
          <t>新增</t>
        </is>
      </c>
      <c r="M598" s="18">
        <f>IF(L598="新增",1,IF(L598="修改",0.8,IF(L598="删除",0.2,"")))</f>
        <v/>
      </c>
      <c r="N598" s="18">
        <f>I598*K598*M598</f>
        <v/>
      </c>
    </row>
    <row r="599" ht="19" customHeight="1" s="1">
      <c r="B599" s="16" t="n">
        <v>594</v>
      </c>
      <c r="C599" s="16" t="inlineStr">
        <is>
          <t>边缘智能体系统平台开发</t>
        </is>
      </c>
      <c r="D599" s="16" t="inlineStr">
        <is>
          <t>设备档案管理</t>
        </is>
      </c>
      <c r="E599" s="16" t="inlineStr">
        <is>
          <t>设备台账</t>
        </is>
      </c>
      <c r="F599" s="16" t="inlineStr">
        <is>
          <t>台账查询</t>
        </is>
      </c>
      <c r="G599" s="17" t="inlineStr">
        <is>
          <t xml:space="preserve"> 提供设备台账多维度查询服务</t>
        </is>
      </c>
      <c r="H599" s="18" t="inlineStr">
        <is>
          <t>EQ</t>
        </is>
      </c>
      <c r="I599" s="18">
        <f>IF(H599="ILF",10,IF(H599="EIF",7,IF(H599="EI",4,IF(H599="EO",5,IF(H599="EQ",4,"")))))</f>
        <v/>
      </c>
      <c r="J599" s="18" t="inlineStr">
        <is>
          <t>中</t>
        </is>
      </c>
      <c r="K599" s="18">
        <f>IF(J599="高",0.33,IF(J599="中",0.67,IF(J599="低",1,"")))</f>
        <v/>
      </c>
      <c r="L599" s="18" t="inlineStr">
        <is>
          <t>新增</t>
        </is>
      </c>
      <c r="M599" s="18">
        <f>IF(L599="新增",1,IF(L599="修改",0.8,IF(L599="删除",0.2,"")))</f>
        <v/>
      </c>
      <c r="N599" s="18">
        <f>I599*K599*M599</f>
        <v/>
      </c>
    </row>
    <row r="600" ht="19" customHeight="1" s="1">
      <c r="B600" s="16" t="n">
        <v>595</v>
      </c>
      <c r="C600" s="16" t="inlineStr">
        <is>
          <t>边缘智能体系统平台开发</t>
        </is>
      </c>
      <c r="D600" s="16" t="inlineStr">
        <is>
          <t>设备档案管理</t>
        </is>
      </c>
      <c r="E600" s="16" t="inlineStr">
        <is>
          <t>设备台账</t>
        </is>
      </c>
      <c r="F600" s="16" t="inlineStr">
        <is>
          <t>台账统计</t>
        </is>
      </c>
      <c r="G600" s="17" t="inlineStr">
        <is>
          <t xml:space="preserve"> 提供设备台账分类汇总统计服务</t>
        </is>
      </c>
      <c r="H600" s="18" t="inlineStr">
        <is>
          <t>EQ</t>
        </is>
      </c>
      <c r="I600" s="18">
        <f>IF(H600="ILF",10,IF(H600="EIF",7,IF(H600="EI",4,IF(H600="EO",5,IF(H600="EQ",4,"")))))</f>
        <v/>
      </c>
      <c r="J600" s="18" t="inlineStr">
        <is>
          <t>中</t>
        </is>
      </c>
      <c r="K600" s="18">
        <f>IF(J600="高",0.33,IF(J600="中",0.67,IF(J600="低",1,"")))</f>
        <v/>
      </c>
      <c r="L600" s="18" t="inlineStr">
        <is>
          <t>新增</t>
        </is>
      </c>
      <c r="M600" s="18">
        <f>IF(L600="新增",1,IF(L600="修改",0.8,IF(L600="删除",0.2,"")))</f>
        <v/>
      </c>
      <c r="N600" s="18">
        <f>I600*K600*M600</f>
        <v/>
      </c>
    </row>
    <row r="601" ht="19" customHeight="1" s="1">
      <c r="B601" s="16" t="n">
        <v>596</v>
      </c>
      <c r="C601" s="16" t="inlineStr">
        <is>
          <t>边缘智能体系统平台开发</t>
        </is>
      </c>
      <c r="D601" s="16" t="inlineStr">
        <is>
          <t>设备档案管理</t>
        </is>
      </c>
      <c r="E601" s="16" t="inlineStr">
        <is>
          <t>设备台账</t>
        </is>
      </c>
      <c r="F601" s="16" t="inlineStr">
        <is>
          <t>导出工具</t>
        </is>
      </c>
      <c r="G601" s="17" t="inlineStr">
        <is>
          <t xml:space="preserve"> 提供设备台账导出工具配置服务</t>
        </is>
      </c>
      <c r="H601" s="18" t="inlineStr">
        <is>
          <t>EQ</t>
        </is>
      </c>
      <c r="I601" s="18">
        <f>IF(H601="ILF",10,IF(H601="EIF",7,IF(H601="EI",4,IF(H601="EO",5,IF(H601="EQ",4,"")))))</f>
        <v/>
      </c>
      <c r="J601" s="18" t="inlineStr">
        <is>
          <t>中</t>
        </is>
      </c>
      <c r="K601" s="18">
        <f>IF(J601="高",0.33,IF(J601="中",0.67,IF(J601="低",1,"")))</f>
        <v/>
      </c>
      <c r="L601" s="18" t="inlineStr">
        <is>
          <t>新增</t>
        </is>
      </c>
      <c r="M601" s="18">
        <f>IF(L601="新增",1,IF(L601="修改",0.8,IF(L601="删除",0.2,"")))</f>
        <v/>
      </c>
      <c r="N601" s="18">
        <f>I601*K601*M601</f>
        <v/>
      </c>
    </row>
    <row r="602" ht="19" customHeight="1" s="1">
      <c r="B602" s="16" t="n">
        <v>597</v>
      </c>
      <c r="C602" s="16" t="inlineStr">
        <is>
          <t>边缘智能体系统平台开发</t>
        </is>
      </c>
      <c r="D602" s="16" t="inlineStr">
        <is>
          <t>数据关联服务</t>
        </is>
      </c>
      <c r="E602" s="16" t="inlineStr">
        <is>
          <t>服务记录</t>
        </is>
      </c>
      <c r="F602" s="16" t="inlineStr">
        <is>
          <t>服务工单</t>
        </is>
      </c>
      <c r="G602" s="17" t="inlineStr">
        <is>
          <t xml:space="preserve"> 提供设备服务工单创建服务</t>
        </is>
      </c>
      <c r="H602" s="18" t="inlineStr">
        <is>
          <t>EQ</t>
        </is>
      </c>
      <c r="I602" s="18">
        <f>IF(H602="ILF",10,IF(H602="EIF",7,IF(H602="EI",4,IF(H602="EO",5,IF(H602="EQ",4,"")))))</f>
        <v/>
      </c>
      <c r="J602" s="18" t="inlineStr">
        <is>
          <t>中</t>
        </is>
      </c>
      <c r="K602" s="18">
        <f>IF(J602="高",0.33,IF(J602="中",0.67,IF(J602="低",1,"")))</f>
        <v/>
      </c>
      <c r="L602" s="18" t="inlineStr">
        <is>
          <t>新增</t>
        </is>
      </c>
      <c r="M602" s="18">
        <f>IF(L602="新增",1,IF(L602="修改",0.8,IF(L602="删除",0.2,"")))</f>
        <v/>
      </c>
      <c r="N602" s="18">
        <f>I602*K602*M602</f>
        <v/>
      </c>
    </row>
    <row r="603" ht="19" customHeight="1" s="1">
      <c r="B603" s="16" t="n">
        <v>598</v>
      </c>
      <c r="C603" s="16" t="inlineStr">
        <is>
          <t>边缘智能体系统平台开发</t>
        </is>
      </c>
      <c r="D603" s="16" t="inlineStr">
        <is>
          <t>数据关联服务</t>
        </is>
      </c>
      <c r="E603" s="16" t="inlineStr">
        <is>
          <t>服务记录</t>
        </is>
      </c>
      <c r="F603" s="16" t="inlineStr">
        <is>
          <t>服务记录</t>
        </is>
      </c>
      <c r="G603" s="17" t="inlineStr">
        <is>
          <t xml:space="preserve"> 提供设备服务历史记录管理服务</t>
        </is>
      </c>
      <c r="H603" s="18" t="inlineStr">
        <is>
          <t>EQ</t>
        </is>
      </c>
      <c r="I603" s="18">
        <f>IF(H603="ILF",10,IF(H603="EIF",7,IF(H603="EI",4,IF(H603="EO",5,IF(H603="EQ",4,"")))))</f>
        <v/>
      </c>
      <c r="J603" s="18" t="inlineStr">
        <is>
          <t>中</t>
        </is>
      </c>
      <c r="K603" s="18">
        <f>IF(J603="高",0.33,IF(J603="中",0.67,IF(J603="低",1,"")))</f>
        <v/>
      </c>
      <c r="L603" s="18" t="inlineStr">
        <is>
          <t>新增</t>
        </is>
      </c>
      <c r="M603" s="18">
        <f>IF(L603="新增",1,IF(L603="修改",0.8,IF(L603="删除",0.2,"")))</f>
        <v/>
      </c>
      <c r="N603" s="18">
        <f>I603*K603*M603</f>
        <v/>
      </c>
    </row>
    <row r="604" ht="19" customHeight="1" s="1">
      <c r="B604" s="16" t="n">
        <v>599</v>
      </c>
      <c r="C604" s="16" t="inlineStr">
        <is>
          <t>边缘智能体系统平台开发</t>
        </is>
      </c>
      <c r="D604" s="16" t="inlineStr">
        <is>
          <t>设备档案管理</t>
        </is>
      </c>
      <c r="E604" s="16" t="inlineStr">
        <is>
          <t>设备变更</t>
        </is>
      </c>
      <c r="F604" s="16" t="inlineStr">
        <is>
          <t>变更执行</t>
        </is>
      </c>
      <c r="G604" s="17" t="inlineStr">
        <is>
          <t xml:space="preserve"> 提供设备档案变更执行服务</t>
        </is>
      </c>
      <c r="H604" s="18" t="inlineStr">
        <is>
          <t>EQ</t>
        </is>
      </c>
      <c r="I604" s="18">
        <f>IF(H604="ILF",10,IF(H604="EIF",7,IF(H604="EI",4,IF(H604="EO",5,IF(H604="EQ",4,"")))))</f>
        <v/>
      </c>
      <c r="J604" s="18" t="inlineStr">
        <is>
          <t>高</t>
        </is>
      </c>
      <c r="K604" s="18">
        <f>IF(J604="高",0.33,IF(J604="中",0.67,IF(J604="低",1,"")))</f>
        <v/>
      </c>
      <c r="L604" s="18" t="inlineStr">
        <is>
          <t>新增</t>
        </is>
      </c>
      <c r="M604" s="18">
        <f>IF(L604="新增",1,IF(L604="修改",0.8,IF(L604="删除",0.2,"")))</f>
        <v/>
      </c>
      <c r="N604" s="18">
        <f>I604*K604*M604</f>
        <v/>
      </c>
    </row>
    <row r="605" ht="19" customHeight="1" s="1">
      <c r="B605" s="16" t="n">
        <v>600</v>
      </c>
      <c r="C605" s="16" t="inlineStr">
        <is>
          <t>分布式计算规则及现场验证</t>
        </is>
      </c>
      <c r="D605" s="16" t="inlineStr">
        <is>
          <t>数据存储服务</t>
        </is>
      </c>
      <c r="E605" s="16" t="inlineStr">
        <is>
          <t>存储运维服务</t>
        </is>
      </c>
      <c r="F605" s="16" t="inlineStr">
        <is>
          <t>存储数据修复</t>
        </is>
      </c>
      <c r="G605" s="17" t="inlineStr">
        <is>
          <t xml:space="preserve"> 提供存储数据修复服务</t>
        </is>
      </c>
      <c r="H605" s="18" t="inlineStr">
        <is>
          <t>ILF</t>
        </is>
      </c>
      <c r="I605" s="18">
        <f>IF(H605="ILF",10,IF(H605="EIF",7,IF(H605="EI",4,IF(H605="EO",5,IF(H605="EQ",4,"")))))</f>
        <v/>
      </c>
      <c r="J605" s="18" t="inlineStr">
        <is>
          <t>低</t>
        </is>
      </c>
      <c r="K605" s="18">
        <f>IF(J605="高",0.33,IF(J605="中",0.67,IF(J605="低",1,"")))</f>
        <v/>
      </c>
      <c r="L605" s="18" t="inlineStr">
        <is>
          <t>新增</t>
        </is>
      </c>
      <c r="M605" s="18">
        <f>IF(L605="新增",1,IF(L605="修改",0.8,IF(L605="删除",0.2,"")))</f>
        <v/>
      </c>
      <c r="N605" s="18">
        <f>I605*K605*M605</f>
        <v/>
      </c>
    </row>
    <row r="606" ht="19" customHeight="1" s="1">
      <c r="B606" s="16" t="n">
        <v>601</v>
      </c>
      <c r="C606" s="16" t="inlineStr">
        <is>
          <t>分布式计算规则及现场验证</t>
        </is>
      </c>
      <c r="D606" s="16" t="inlineStr">
        <is>
          <t>数据开放服务</t>
        </is>
      </c>
      <c r="E606" s="16" t="inlineStr">
        <is>
          <t>数据分发服务</t>
        </is>
      </c>
      <c r="F606" s="16" t="inlineStr">
        <is>
          <t>数据分发任务配置</t>
        </is>
      </c>
      <c r="G606" s="17" t="inlineStr">
        <is>
          <t xml:space="preserve"> 提供数据分发任务参数配置服务</t>
        </is>
      </c>
      <c r="H606" s="18" t="inlineStr">
        <is>
          <t>ILF</t>
        </is>
      </c>
      <c r="I606" s="18">
        <f>IF(H606="ILF",10,IF(H606="EIF",7,IF(H606="EI",4,IF(H606="EO",5,IF(H606="EQ",4,"")))))</f>
        <v/>
      </c>
      <c r="J606" s="18" t="inlineStr">
        <is>
          <t>低</t>
        </is>
      </c>
      <c r="K606" s="18">
        <f>IF(J606="高",0.33,IF(J606="中",0.67,IF(J606="低",1,"")))</f>
        <v/>
      </c>
      <c r="L606" s="18" t="inlineStr">
        <is>
          <t>新增</t>
        </is>
      </c>
      <c r="M606" s="18">
        <f>IF(L606="新增",1,IF(L606="修改",0.8,IF(L606="删除",0.2,"")))</f>
        <v/>
      </c>
      <c r="N606" s="18">
        <f>I606*K606*M606</f>
        <v/>
      </c>
    </row>
    <row r="607" ht="19" customHeight="1" s="1">
      <c r="B607" s="16" t="n">
        <v>602</v>
      </c>
      <c r="C607" s="16" t="inlineStr">
        <is>
          <t>分布式计算规则及现场验证</t>
        </is>
      </c>
      <c r="D607" s="16" t="inlineStr">
        <is>
          <t>数据开放服务</t>
        </is>
      </c>
      <c r="E607" s="16" t="inlineStr">
        <is>
          <t>数据分发服务</t>
        </is>
      </c>
      <c r="F607" s="16" t="inlineStr">
        <is>
          <t>数据分发监控</t>
        </is>
      </c>
      <c r="G607" s="17" t="inlineStr">
        <is>
          <t xml:space="preserve"> 提供数据分发状态监控服务</t>
        </is>
      </c>
      <c r="H607" s="18" t="inlineStr">
        <is>
          <t>ILF</t>
        </is>
      </c>
      <c r="I607" s="18">
        <f>IF(H607="ILF",10,IF(H607="EIF",7,IF(H607="EI",4,IF(H607="EO",5,IF(H607="EQ",4,"")))))</f>
        <v/>
      </c>
      <c r="J607" s="18" t="inlineStr">
        <is>
          <t>低</t>
        </is>
      </c>
      <c r="K607" s="18">
        <f>IF(J607="高",0.33,IF(J607="中",0.67,IF(J607="低",1,"")))</f>
        <v/>
      </c>
      <c r="L607" s="18" t="inlineStr">
        <is>
          <t>新增</t>
        </is>
      </c>
      <c r="M607" s="18">
        <f>IF(L607="新增",1,IF(L607="修改",0.8,IF(L607="删除",0.2,"")))</f>
        <v/>
      </c>
      <c r="N607" s="18">
        <f>I607*K607*M607</f>
        <v/>
      </c>
    </row>
    <row r="608" ht="19" customHeight="1" s="1">
      <c r="B608" s="16" t="n">
        <v>603</v>
      </c>
      <c r="C608" s="16" t="inlineStr">
        <is>
          <t>分布式计算规则及现场验证</t>
        </is>
      </c>
      <c r="D608" s="16" t="inlineStr">
        <is>
          <t>数据开放服务</t>
        </is>
      </c>
      <c r="E608" s="16" t="inlineStr">
        <is>
          <t>数据分发服务</t>
        </is>
      </c>
      <c r="F608" s="16" t="inlineStr">
        <is>
          <t>数据分发统计报表</t>
        </is>
      </c>
      <c r="G608" s="17" t="inlineStr">
        <is>
          <t xml:space="preserve"> 提供数据分发统计报表服务</t>
        </is>
      </c>
      <c r="H608" s="18" t="inlineStr">
        <is>
          <t>ILF</t>
        </is>
      </c>
      <c r="I608" s="18">
        <f>IF(H608="ILF",10,IF(H608="EIF",7,IF(H608="EI",4,IF(H608="EO",5,IF(H608="EQ",4,"")))))</f>
        <v/>
      </c>
      <c r="J608" s="18" t="inlineStr">
        <is>
          <t>低</t>
        </is>
      </c>
      <c r="K608" s="18">
        <f>IF(J608="高",0.33,IF(J608="中",0.67,IF(J608="低",1,"")))</f>
        <v/>
      </c>
      <c r="L608" s="18" t="inlineStr">
        <is>
          <t>新增</t>
        </is>
      </c>
      <c r="M608" s="18">
        <f>IF(L608="新增",1,IF(L608="修改",0.8,IF(L608="删除",0.2,"")))</f>
        <v/>
      </c>
      <c r="N608" s="18">
        <f>I608*K608*M608</f>
        <v/>
      </c>
    </row>
    <row r="609" ht="19" customHeight="1" s="1">
      <c r="B609" s="16" t="n">
        <v>604</v>
      </c>
      <c r="C609" s="16" t="inlineStr">
        <is>
          <t>分布式计算规则及现场验证</t>
        </is>
      </c>
      <c r="D609" s="16" t="inlineStr">
        <is>
          <t>安全防护服务</t>
        </is>
      </c>
      <c r="E609" s="16" t="inlineStr">
        <is>
          <t>安全运维服务</t>
        </is>
      </c>
      <c r="F609" s="16" t="inlineStr">
        <is>
          <t>安全事件回溯</t>
        </is>
      </c>
      <c r="G609" s="17" t="inlineStr">
        <is>
          <t xml:space="preserve"> 提供安全事件回溯分析服务</t>
        </is>
      </c>
      <c r="H609" s="18" t="inlineStr">
        <is>
          <t>ILF</t>
        </is>
      </c>
      <c r="I609" s="18">
        <f>IF(H609="ILF",10,IF(H609="EIF",7,IF(H609="EI",4,IF(H609="EO",5,IF(H609="EQ",4,"")))))</f>
        <v/>
      </c>
      <c r="J609" s="18" t="inlineStr">
        <is>
          <t>低</t>
        </is>
      </c>
      <c r="K609" s="18">
        <f>IF(J609="高",0.33,IF(J609="中",0.67,IF(J609="低",1,"")))</f>
        <v/>
      </c>
      <c r="L609" s="18" t="inlineStr">
        <is>
          <t>新增</t>
        </is>
      </c>
      <c r="M609" s="18">
        <f>IF(L609="新增",1,IF(L609="修改",0.8,IF(L609="删除",0.2,"")))</f>
        <v/>
      </c>
      <c r="N609" s="18">
        <f>I609*K609*M609</f>
        <v/>
      </c>
    </row>
    <row r="610" ht="19" customHeight="1" s="1">
      <c r="B610" s="16" t="n">
        <v>605</v>
      </c>
      <c r="C610" s="16" t="inlineStr">
        <is>
          <t>分布式计算规则及现场验证</t>
        </is>
      </c>
      <c r="D610" s="16" t="inlineStr">
        <is>
          <t>安全防护服务</t>
        </is>
      </c>
      <c r="E610" s="16" t="inlineStr">
        <is>
          <t>安全运维服务</t>
        </is>
      </c>
      <c r="F610" s="16" t="inlineStr">
        <is>
          <t>安全合规报告</t>
        </is>
      </c>
      <c r="G610" s="17" t="inlineStr">
        <is>
          <t xml:space="preserve"> 提供安全合规评估报告服务</t>
        </is>
      </c>
      <c r="H610" s="18" t="inlineStr">
        <is>
          <t>ILF</t>
        </is>
      </c>
      <c r="I610" s="18">
        <f>IF(H610="ILF",10,IF(H610="EIF",7,IF(H610="EI",4,IF(H610="EO",5,IF(H610="EQ",4,"")))))</f>
        <v/>
      </c>
      <c r="J610" s="18" t="inlineStr">
        <is>
          <t>低</t>
        </is>
      </c>
      <c r="K610" s="18">
        <f>IF(J610="高",0.33,IF(J610="中",0.67,IF(J610="低",1,"")))</f>
        <v/>
      </c>
      <c r="L610" s="18" t="inlineStr">
        <is>
          <t>新增</t>
        </is>
      </c>
      <c r="M610" s="18">
        <f>IF(L610="新增",1,IF(L610="修改",0.8,IF(L610="删除",0.2,"")))</f>
        <v/>
      </c>
      <c r="N610" s="18">
        <f>I610*K610*M610</f>
        <v/>
      </c>
    </row>
    <row r="611" ht="19" customHeight="1" s="1">
      <c r="B611" s="16" t="n">
        <v>606</v>
      </c>
      <c r="C611" s="16" t="inlineStr">
        <is>
          <t>分布式计算规则及现场验证</t>
        </is>
      </c>
      <c r="D611" s="16" t="inlineStr">
        <is>
          <t>安全防护服务</t>
        </is>
      </c>
      <c r="E611" s="16" t="inlineStr">
        <is>
          <t>安全运维服务</t>
        </is>
      </c>
      <c r="F611" s="16" t="inlineStr">
        <is>
          <t>安全策略定期审计</t>
        </is>
      </c>
      <c r="G611" s="17" t="inlineStr">
        <is>
          <t xml:space="preserve"> 提供安全策略定期审计服务</t>
        </is>
      </c>
      <c r="H611" s="18" t="inlineStr">
        <is>
          <t>ILF</t>
        </is>
      </c>
      <c r="I611" s="18">
        <f>IF(H611="ILF",10,IF(H611="EIF",7,IF(H611="EI",4,IF(H611="EO",5,IF(H611="EQ",4,"")))))</f>
        <v/>
      </c>
      <c r="J611" s="18" t="inlineStr">
        <is>
          <t>低</t>
        </is>
      </c>
      <c r="K611" s="18">
        <f>IF(J611="高",0.33,IF(J611="中",0.67,IF(J611="低",1,"")))</f>
        <v/>
      </c>
      <c r="L611" s="18" t="inlineStr">
        <is>
          <t>新增</t>
        </is>
      </c>
      <c r="M611" s="18">
        <f>IF(L611="新增",1,IF(L611="修改",0.8,IF(L611="删除",0.2,"")))</f>
        <v/>
      </c>
      <c r="N611" s="18">
        <f>I611*K611*M611</f>
        <v/>
      </c>
    </row>
    <row r="612" ht="19" customHeight="1" s="1">
      <c r="B612" s="16" t="n">
        <v>607</v>
      </c>
      <c r="C612" s="16" t="inlineStr">
        <is>
          <t>分布式计算规则及现场验证</t>
        </is>
      </c>
      <c r="D612" s="16" t="inlineStr">
        <is>
          <t>数据开放服务</t>
        </is>
      </c>
      <c r="E612" s="16" t="inlineStr">
        <is>
          <t>数据分发服务</t>
        </is>
      </c>
      <c r="F612" s="16" t="inlineStr">
        <is>
          <t>数据分发统计报表</t>
        </is>
      </c>
      <c r="G612" s="17" t="inlineStr">
        <is>
          <t xml:space="preserve"> （保留原编号804，内容同771）</t>
        </is>
      </c>
      <c r="H612" s="18" t="inlineStr">
        <is>
          <t>ILF</t>
        </is>
      </c>
      <c r="I612" s="18">
        <f>IF(H612="ILF",10,IF(H612="EIF",7,IF(H612="EI",4,IF(H612="EO",5,IF(H612="EQ",4,"")))))</f>
        <v/>
      </c>
      <c r="J612" s="18" t="inlineStr">
        <is>
          <t>低</t>
        </is>
      </c>
      <c r="K612" s="18">
        <f>IF(J612="高",0.33,IF(J612="中",0.67,IF(J612="低",1,"")))</f>
        <v/>
      </c>
      <c r="L612" s="18" t="inlineStr">
        <is>
          <t>新增</t>
        </is>
      </c>
      <c r="M612" s="18">
        <f>IF(L612="新增",1,IF(L612="修改",0.8,IF(L612="删除",0.2,"")))</f>
        <v/>
      </c>
      <c r="N612" s="18">
        <f>I612*K612*M612</f>
        <v/>
      </c>
    </row>
    <row r="613" ht="19" customHeight="1" s="1">
      <c r="B613" s="16" t="n">
        <v>608</v>
      </c>
      <c r="C613" s="16" t="inlineStr">
        <is>
          <t>分布式计算规则及现场验证</t>
        </is>
      </c>
      <c r="D613" s="16" t="inlineStr">
        <is>
          <t>数据开放服务</t>
        </is>
      </c>
      <c r="E613" s="16" t="inlineStr">
        <is>
          <t>数据分发服务</t>
        </is>
      </c>
      <c r="F613" s="16" t="inlineStr">
        <is>
          <t>数据分发统计报表</t>
        </is>
      </c>
      <c r="G613" s="17" t="inlineStr">
        <is>
          <t xml:space="preserve"> （保留原编号805）</t>
        </is>
      </c>
      <c r="H613" s="18" t="inlineStr">
        <is>
          <t>ILF</t>
        </is>
      </c>
      <c r="I613" s="18">
        <f>IF(H613="ILF",10,IF(H613="EIF",7,IF(H613="EI",4,IF(H613="EO",5,IF(H613="EQ",4,"")))))</f>
        <v/>
      </c>
      <c r="J613" s="18" t="inlineStr">
        <is>
          <t>中</t>
        </is>
      </c>
      <c r="K613" s="18">
        <f>IF(J613="高",0.33,IF(J613="中",0.67,IF(J613="低",1,"")))</f>
        <v/>
      </c>
      <c r="L613" s="18" t="inlineStr">
        <is>
          <t>新增</t>
        </is>
      </c>
      <c r="M613" s="18">
        <f>IF(L613="新增",1,IF(L613="修改",0.8,IF(L613="删除",0.2,"")))</f>
        <v/>
      </c>
      <c r="N613" s="18">
        <f>I613*K613*M613</f>
        <v/>
      </c>
    </row>
    <row r="614" ht="19" customHeight="1" s="1">
      <c r="B614" s="16" t="n">
        <v>609</v>
      </c>
      <c r="C614" s="16" t="inlineStr">
        <is>
          <t>分布式计算规则及现场验证</t>
        </is>
      </c>
      <c r="D614" s="16" t="inlineStr">
        <is>
          <t>数据开放服务</t>
        </is>
      </c>
      <c r="E614" s="16" t="inlineStr">
        <is>
          <t>数据分发服务</t>
        </is>
      </c>
      <c r="F614" s="16" t="inlineStr">
        <is>
          <t>数据分发统计报表</t>
        </is>
      </c>
      <c r="G614" s="17" t="inlineStr">
        <is>
          <t xml:space="preserve"> （保留原编号806）</t>
        </is>
      </c>
      <c r="H614" s="18" t="inlineStr">
        <is>
          <t>ILF</t>
        </is>
      </c>
      <c r="I614" s="18">
        <f>IF(H614="ILF",10,IF(H614="EIF",7,IF(H614="EI",4,IF(H614="EO",5,IF(H614="EQ",4,"")))))</f>
        <v/>
      </c>
      <c r="J614" s="18" t="inlineStr">
        <is>
          <t>中</t>
        </is>
      </c>
      <c r="K614" s="18">
        <f>IF(J614="高",0.33,IF(J614="中",0.67,IF(J614="低",1,"")))</f>
        <v/>
      </c>
      <c r="L614" s="18" t="inlineStr">
        <is>
          <t>新增</t>
        </is>
      </c>
      <c r="M614" s="18">
        <f>IF(L614="新增",1,IF(L614="修改",0.8,IF(L614="删除",0.2,"")))</f>
        <v/>
      </c>
      <c r="N614" s="18">
        <f>I614*K614*M614</f>
        <v/>
      </c>
    </row>
    <row r="615" ht="19" customHeight="1" s="1">
      <c r="B615" s="16" t="n">
        <v>610</v>
      </c>
      <c r="C615" s="16" t="inlineStr">
        <is>
          <t>分布式计算规则及现场验证</t>
        </is>
      </c>
      <c r="D615" s="16" t="inlineStr">
        <is>
          <t>安全防护服务</t>
        </is>
      </c>
      <c r="E615" s="16" t="inlineStr">
        <is>
          <t>安全事件自动响应</t>
        </is>
      </c>
      <c r="F615" s="16" t="inlineStr">
        <is>
          <t>事件响应规则</t>
        </is>
      </c>
      <c r="G615" s="17" t="inlineStr">
        <is>
          <t xml:space="preserve"> 提供安全事件自动响应规则配置服务</t>
        </is>
      </c>
      <c r="H615" s="18" t="inlineStr">
        <is>
          <t>ILF</t>
        </is>
      </c>
      <c r="I615" s="18">
        <f>IF(H615="ILF",10,IF(H615="EIF",7,IF(H615="EI",4,IF(H615="EO",5,IF(H615="EQ",4,"")))))</f>
        <v/>
      </c>
      <c r="J615" s="18" t="inlineStr">
        <is>
          <t>中</t>
        </is>
      </c>
      <c r="K615" s="18">
        <f>IF(J615="高",0.33,IF(J615="中",0.67,IF(J615="低",1,"")))</f>
        <v/>
      </c>
      <c r="L615" s="18" t="inlineStr">
        <is>
          <t>新增</t>
        </is>
      </c>
      <c r="M615" s="18">
        <f>IF(L615="新增",1,IF(L615="修改",0.8,IF(L615="删除",0.2,"")))</f>
        <v/>
      </c>
      <c r="N615" s="18">
        <f>I615*K615*M615</f>
        <v/>
      </c>
    </row>
    <row r="616" ht="19" customHeight="1" s="1">
      <c r="B616" s="16" t="n">
        <v>611</v>
      </c>
      <c r="C616" s="16" t="inlineStr">
        <is>
          <t>分布式计算规则及现场验证</t>
        </is>
      </c>
      <c r="D616" s="16" t="inlineStr">
        <is>
          <t>数据存储服务</t>
        </is>
      </c>
      <c r="E616" s="16" t="inlineStr">
        <is>
          <t>TDengine</t>
        </is>
      </c>
      <c r="F616" s="16" t="inlineStr">
        <is>
          <t>超表创建</t>
        </is>
      </c>
      <c r="G616" s="17" t="inlineStr">
        <is>
          <t xml:space="preserve"> 提供按ChannelID分库按ProductID创建超表存储服务</t>
        </is>
      </c>
      <c r="H616" s="18" t="inlineStr">
        <is>
          <t>ILF</t>
        </is>
      </c>
      <c r="I616" s="18">
        <f>IF(H616="ILF",10,IF(H616="EIF",7,IF(H616="EI",4,IF(H616="EO",5,IF(H616="EQ",4,"")))))</f>
        <v/>
      </c>
      <c r="J616" s="18" t="inlineStr">
        <is>
          <t>中</t>
        </is>
      </c>
      <c r="K616" s="18">
        <f>IF(J616="高",0.33,IF(J616="中",0.67,IF(J616="低",1,"")))</f>
        <v/>
      </c>
      <c r="L616" s="18" t="inlineStr">
        <is>
          <t>新增</t>
        </is>
      </c>
      <c r="M616" s="18">
        <f>IF(L616="新增",1,IF(L616="修改",0.8,IF(L616="删除",0.2,"")))</f>
        <v/>
      </c>
      <c r="N616" s="18">
        <f>I616*K616*M616</f>
        <v/>
      </c>
    </row>
    <row r="617" ht="19" customHeight="1" s="1">
      <c r="B617" s="16" t="n">
        <v>612</v>
      </c>
      <c r="C617" s="16" t="inlineStr">
        <is>
          <t>分布式计算规则及现场验证</t>
        </is>
      </c>
      <c r="D617" s="16" t="inlineStr">
        <is>
          <t>数据存储服务</t>
        </is>
      </c>
      <c r="E617" s="16" t="inlineStr">
        <is>
          <t>TDengine</t>
        </is>
      </c>
      <c r="F617" s="16" t="inlineStr">
        <is>
          <t>子表管理</t>
        </is>
      </c>
      <c r="G617" s="17" t="inlineStr">
        <is>
          <t xml:space="preserve"> 提供按DeviceID自动创建子表服务</t>
        </is>
      </c>
      <c r="H617" s="18" t="inlineStr">
        <is>
          <t>ILF</t>
        </is>
      </c>
      <c r="I617" s="18">
        <f>IF(H617="ILF",10,IF(H617="EIF",7,IF(H617="EI",4,IF(H617="EO",5,IF(H617="EQ",4,"")))))</f>
        <v/>
      </c>
      <c r="J617" s="18" t="inlineStr">
        <is>
          <t>中</t>
        </is>
      </c>
      <c r="K617" s="18">
        <f>IF(J617="高",0.33,IF(J617="中",0.67,IF(J617="低",1,"")))</f>
        <v/>
      </c>
      <c r="L617" s="18" t="inlineStr">
        <is>
          <t>新增</t>
        </is>
      </c>
      <c r="M617" s="18">
        <f>IF(L617="新增",1,IF(L617="修改",0.8,IF(L617="删除",0.2,"")))</f>
        <v/>
      </c>
      <c r="N617" s="18">
        <f>I617*K617*M617</f>
        <v/>
      </c>
    </row>
    <row r="618" ht="19" customHeight="1" s="1">
      <c r="B618" s="16" t="n">
        <v>613</v>
      </c>
      <c r="C618" s="16" t="inlineStr">
        <is>
          <t>分布式计算规则及现场验证</t>
        </is>
      </c>
      <c r="D618" s="16" t="inlineStr">
        <is>
          <t>数据存储服务</t>
        </is>
      </c>
      <c r="E618" s="16" t="inlineStr">
        <is>
          <t>TDengine</t>
        </is>
      </c>
      <c r="F618" s="16" t="inlineStr">
        <is>
          <t>纳秒写入</t>
        </is>
      </c>
      <c r="G618" s="17" t="inlineStr">
        <is>
          <t xml:space="preserve"> 提供纳秒精度时间戳时序数据写入服务</t>
        </is>
      </c>
      <c r="H618" s="18" t="inlineStr">
        <is>
          <t>ILF</t>
        </is>
      </c>
      <c r="I618" s="18">
        <f>IF(H618="ILF",10,IF(H618="EIF",7,IF(H618="EI",4,IF(H618="EO",5,IF(H618="EQ",4,"")))))</f>
        <v/>
      </c>
      <c r="J618" s="18" t="inlineStr">
        <is>
          <t>高</t>
        </is>
      </c>
      <c r="K618" s="18">
        <f>IF(J618="高",0.33,IF(J618="中",0.67,IF(J618="低",1,"")))</f>
        <v/>
      </c>
      <c r="L618" s="18" t="inlineStr">
        <is>
          <t>新增</t>
        </is>
      </c>
      <c r="M618" s="18">
        <f>IF(L618="新增",1,IF(L618="修改",0.8,IF(L618="删除",0.2,"")))</f>
        <v/>
      </c>
      <c r="N618" s="18">
        <f>I618*K618*M618</f>
        <v/>
      </c>
    </row>
    <row r="619" ht="19" customHeight="1" s="1">
      <c r="B619" s="16" t="n">
        <v>614</v>
      </c>
      <c r="C619" s="16" t="inlineStr">
        <is>
          <t>分布式计算规则及现场验证</t>
        </is>
      </c>
      <c r="D619" s="16" t="inlineStr">
        <is>
          <t>数据存储服务</t>
        </is>
      </c>
      <c r="E619" s="16" t="inlineStr">
        <is>
          <t>TDengine</t>
        </is>
      </c>
      <c r="F619" s="16" t="inlineStr">
        <is>
          <t>列式压缩</t>
        </is>
      </c>
      <c r="G619" s="17" t="inlineStr">
        <is>
          <t xml:space="preserve"> 提供TDengine列式压缩≥10:1存储服务</t>
        </is>
      </c>
      <c r="H619" s="18" t="inlineStr">
        <is>
          <t>ILF</t>
        </is>
      </c>
      <c r="I619" s="18">
        <f>IF(H619="ILF",10,IF(H619="EIF",7,IF(H619="EI",4,IF(H619="EO",5,IF(H619="EQ",4,"")))))</f>
        <v/>
      </c>
      <c r="J619" s="18" t="inlineStr">
        <is>
          <t>高</t>
        </is>
      </c>
      <c r="K619" s="18">
        <f>IF(J619="高",0.33,IF(J619="中",0.67,IF(J619="低",1,"")))</f>
        <v/>
      </c>
      <c r="L619" s="18" t="inlineStr">
        <is>
          <t>新增</t>
        </is>
      </c>
      <c r="M619" s="18">
        <f>IF(L619="新增",1,IF(L619="修改",0.8,IF(L619="删除",0.2,"")))</f>
        <v/>
      </c>
      <c r="N619" s="18">
        <f>I619*K619*M619</f>
        <v/>
      </c>
    </row>
    <row r="620" ht="19" customHeight="1" s="1">
      <c r="B620" s="16" t="n">
        <v>615</v>
      </c>
      <c r="C620" s="16" t="inlineStr">
        <is>
          <t>分布式计算规则及现场验证</t>
        </is>
      </c>
      <c r="D620" s="16" t="inlineStr">
        <is>
          <t>数据存储服务</t>
        </is>
      </c>
      <c r="E620" s="16" t="inlineStr">
        <is>
          <t>TDengine</t>
        </is>
      </c>
      <c r="F620" s="16" t="inlineStr">
        <is>
          <t>滑动平均</t>
        </is>
      </c>
      <c r="G620" s="17" t="inlineStr">
        <is>
          <t xml:space="preserve"> 提供内置滑动平均窗口函数服务</t>
        </is>
      </c>
      <c r="H620" s="18" t="inlineStr">
        <is>
          <t>ILF</t>
        </is>
      </c>
      <c r="I620" s="18">
        <f>IF(H620="ILF",10,IF(H620="EIF",7,IF(H620="EI",4,IF(H620="EO",5,IF(H620="EQ",4,"")))))</f>
        <v/>
      </c>
      <c r="J620" s="18" t="inlineStr">
        <is>
          <t>高</t>
        </is>
      </c>
      <c r="K620" s="18">
        <f>IF(J620="高",0.33,IF(J620="中",0.67,IF(J620="低",1,"")))</f>
        <v/>
      </c>
      <c r="L620" s="18" t="inlineStr">
        <is>
          <t>新增</t>
        </is>
      </c>
      <c r="M620" s="18">
        <f>IF(L620="新增",1,IF(L620="修改",0.8,IF(L620="删除",0.2,"")))</f>
        <v/>
      </c>
      <c r="N620" s="18">
        <f>I620*K620*M620</f>
        <v/>
      </c>
    </row>
    <row r="621" ht="19" customHeight="1" s="1">
      <c r="B621" s="16" t="n">
        <v>616</v>
      </c>
      <c r="C621" s="16" t="inlineStr">
        <is>
          <t>分布式计算规则及现场验证</t>
        </is>
      </c>
      <c r="D621" s="16" t="inlineStr">
        <is>
          <t>数据存储服务</t>
        </is>
      </c>
      <c r="E621" s="16" t="inlineStr">
        <is>
          <t>TDengine</t>
        </is>
      </c>
      <c r="F621" s="16" t="inlineStr">
        <is>
          <t>累计求和</t>
        </is>
      </c>
      <c r="G621" s="17" t="inlineStr">
        <is>
          <t xml:space="preserve"> 提供内置累计求和窗口函数服务</t>
        </is>
      </c>
      <c r="H621" s="18" t="inlineStr">
        <is>
          <t>EIF</t>
        </is>
      </c>
      <c r="I621" s="18">
        <f>IF(H621="ILF",10,IF(H621="EIF",7,IF(H621="EI",4,IF(H621="EO",5,IF(H621="EQ",4,"")))))</f>
        <v/>
      </c>
      <c r="J621" s="18" t="inlineStr">
        <is>
          <t>中</t>
        </is>
      </c>
      <c r="K621" s="18">
        <f>IF(J621="高",0.33,IF(J621="中",0.67,IF(J621="低",1,"")))</f>
        <v/>
      </c>
      <c r="L621" s="18" t="inlineStr">
        <is>
          <t>新增</t>
        </is>
      </c>
      <c r="M621" s="18">
        <f>IF(L621="新增",1,IF(L621="修改",0.8,IF(L621="删除",0.2,"")))</f>
        <v/>
      </c>
      <c r="N621" s="18">
        <f>I621*K621*M621</f>
        <v/>
      </c>
    </row>
    <row r="622" ht="19" customHeight="1" s="1">
      <c r="B622" s="16" t="n">
        <v>617</v>
      </c>
      <c r="C622" s="16" t="inlineStr">
        <is>
          <t>分布式计算规则及现场验证</t>
        </is>
      </c>
      <c r="D622" s="16" t="inlineStr">
        <is>
          <t>数据存储服务</t>
        </is>
      </c>
      <c r="E622" s="16" t="inlineStr">
        <is>
          <t>TDengine</t>
        </is>
      </c>
      <c r="F622" s="16" t="inlineStr">
        <is>
          <t>降采样</t>
        </is>
      </c>
      <c r="G622" s="17" t="inlineStr">
        <is>
          <t xml:space="preserve"> 提供内置降采样聚合查询函数服务</t>
        </is>
      </c>
      <c r="H622" s="18" t="inlineStr">
        <is>
          <t>EI</t>
        </is>
      </c>
      <c r="I622" s="18">
        <f>IF(H622="ILF",10,IF(H622="EIF",7,IF(H622="EI",4,IF(H622="EO",5,IF(H622="EQ",4,"")))))</f>
        <v/>
      </c>
      <c r="J622" s="18" t="inlineStr">
        <is>
          <t>低</t>
        </is>
      </c>
      <c r="K622" s="18">
        <f>IF(J622="高",0.33,IF(J622="中",0.67,IF(J622="低",1,"")))</f>
        <v/>
      </c>
      <c r="L622" s="18" t="inlineStr">
        <is>
          <t>新增</t>
        </is>
      </c>
      <c r="M622" s="18">
        <f>IF(L622="新增",1,IF(L622="修改",0.8,IF(L622="删除",0.2,"")))</f>
        <v/>
      </c>
      <c r="N622" s="18">
        <f>I622*K622*M622</f>
        <v/>
      </c>
    </row>
    <row r="623" ht="19" customHeight="1" s="1">
      <c r="B623" s="16" t="n">
        <v>618</v>
      </c>
      <c r="C623" s="16" t="inlineStr">
        <is>
          <t>分布式计算规则及现场验证</t>
        </is>
      </c>
      <c r="D623" s="16" t="inlineStr">
        <is>
          <t>数据存储服务</t>
        </is>
      </c>
      <c r="E623" s="16" t="inlineStr">
        <is>
          <t>TDengine</t>
        </is>
      </c>
      <c r="F623" s="16" t="inlineStr">
        <is>
          <t>数据分区</t>
        </is>
      </c>
      <c r="G623" s="17" t="inlineStr">
        <is>
          <t xml:space="preserve"> 提供时序数据按时间/设备分区策略配置服务</t>
        </is>
      </c>
      <c r="H623" s="18" t="inlineStr">
        <is>
          <t>EI</t>
        </is>
      </c>
      <c r="I623" s="18">
        <f>IF(H623="ILF",10,IF(H623="EIF",7,IF(H623="EI",4,IF(H623="EO",5,IF(H623="EQ",4,"")))))</f>
        <v/>
      </c>
      <c r="J623" s="18" t="inlineStr">
        <is>
          <t>低</t>
        </is>
      </c>
      <c r="K623" s="18">
        <f>IF(J623="高",0.33,IF(J623="中",0.67,IF(J623="低",1,"")))</f>
        <v/>
      </c>
      <c r="L623" s="18" t="inlineStr">
        <is>
          <t>新增</t>
        </is>
      </c>
      <c r="M623" s="18">
        <f>IF(L623="新增",1,IF(L623="修改",0.8,IF(L623="删除",0.2,"")))</f>
        <v/>
      </c>
      <c r="N623" s="18">
        <f>I623*K623*M623</f>
        <v/>
      </c>
    </row>
    <row r="624" ht="19" customHeight="1" s="1">
      <c r="B624" s="16" t="n">
        <v>619</v>
      </c>
      <c r="C624" s="16" t="inlineStr">
        <is>
          <t>分布式计算规则及现场验证</t>
        </is>
      </c>
      <c r="D624" s="16" t="inlineStr">
        <is>
          <t>数据存储服务</t>
        </is>
      </c>
      <c r="E624" s="16" t="inlineStr">
        <is>
          <t>TDengine</t>
        </is>
      </c>
      <c r="F624" s="16" t="inlineStr">
        <is>
          <t>数据过期</t>
        </is>
      </c>
      <c r="G624" s="17" t="inlineStr">
        <is>
          <t xml:space="preserve"> 提供时序数据自动过期清理策略配置服务</t>
        </is>
      </c>
      <c r="H624" s="18" t="inlineStr">
        <is>
          <t>EI</t>
        </is>
      </c>
      <c r="I624" s="18">
        <f>IF(H624="ILF",10,IF(H624="EIF",7,IF(H624="EI",4,IF(H624="EO",5,IF(H624="EQ",4,"")))))</f>
        <v/>
      </c>
      <c r="J624" s="18" t="inlineStr">
        <is>
          <t>低</t>
        </is>
      </c>
      <c r="K624" s="18">
        <f>IF(J624="高",0.33,IF(J624="中",0.67,IF(J624="低",1,"")))</f>
        <v/>
      </c>
      <c r="L624" s="18" t="inlineStr">
        <is>
          <t>新增</t>
        </is>
      </c>
      <c r="M624" s="18">
        <f>IF(L624="新增",1,IF(L624="修改",0.8,IF(L624="删除",0.2,"")))</f>
        <v/>
      </c>
      <c r="N624" s="18">
        <f>I624*K624*M624</f>
        <v/>
      </c>
    </row>
    <row r="625" ht="19" customHeight="1" s="1">
      <c r="B625" s="16" t="n">
        <v>620</v>
      </c>
      <c r="C625" s="16" t="inlineStr">
        <is>
          <t>分布式计算规则及现场验证</t>
        </is>
      </c>
      <c r="D625" s="16" t="inlineStr">
        <is>
          <t>数据存储服务</t>
        </is>
      </c>
      <c r="E625" s="16" t="inlineStr">
        <is>
          <t>TDengine</t>
        </is>
      </c>
      <c r="F625" s="16" t="inlineStr">
        <is>
          <t>写入调优</t>
        </is>
      </c>
      <c r="G625" s="17" t="inlineStr">
        <is>
          <t xml:space="preserve"> 提供TDengine写入参数性能调优服务</t>
        </is>
      </c>
      <c r="H625" s="18" t="inlineStr">
        <is>
          <t>EI</t>
        </is>
      </c>
      <c r="I625" s="18">
        <f>IF(H625="ILF",10,IF(H625="EIF",7,IF(H625="EI",4,IF(H625="EO",5,IF(H625="EQ",4,"")))))</f>
        <v/>
      </c>
      <c r="J625" s="18" t="inlineStr">
        <is>
          <t>低</t>
        </is>
      </c>
      <c r="K625" s="18">
        <f>IF(J625="高",0.33,IF(J625="中",0.67,IF(J625="低",1,"")))</f>
        <v/>
      </c>
      <c r="L625" s="18" t="inlineStr">
        <is>
          <t>新增</t>
        </is>
      </c>
      <c r="M625" s="18">
        <f>IF(L625="新增",1,IF(L625="修改",0.8,IF(L625="删除",0.2,"")))</f>
        <v/>
      </c>
      <c r="N625" s="18">
        <f>I625*K625*M625</f>
        <v/>
      </c>
    </row>
    <row r="626" ht="19" customHeight="1" s="1">
      <c r="B626" s="16" t="n">
        <v>621</v>
      </c>
      <c r="C626" s="16" t="inlineStr">
        <is>
          <t>分布式计算规则及现场验证</t>
        </is>
      </c>
      <c r="D626" s="16" t="inlineStr">
        <is>
          <t>数据存储服务</t>
        </is>
      </c>
      <c r="E626" s="16" t="inlineStr">
        <is>
          <t>TDengine</t>
        </is>
      </c>
      <c r="F626" s="16" t="inlineStr">
        <is>
          <t>查询调优</t>
        </is>
      </c>
      <c r="G626" s="17" t="inlineStr">
        <is>
          <t xml:space="preserve"> 提供TDengine查询参数性能调优服务</t>
        </is>
      </c>
      <c r="H626" s="18" t="inlineStr">
        <is>
          <t>EI</t>
        </is>
      </c>
      <c r="I626" s="18">
        <f>IF(H626="ILF",10,IF(H626="EIF",7,IF(H626="EI",4,IF(H626="EO",5,IF(H626="EQ",4,"")))))</f>
        <v/>
      </c>
      <c r="J626" s="18" t="inlineStr">
        <is>
          <t>低</t>
        </is>
      </c>
      <c r="K626" s="18">
        <f>IF(J626="高",0.33,IF(J626="中",0.67,IF(J626="低",1,"")))</f>
        <v/>
      </c>
      <c r="L626" s="18" t="inlineStr">
        <is>
          <t>新增</t>
        </is>
      </c>
      <c r="M626" s="18">
        <f>IF(L626="新增",1,IF(L626="修改",0.8,IF(L626="删除",0.2,"")))</f>
        <v/>
      </c>
      <c r="N626" s="18">
        <f>I626*K626*M626</f>
        <v/>
      </c>
    </row>
    <row r="627" ht="19" customHeight="1" s="1">
      <c r="B627" s="16" t="n">
        <v>622</v>
      </c>
      <c r="C627" s="16" t="inlineStr">
        <is>
          <t>分布式计算规则及现场验证</t>
        </is>
      </c>
      <c r="D627" s="16" t="inlineStr">
        <is>
          <t>数据存储服务</t>
        </is>
      </c>
      <c r="E627" s="16" t="inlineStr">
        <is>
          <t>TDengine</t>
        </is>
      </c>
      <c r="F627" s="16" t="inlineStr">
        <is>
          <t>数据备份</t>
        </is>
      </c>
      <c r="G627" s="17" t="inlineStr">
        <is>
          <t xml:space="preserve"> 提供TDengine数据全量备份服务</t>
        </is>
      </c>
      <c r="H627" s="18" t="inlineStr">
        <is>
          <t>EI</t>
        </is>
      </c>
      <c r="I627" s="18">
        <f>IF(H627="ILF",10,IF(H627="EIF",7,IF(H627="EI",4,IF(H627="EO",5,IF(H627="EQ",4,"")))))</f>
        <v/>
      </c>
      <c r="J627" s="18" t="inlineStr">
        <is>
          <t>低</t>
        </is>
      </c>
      <c r="K627" s="18">
        <f>IF(J627="高",0.33,IF(J627="中",0.67,IF(J627="低",1,"")))</f>
        <v/>
      </c>
      <c r="L627" s="18" t="inlineStr">
        <is>
          <t>新增</t>
        </is>
      </c>
      <c r="M627" s="18">
        <f>IF(L627="新增",1,IF(L627="修改",0.8,IF(L627="删除",0.2,"")))</f>
        <v/>
      </c>
      <c r="N627" s="18">
        <f>I627*K627*M627</f>
        <v/>
      </c>
    </row>
    <row r="628" ht="19" customHeight="1" s="1">
      <c r="B628" s="16" t="n">
        <v>623</v>
      </c>
      <c r="C628" s="16" t="inlineStr">
        <is>
          <t>分布式计算规则及现场验证</t>
        </is>
      </c>
      <c r="D628" s="16" t="inlineStr">
        <is>
          <t>数据存储服务</t>
        </is>
      </c>
      <c r="E628" s="16" t="inlineStr">
        <is>
          <t>TDengine</t>
        </is>
      </c>
      <c r="F628" s="16" t="inlineStr">
        <is>
          <t>数据恢复</t>
        </is>
      </c>
      <c r="G628" s="17" t="inlineStr">
        <is>
          <t xml:space="preserve"> 提供TDengine数据灾难恢复服务</t>
        </is>
      </c>
      <c r="H628" s="18" t="inlineStr">
        <is>
          <t>EI</t>
        </is>
      </c>
      <c r="I628" s="18">
        <f>IF(H628="ILF",10,IF(H628="EIF",7,IF(H628="EI",4,IF(H628="EO",5,IF(H628="EQ",4,"")))))</f>
        <v/>
      </c>
      <c r="J628" s="18" t="inlineStr">
        <is>
          <t>低</t>
        </is>
      </c>
      <c r="K628" s="18">
        <f>IF(J628="高",0.33,IF(J628="中",0.67,IF(J628="低",1,"")))</f>
        <v/>
      </c>
      <c r="L628" s="18" t="inlineStr">
        <is>
          <t>新增</t>
        </is>
      </c>
      <c r="M628" s="18">
        <f>IF(L628="新增",1,IF(L628="修改",0.8,IF(L628="删除",0.2,"")))</f>
        <v/>
      </c>
      <c r="N628" s="18">
        <f>I628*K628*M628</f>
        <v/>
      </c>
    </row>
    <row r="629" ht="19" customHeight="1" s="1">
      <c r="B629" s="16" t="n">
        <v>624</v>
      </c>
      <c r="C629" s="16" t="inlineStr">
        <is>
          <t>分布式计算规则及现场验证</t>
        </is>
      </c>
      <c r="D629" s="16" t="inlineStr">
        <is>
          <t>数据存储服务</t>
        </is>
      </c>
      <c r="E629" s="16" t="inlineStr">
        <is>
          <t>TDengine</t>
        </is>
      </c>
      <c r="F629" s="16" t="inlineStr">
        <is>
          <t>节点监控</t>
        </is>
      </c>
      <c r="G629" s="17" t="inlineStr">
        <is>
          <t xml:space="preserve"> 提供TDengine节点运行状态监控服务</t>
        </is>
      </c>
      <c r="H629" s="18" t="inlineStr">
        <is>
          <t>EI</t>
        </is>
      </c>
      <c r="I629" s="18">
        <f>IF(H629="ILF",10,IF(H629="EIF",7,IF(H629="EI",4,IF(H629="EO",5,IF(H629="EQ",4,"")))))</f>
        <v/>
      </c>
      <c r="J629" s="18" t="inlineStr">
        <is>
          <t>低</t>
        </is>
      </c>
      <c r="K629" s="18">
        <f>IF(J629="高",0.33,IF(J629="中",0.67,IF(J629="低",1,"")))</f>
        <v/>
      </c>
      <c r="L629" s="18" t="inlineStr">
        <is>
          <t>新增</t>
        </is>
      </c>
      <c r="M629" s="18">
        <f>IF(L629="新增",1,IF(L629="修改",0.8,IF(L629="删除",0.2,"")))</f>
        <v/>
      </c>
      <c r="N629" s="18">
        <f>I629*K629*M629</f>
        <v/>
      </c>
    </row>
    <row r="630" ht="19" customHeight="1" s="1">
      <c r="B630" s="16" t="n">
        <v>625</v>
      </c>
      <c r="C630" s="16" t="inlineStr">
        <is>
          <t>分布式计算规则及现场验证</t>
        </is>
      </c>
      <c r="D630" s="16" t="inlineStr">
        <is>
          <t>数据存储服务</t>
        </is>
      </c>
      <c r="E630" s="16" t="inlineStr">
        <is>
          <t>信创数据库</t>
        </is>
      </c>
      <c r="F630" s="16" t="inlineStr">
        <is>
          <t>元数据存储</t>
        </is>
      </c>
      <c r="G630" s="17" t="inlineStr">
        <is>
          <t xml:space="preserve"> 提供物模型定义信创数据库关系数据库存储服务</t>
        </is>
      </c>
      <c r="H630" s="18" t="inlineStr">
        <is>
          <t>EI</t>
        </is>
      </c>
      <c r="I630" s="18">
        <f>IF(H630="ILF",10,IF(H630="EIF",7,IF(H630="EI",4,IF(H630="EO",5,IF(H630="EQ",4,"")))))</f>
        <v/>
      </c>
      <c r="J630" s="18" t="inlineStr">
        <is>
          <t>低</t>
        </is>
      </c>
      <c r="K630" s="18">
        <f>IF(J630="高",0.33,IF(J630="中",0.67,IF(J630="低",1,"")))</f>
        <v/>
      </c>
      <c r="L630" s="18" t="inlineStr">
        <is>
          <t>新增</t>
        </is>
      </c>
      <c r="M630" s="18">
        <f>IF(L630="新增",1,IF(L630="修改",0.8,IF(L630="删除",0.2,"")))</f>
        <v/>
      </c>
      <c r="N630" s="18">
        <f>I630*K630*M630</f>
        <v/>
      </c>
    </row>
    <row r="631" ht="19" customHeight="1" s="1">
      <c r="B631" s="16" t="n">
        <v>626</v>
      </c>
      <c r="C631" s="16" t="inlineStr">
        <is>
          <t>分布式计算规则及现场验证</t>
        </is>
      </c>
      <c r="D631" s="16" t="inlineStr">
        <is>
          <t>数据存储服务</t>
        </is>
      </c>
      <c r="E631" s="16" t="inlineStr">
        <is>
          <t>信创数据库</t>
        </is>
      </c>
      <c r="F631" s="16" t="inlineStr">
        <is>
          <t>档案存储</t>
        </is>
      </c>
      <c r="G631" s="17" t="inlineStr">
        <is>
          <t xml:space="preserve"> 提供设备档案和人员架构信创数据库存储服务</t>
        </is>
      </c>
      <c r="H631" s="18" t="inlineStr">
        <is>
          <t>EI</t>
        </is>
      </c>
      <c r="I631" s="18">
        <f>IF(H631="ILF",10,IF(H631="EIF",7,IF(H631="EI",4,IF(H631="EO",5,IF(H631="EQ",4,"")))))</f>
        <v/>
      </c>
      <c r="J631" s="18" t="inlineStr">
        <is>
          <t>低</t>
        </is>
      </c>
      <c r="K631" s="18">
        <f>IF(J631="高",0.33,IF(J631="中",0.67,IF(J631="低",1,"")))</f>
        <v/>
      </c>
      <c r="L631" s="18" t="inlineStr">
        <is>
          <t>新增</t>
        </is>
      </c>
      <c r="M631" s="18">
        <f>IF(L631="新增",1,IF(L631="修改",0.8,IF(L631="删除",0.2,"")))</f>
        <v/>
      </c>
      <c r="N631" s="18">
        <f>I631*K631*M631</f>
        <v/>
      </c>
    </row>
    <row r="632" ht="19" customHeight="1" s="1">
      <c r="B632" s="16" t="n">
        <v>627</v>
      </c>
      <c r="C632" s="16" t="inlineStr">
        <is>
          <t>分布式计算规则及现场验证</t>
        </is>
      </c>
      <c r="D632" s="16" t="inlineStr">
        <is>
          <t>数据存储服务</t>
        </is>
      </c>
      <c r="E632" s="16" t="inlineStr">
        <is>
          <t>信创数据库</t>
        </is>
      </c>
      <c r="F632" s="16" t="inlineStr">
        <is>
          <t>规则存储</t>
        </is>
      </c>
      <c r="G632" s="17" t="inlineStr">
        <is>
          <t xml:space="preserve"> 提供告警规则和采集规则信创数据库存储服务</t>
        </is>
      </c>
      <c r="H632" s="18" t="inlineStr">
        <is>
          <t>EI</t>
        </is>
      </c>
      <c r="I632" s="18">
        <f>IF(H632="ILF",10,IF(H632="EIF",7,IF(H632="EI",4,IF(H632="EO",5,IF(H632="EQ",4,"")))))</f>
        <v/>
      </c>
      <c r="J632" s="18" t="inlineStr">
        <is>
          <t>低</t>
        </is>
      </c>
      <c r="K632" s="18">
        <f>IF(J632="高",0.33,IF(J632="中",0.67,IF(J632="低",1,"")))</f>
        <v/>
      </c>
      <c r="L632" s="18" t="inlineStr">
        <is>
          <t>新增</t>
        </is>
      </c>
      <c r="M632" s="18">
        <f>IF(L632="新增",1,IF(L632="修改",0.8,IF(L632="删除",0.2,"")))</f>
        <v/>
      </c>
      <c r="N632" s="18">
        <f>I632*K632*M632</f>
        <v/>
      </c>
    </row>
    <row r="633" ht="19" customHeight="1" s="1">
      <c r="B633" s="16" t="n">
        <v>628</v>
      </c>
      <c r="C633" s="16" t="inlineStr">
        <is>
          <t>分布式计算规则及现场验证</t>
        </is>
      </c>
      <c r="D633" s="16" t="inlineStr">
        <is>
          <t>数据存储服务</t>
        </is>
      </c>
      <c r="E633" s="16" t="inlineStr">
        <is>
          <t>信创数据库</t>
        </is>
      </c>
      <c r="F633" s="16" t="inlineStr">
        <is>
          <t>架构存储</t>
        </is>
      </c>
      <c r="G633" s="17" t="inlineStr">
        <is>
          <t xml:space="preserve"> 提供组织架构信创数据库存储服务</t>
        </is>
      </c>
      <c r="H633" s="18" t="inlineStr">
        <is>
          <t>EI</t>
        </is>
      </c>
      <c r="I633" s="18">
        <f>IF(H633="ILF",10,IF(H633="EIF",7,IF(H633="EI",4,IF(H633="EO",5,IF(H633="EQ",4,"")))))</f>
        <v/>
      </c>
      <c r="J633" s="18" t="inlineStr">
        <is>
          <t>低</t>
        </is>
      </c>
      <c r="K633" s="18">
        <f>IF(J633="高",0.33,IF(J633="中",0.67,IF(J633="低",1,"")))</f>
        <v/>
      </c>
      <c r="L633" s="18" t="inlineStr">
        <is>
          <t>新增</t>
        </is>
      </c>
      <c r="M633" s="18">
        <f>IF(L633="新增",1,IF(L633="修改",0.8,IF(L633="删除",0.2,"")))</f>
        <v/>
      </c>
      <c r="N633" s="18">
        <f>I633*K633*M633</f>
        <v/>
      </c>
    </row>
    <row r="634" ht="19" customHeight="1" s="1">
      <c r="B634" s="16" t="n">
        <v>629</v>
      </c>
      <c r="C634" s="16" t="inlineStr">
        <is>
          <t>分布式计算规则及现场验证</t>
        </is>
      </c>
      <c r="D634" s="16" t="inlineStr">
        <is>
          <t>数据存储服务</t>
        </is>
      </c>
      <c r="E634" s="16" t="inlineStr">
        <is>
          <t>信创数据库</t>
        </is>
      </c>
      <c r="F634" s="16" t="inlineStr">
        <is>
          <t>变更存储</t>
        </is>
      </c>
      <c r="G634" s="17" t="inlineStr">
        <is>
          <t xml:space="preserve"> 提供配置变更历史记录信创数据库存储服务</t>
        </is>
      </c>
      <c r="H634" s="18" t="inlineStr">
        <is>
          <t>EI</t>
        </is>
      </c>
      <c r="I634" s="18">
        <f>IF(H634="ILF",10,IF(H634="EIF",7,IF(H634="EI",4,IF(H634="EO",5,IF(H634="EQ",4,"")))))</f>
        <v/>
      </c>
      <c r="J634" s="18" t="inlineStr">
        <is>
          <t>低</t>
        </is>
      </c>
      <c r="K634" s="18">
        <f>IF(J634="高",0.33,IF(J634="中",0.67,IF(J634="低",1,"")))</f>
        <v/>
      </c>
      <c r="L634" s="18" t="inlineStr">
        <is>
          <t>新增</t>
        </is>
      </c>
      <c r="M634" s="18">
        <f>IF(L634="新增",1,IF(L634="修改",0.8,IF(L634="删除",0.2,"")))</f>
        <v/>
      </c>
      <c r="N634" s="18">
        <f>I634*K634*M634</f>
        <v/>
      </c>
    </row>
    <row r="635" ht="19" customHeight="1" s="1">
      <c r="B635" s="16" t="n">
        <v>630</v>
      </c>
      <c r="C635" s="16" t="inlineStr">
        <is>
          <t>分布式计算规则及现场验证</t>
        </is>
      </c>
      <c r="D635" s="16" t="inlineStr">
        <is>
          <t>数据存储服务</t>
        </is>
      </c>
      <c r="E635" s="16" t="inlineStr">
        <is>
          <t>TDengine</t>
        </is>
      </c>
      <c r="F635" s="16" t="inlineStr">
        <is>
          <t>数据恢复</t>
        </is>
      </c>
      <c r="G635" s="17" t="inlineStr">
        <is>
          <t xml:space="preserve"> 提供TDengine数据灾难恢复服务</t>
        </is>
      </c>
      <c r="H635" s="18" t="inlineStr">
        <is>
          <t>EI</t>
        </is>
      </c>
      <c r="I635" s="18">
        <f>IF(H635="ILF",10,IF(H635="EIF",7,IF(H635="EI",4,IF(H635="EO",5,IF(H635="EQ",4,"")))))</f>
        <v/>
      </c>
      <c r="J635" s="18" t="inlineStr">
        <is>
          <t>低</t>
        </is>
      </c>
      <c r="K635" s="18">
        <f>IF(J635="高",0.33,IF(J635="中",0.67,IF(J635="低",1,"")))</f>
        <v/>
      </c>
      <c r="L635" s="18" t="inlineStr">
        <is>
          <t>新增</t>
        </is>
      </c>
      <c r="M635" s="18">
        <f>IF(L635="新增",1,IF(L635="修改",0.8,IF(L635="删除",0.2,"")))</f>
        <v/>
      </c>
      <c r="N635" s="18">
        <f>I635*K635*M635</f>
        <v/>
      </c>
    </row>
    <row r="636" ht="19" customHeight="1" s="1">
      <c r="B636" s="16" t="n">
        <v>631</v>
      </c>
      <c r="C636" s="16" t="inlineStr">
        <is>
          <t>分布式计算规则及现场验证</t>
        </is>
      </c>
      <c r="D636" s="16" t="inlineStr">
        <is>
          <t>数据存储服务</t>
        </is>
      </c>
      <c r="E636" s="16" t="inlineStr">
        <is>
          <t>TDengine</t>
        </is>
      </c>
      <c r="F636" s="16" t="inlineStr">
        <is>
          <t>节点监控</t>
        </is>
      </c>
      <c r="G636" s="17" t="inlineStr">
        <is>
          <t xml:space="preserve"> 提供TDengine节点运行状态监控服务</t>
        </is>
      </c>
      <c r="H636" s="18" t="inlineStr">
        <is>
          <t>EI</t>
        </is>
      </c>
      <c r="I636" s="18">
        <f>IF(H636="ILF",10,IF(H636="EIF",7,IF(H636="EI",4,IF(H636="EO",5,IF(H636="EQ",4,"")))))</f>
        <v/>
      </c>
      <c r="J636" s="18" t="inlineStr">
        <is>
          <t>低</t>
        </is>
      </c>
      <c r="K636" s="18">
        <f>IF(J636="高",0.33,IF(J636="中",0.67,IF(J636="低",1,"")))</f>
        <v/>
      </c>
      <c r="L636" s="18" t="inlineStr">
        <is>
          <t>新增</t>
        </is>
      </c>
      <c r="M636" s="18">
        <f>IF(L636="新增",1,IF(L636="修改",0.8,IF(L636="删除",0.2,"")))</f>
        <v/>
      </c>
      <c r="N636" s="18">
        <f>I636*K636*M636</f>
        <v/>
      </c>
    </row>
    <row r="637" ht="19" customHeight="1" s="1">
      <c r="B637" s="16" t="n">
        <v>632</v>
      </c>
      <c r="C637" s="16" t="inlineStr">
        <is>
          <t>分布式计算规则及现场验证</t>
        </is>
      </c>
      <c r="D637" s="16" t="inlineStr">
        <is>
          <t>数据存储服务</t>
        </is>
      </c>
      <c r="E637" s="16" t="inlineStr">
        <is>
          <t>信创数据库</t>
        </is>
      </c>
      <c r="F637" s="16" t="inlineStr">
        <is>
          <t>元数据存储</t>
        </is>
      </c>
      <c r="G637" s="17" t="inlineStr">
        <is>
          <t xml:space="preserve"> 提供物模型定义信创数据库关系数据库存储服务</t>
        </is>
      </c>
      <c r="H637" s="18" t="inlineStr">
        <is>
          <t>EI</t>
        </is>
      </c>
      <c r="I637" s="18">
        <f>IF(H637="ILF",10,IF(H637="EIF",7,IF(H637="EI",4,IF(H637="EO",5,IF(H637="EQ",4,"")))))</f>
        <v/>
      </c>
      <c r="J637" s="18" t="inlineStr">
        <is>
          <t>低</t>
        </is>
      </c>
      <c r="K637" s="18">
        <f>IF(J637="高",0.33,IF(J637="中",0.67,IF(J637="低",1,"")))</f>
        <v/>
      </c>
      <c r="L637" s="18" t="inlineStr">
        <is>
          <t>新增</t>
        </is>
      </c>
      <c r="M637" s="18">
        <f>IF(L637="新增",1,IF(L637="修改",0.8,IF(L637="删除",0.2,"")))</f>
        <v/>
      </c>
      <c r="N637" s="18">
        <f>I637*K637*M637</f>
        <v/>
      </c>
    </row>
    <row r="638" ht="19" customHeight="1" s="1">
      <c r="B638" s="16" t="n">
        <v>633</v>
      </c>
      <c r="C638" s="16" t="inlineStr">
        <is>
          <t>分布式计算规则及现场验证</t>
        </is>
      </c>
      <c r="D638" s="16" t="inlineStr">
        <is>
          <t>数据存储服务</t>
        </is>
      </c>
      <c r="E638" s="16" t="inlineStr">
        <is>
          <t>信创数据库</t>
        </is>
      </c>
      <c r="F638" s="16" t="inlineStr">
        <is>
          <t>档案存储</t>
        </is>
      </c>
      <c r="G638" s="17" t="inlineStr">
        <is>
          <t xml:space="preserve"> 提供设备档案和人员架构信创数据库存储服务</t>
        </is>
      </c>
      <c r="H638" s="18" t="inlineStr">
        <is>
          <t>EI</t>
        </is>
      </c>
      <c r="I638" s="18">
        <f>IF(H638="ILF",10,IF(H638="EIF",7,IF(H638="EI",4,IF(H638="EO",5,IF(H638="EQ",4,"")))))</f>
        <v/>
      </c>
      <c r="J638" s="18" t="inlineStr">
        <is>
          <t>低</t>
        </is>
      </c>
      <c r="K638" s="18">
        <f>IF(J638="高",0.33,IF(J638="中",0.67,IF(J638="低",1,"")))</f>
        <v/>
      </c>
      <c r="L638" s="18" t="inlineStr">
        <is>
          <t>新增</t>
        </is>
      </c>
      <c r="M638" s="18">
        <f>IF(L638="新增",1,IF(L638="修改",0.8,IF(L638="删除",0.2,"")))</f>
        <v/>
      </c>
      <c r="N638" s="18">
        <f>I638*K638*M638</f>
        <v/>
      </c>
    </row>
    <row r="639" ht="19" customHeight="1" s="1">
      <c r="B639" s="16" t="n">
        <v>634</v>
      </c>
      <c r="C639" s="16" t="inlineStr">
        <is>
          <t>分布式计算规则及现场验证</t>
        </is>
      </c>
      <c r="D639" s="16" t="inlineStr">
        <is>
          <t>数据存储服务</t>
        </is>
      </c>
      <c r="E639" s="16" t="inlineStr">
        <is>
          <t>信创数据库</t>
        </is>
      </c>
      <c r="F639" s="16" t="inlineStr">
        <is>
          <t>规则存储</t>
        </is>
      </c>
      <c r="G639" s="17" t="inlineStr">
        <is>
          <t xml:space="preserve"> 提供告警规则和采集规则信创数据库存储服务</t>
        </is>
      </c>
      <c r="H639" s="18" t="inlineStr">
        <is>
          <t>EI</t>
        </is>
      </c>
      <c r="I639" s="18">
        <f>IF(H639="ILF",10,IF(H639="EIF",7,IF(H639="EI",4,IF(H639="EO",5,IF(H639="EQ",4,"")))))</f>
        <v/>
      </c>
      <c r="J639" s="18" t="inlineStr">
        <is>
          <t>低</t>
        </is>
      </c>
      <c r="K639" s="18">
        <f>IF(J639="高",0.33,IF(J639="中",0.67,IF(J639="低",1,"")))</f>
        <v/>
      </c>
      <c r="L639" s="18" t="inlineStr">
        <is>
          <t>新增</t>
        </is>
      </c>
      <c r="M639" s="18">
        <f>IF(L639="新增",1,IF(L639="修改",0.8,IF(L639="删除",0.2,"")))</f>
        <v/>
      </c>
      <c r="N639" s="18">
        <f>I639*K639*M639</f>
        <v/>
      </c>
    </row>
    <row r="640" ht="19" customHeight="1" s="1">
      <c r="B640" s="16" t="n">
        <v>635</v>
      </c>
      <c r="C640" s="16" t="inlineStr">
        <is>
          <t>分布式计算规则及现场验证</t>
        </is>
      </c>
      <c r="D640" s="16" t="inlineStr">
        <is>
          <t>数据存储服务</t>
        </is>
      </c>
      <c r="E640" s="16" t="inlineStr">
        <is>
          <t>信创数据库</t>
        </is>
      </c>
      <c r="F640" s="16" t="inlineStr">
        <is>
          <t>架构存储</t>
        </is>
      </c>
      <c r="G640" s="17" t="inlineStr">
        <is>
          <t xml:space="preserve"> 提供组织架构信创数据库存储服务</t>
        </is>
      </c>
      <c r="H640" s="18" t="inlineStr">
        <is>
          <t>EI</t>
        </is>
      </c>
      <c r="I640" s="18">
        <f>IF(H640="ILF",10,IF(H640="EIF",7,IF(H640="EI",4,IF(H640="EO",5,IF(H640="EQ",4,"")))))</f>
        <v/>
      </c>
      <c r="J640" s="18" t="inlineStr">
        <is>
          <t>低</t>
        </is>
      </c>
      <c r="K640" s="18">
        <f>IF(J640="高",0.33,IF(J640="中",0.67,IF(J640="低",1,"")))</f>
        <v/>
      </c>
      <c r="L640" s="18" t="inlineStr">
        <is>
          <t>新增</t>
        </is>
      </c>
      <c r="M640" s="18">
        <f>IF(L640="新增",1,IF(L640="修改",0.8,IF(L640="删除",0.2,"")))</f>
        <v/>
      </c>
      <c r="N640" s="18">
        <f>I640*K640*M640</f>
        <v/>
      </c>
    </row>
    <row r="641" ht="19" customHeight="1" s="1">
      <c r="B641" s="16" t="n">
        <v>636</v>
      </c>
      <c r="C641" s="16" t="inlineStr">
        <is>
          <t>分布式计算规则及现场验证</t>
        </is>
      </c>
      <c r="D641" s="16" t="inlineStr">
        <is>
          <t>数据存储服务</t>
        </is>
      </c>
      <c r="E641" s="16" t="inlineStr">
        <is>
          <t>信创数据库</t>
        </is>
      </c>
      <c r="F641" s="16" t="inlineStr">
        <is>
          <t>变更存储</t>
        </is>
      </c>
      <c r="G641" s="17" t="inlineStr">
        <is>
          <t xml:space="preserve"> 提供配置变更历史记录信创数据库存储服务</t>
        </is>
      </c>
      <c r="H641" s="18" t="inlineStr">
        <is>
          <t>EI</t>
        </is>
      </c>
      <c r="I641" s="18">
        <f>IF(H641="ILF",10,IF(H641="EIF",7,IF(H641="EI",4,IF(H641="EO",5,IF(H641="EQ",4,"")))))</f>
        <v/>
      </c>
      <c r="J641" s="18" t="inlineStr">
        <is>
          <t>低</t>
        </is>
      </c>
      <c r="K641" s="18">
        <f>IF(J641="高",0.33,IF(J641="中",0.67,IF(J641="低",1,"")))</f>
        <v/>
      </c>
      <c r="L641" s="18" t="inlineStr">
        <is>
          <t>新增</t>
        </is>
      </c>
      <c r="M641" s="18">
        <f>IF(L641="新增",1,IF(L641="修改",0.8,IF(L641="删除",0.2,"")))</f>
        <v/>
      </c>
      <c r="N641" s="18">
        <f>I641*K641*M641</f>
        <v/>
      </c>
    </row>
    <row r="642" ht="19" customHeight="1" s="1">
      <c r="B642" s="16" t="n">
        <v>637</v>
      </c>
      <c r="C642" s="16" t="inlineStr">
        <is>
          <t>分布式计算规则及现场验证</t>
        </is>
      </c>
      <c r="D642" s="16" t="inlineStr">
        <is>
          <t>数据存储服务</t>
        </is>
      </c>
      <c r="E642" s="16" t="inlineStr">
        <is>
          <t>信创数据库</t>
        </is>
      </c>
      <c r="F642" s="16" t="inlineStr">
        <is>
          <t>日志存储</t>
        </is>
      </c>
      <c r="G642" s="17" t="inlineStr">
        <is>
          <t xml:space="preserve"> 提供操作审计日志信创数据库存储服务</t>
        </is>
      </c>
      <c r="H642" s="18" t="inlineStr">
        <is>
          <t>EI</t>
        </is>
      </c>
      <c r="I642" s="18">
        <f>IF(H642="ILF",10,IF(H642="EIF",7,IF(H642="EI",4,IF(H642="EO",5,IF(H642="EQ",4,"")))))</f>
        <v/>
      </c>
      <c r="J642" s="18" t="inlineStr">
        <is>
          <t>低</t>
        </is>
      </c>
      <c r="K642" s="18">
        <f>IF(J642="高",0.33,IF(J642="中",0.67,IF(J642="低",1,"")))</f>
        <v/>
      </c>
      <c r="L642" s="18" t="inlineStr">
        <is>
          <t>新增</t>
        </is>
      </c>
      <c r="M642" s="18">
        <f>IF(L642="新增",1,IF(L642="修改",0.8,IF(L642="删除",0.2,"")))</f>
        <v/>
      </c>
      <c r="N642" s="18">
        <f>I642*K642*M642</f>
        <v/>
      </c>
    </row>
    <row r="643" ht="19" customHeight="1" s="1">
      <c r="B643" s="16" t="n">
        <v>638</v>
      </c>
      <c r="C643" s="16" t="inlineStr">
        <is>
          <t>分布式计算规则及现场验证</t>
        </is>
      </c>
      <c r="D643" s="16" t="inlineStr">
        <is>
          <t>数据存储服务</t>
        </is>
      </c>
      <c r="E643" s="16" t="inlineStr">
        <is>
          <t>信创数据库</t>
        </is>
      </c>
      <c r="F643" s="16" t="inlineStr">
        <is>
          <t>性能监控</t>
        </is>
      </c>
      <c r="G643" s="17" t="inlineStr">
        <is>
          <t xml:space="preserve"> 提供达梦数据库查询性能监控服务</t>
        </is>
      </c>
      <c r="H643" s="18" t="inlineStr">
        <is>
          <t>EI</t>
        </is>
      </c>
      <c r="I643" s="18">
        <f>IF(H643="ILF",10,IF(H643="EIF",7,IF(H643="EI",4,IF(H643="EO",5,IF(H643="EQ",4,"")))))</f>
        <v/>
      </c>
      <c r="J643" s="18" t="inlineStr">
        <is>
          <t>低</t>
        </is>
      </c>
      <c r="K643" s="18">
        <f>IF(J643="高",0.33,IF(J643="中",0.67,IF(J643="低",1,"")))</f>
        <v/>
      </c>
      <c r="L643" s="18" t="inlineStr">
        <is>
          <t>新增</t>
        </is>
      </c>
      <c r="M643" s="18">
        <f>IF(L643="新增",1,IF(L643="修改",0.8,IF(L643="删除",0.2,"")))</f>
        <v/>
      </c>
      <c r="N643" s="18">
        <f>I643*K643*M643</f>
        <v/>
      </c>
    </row>
    <row r="644" ht="19" customHeight="1" s="1">
      <c r="B644" s="16" t="n">
        <v>639</v>
      </c>
      <c r="C644" s="16" t="inlineStr">
        <is>
          <t>分布式计算规则及现场验证</t>
        </is>
      </c>
      <c r="D644" s="16" t="inlineStr">
        <is>
          <t>数据存储服务</t>
        </is>
      </c>
      <c r="E644" s="16" t="inlineStr">
        <is>
          <t>冷热分层</t>
        </is>
      </c>
      <c r="F644" s="16" t="inlineStr">
        <is>
          <t>SSD热数据</t>
        </is>
      </c>
      <c r="G644" s="17" t="inlineStr">
        <is>
          <t xml:space="preserve"> 提供0-30天热数据高性能SSD存储服务</t>
        </is>
      </c>
      <c r="H644" s="18" t="inlineStr">
        <is>
          <t>EI</t>
        </is>
      </c>
      <c r="I644" s="18">
        <f>IF(H644="ILF",10,IF(H644="EIF",7,IF(H644="EI",4,IF(H644="EO",5,IF(H644="EQ",4,"")))))</f>
        <v/>
      </c>
      <c r="J644" s="18" t="inlineStr">
        <is>
          <t>低</t>
        </is>
      </c>
      <c r="K644" s="18">
        <f>IF(J644="高",0.33,IF(J644="中",0.67,IF(J644="低",1,"")))</f>
        <v/>
      </c>
      <c r="L644" s="18" t="inlineStr">
        <is>
          <t>新增</t>
        </is>
      </c>
      <c r="M644" s="18">
        <f>IF(L644="新增",1,IF(L644="修改",0.8,IF(L644="删除",0.2,"")))</f>
        <v/>
      </c>
      <c r="N644" s="18">
        <f>I644*K644*M644</f>
        <v/>
      </c>
    </row>
    <row r="645" ht="19" customHeight="1" s="1">
      <c r="B645" s="16" t="n">
        <v>640</v>
      </c>
      <c r="C645" s="16" t="inlineStr">
        <is>
          <t>分布式计算规则及现场验证</t>
        </is>
      </c>
      <c r="D645" s="16" t="inlineStr">
        <is>
          <t>数据存储服务</t>
        </is>
      </c>
      <c r="E645" s="16" t="inlineStr">
        <is>
          <t>冷热分层</t>
        </is>
      </c>
      <c r="F645" s="16" t="inlineStr">
        <is>
          <t>HDD温数据</t>
        </is>
      </c>
      <c r="G645" s="17" t="inlineStr">
        <is>
          <t xml:space="preserve"> 提供31天-1年温数据大容量HDD存储服务</t>
        </is>
      </c>
      <c r="H645" s="18" t="inlineStr">
        <is>
          <t>EI</t>
        </is>
      </c>
      <c r="I645" s="18">
        <f>IF(H645="ILF",10,IF(H645="EIF",7,IF(H645="EI",4,IF(H645="EO",5,IF(H645="EQ",4,"")))))</f>
        <v/>
      </c>
      <c r="J645" s="18" t="inlineStr">
        <is>
          <t>中</t>
        </is>
      </c>
      <c r="K645" s="18">
        <f>IF(J645="高",0.33,IF(J645="中",0.67,IF(J645="低",1,"")))</f>
        <v/>
      </c>
      <c r="L645" s="18" t="inlineStr">
        <is>
          <t>新增</t>
        </is>
      </c>
      <c r="M645" s="18">
        <f>IF(L645="新增",1,IF(L645="修改",0.8,IF(L645="删除",0.2,"")))</f>
        <v/>
      </c>
      <c r="N645" s="18">
        <f>I645*K645*M645</f>
        <v/>
      </c>
    </row>
    <row r="646" ht="19" customHeight="1" s="1">
      <c r="B646" s="16" t="n">
        <v>641</v>
      </c>
      <c r="C646" s="16" t="inlineStr">
        <is>
          <t>分布式计算规则及现场验证</t>
        </is>
      </c>
      <c r="D646" s="16" t="inlineStr">
        <is>
          <t>数据存储服务</t>
        </is>
      </c>
      <c r="E646" s="16" t="inlineStr">
        <is>
          <t>冷热分层</t>
        </is>
      </c>
      <c r="F646" s="16" t="inlineStr">
        <is>
          <t>归档冷数据</t>
        </is>
      </c>
      <c r="G646" s="17" t="inlineStr">
        <is>
          <t xml:space="preserve"> 提供1-2年冷数据低成本归档存储服务</t>
        </is>
      </c>
      <c r="H646" s="18" t="inlineStr">
        <is>
          <t>EI</t>
        </is>
      </c>
      <c r="I646" s="18">
        <f>IF(H646="ILF",10,IF(H646="EIF",7,IF(H646="EI",4,IF(H646="EO",5,IF(H646="EQ",4,"")))))</f>
        <v/>
      </c>
      <c r="J646" s="18" t="inlineStr">
        <is>
          <t>中</t>
        </is>
      </c>
      <c r="K646" s="18">
        <f>IF(J646="高",0.33,IF(J646="中",0.67,IF(J646="低",1,"")))</f>
        <v/>
      </c>
      <c r="L646" s="18" t="inlineStr">
        <is>
          <t>新增</t>
        </is>
      </c>
      <c r="M646" s="18">
        <f>IF(L646="新增",1,IF(L646="修改",0.8,IF(L646="删除",0.2,"")))</f>
        <v/>
      </c>
      <c r="N646" s="18">
        <f>I646*K646*M646</f>
        <v/>
      </c>
    </row>
    <row r="647" ht="19" customHeight="1" s="1">
      <c r="B647" s="16" t="n">
        <v>642</v>
      </c>
      <c r="C647" s="16" t="inlineStr">
        <is>
          <t>分布式计算规则及现场验证</t>
        </is>
      </c>
      <c r="D647" s="16" t="inlineStr">
        <is>
          <t>数据存储服务</t>
        </is>
      </c>
      <c r="E647" s="16" t="inlineStr">
        <is>
          <t>冷热分层</t>
        </is>
      </c>
      <c r="F647" s="16" t="inlineStr">
        <is>
          <t>自动迁移</t>
        </is>
      </c>
      <c r="G647" s="17" t="inlineStr">
        <is>
          <t xml:space="preserve"> 提供数据到期后自动从SSD→HDD→归档迁移服务</t>
        </is>
      </c>
      <c r="H647" s="18" t="inlineStr">
        <is>
          <t>EI</t>
        </is>
      </c>
      <c r="I647" s="18">
        <f>IF(H647="ILF",10,IF(H647="EIF",7,IF(H647="EI",4,IF(H647="EO",5,IF(H647="EQ",4,"")))))</f>
        <v/>
      </c>
      <c r="J647" s="18" t="inlineStr">
        <is>
          <t>中</t>
        </is>
      </c>
      <c r="K647" s="18">
        <f>IF(J647="高",0.33,IF(J647="中",0.67,IF(J647="低",1,"")))</f>
        <v/>
      </c>
      <c r="L647" s="18" t="inlineStr">
        <is>
          <t>新增</t>
        </is>
      </c>
      <c r="M647" s="18">
        <f>IF(L647="新增",1,IF(L647="修改",0.8,IF(L647="删除",0.2,"")))</f>
        <v/>
      </c>
      <c r="N647" s="18">
        <f>I647*K647*M647</f>
        <v/>
      </c>
    </row>
    <row r="648" ht="19" customHeight="1" s="1">
      <c r="B648" s="16" t="n">
        <v>643</v>
      </c>
      <c r="C648" s="16" t="inlineStr">
        <is>
          <t>分布式计算规则及现场验证</t>
        </is>
      </c>
      <c r="D648" s="16" t="inlineStr">
        <is>
          <t>数据存储服务</t>
        </is>
      </c>
      <c r="E648" s="16" t="inlineStr">
        <is>
          <t>冷热分层</t>
        </is>
      </c>
      <c r="F648" s="16" t="inlineStr">
        <is>
          <t>查询穿透</t>
        </is>
      </c>
      <c r="G648" s="17" t="inlineStr">
        <is>
          <t xml:space="preserve"> 提供上层查询自动探测数据所在层级服务</t>
        </is>
      </c>
      <c r="H648" s="18" t="inlineStr">
        <is>
          <t>EI</t>
        </is>
      </c>
      <c r="I648" s="18">
        <f>IF(H648="ILF",10,IF(H648="EIF",7,IF(H648="EI",4,IF(H648="EO",5,IF(H648="EQ",4,"")))))</f>
        <v/>
      </c>
      <c r="J648" s="18" t="inlineStr">
        <is>
          <t>中</t>
        </is>
      </c>
      <c r="K648" s="18">
        <f>IF(J648="高",0.33,IF(J648="中",0.67,IF(J648="低",1,"")))</f>
        <v/>
      </c>
      <c r="L648" s="18" t="inlineStr">
        <is>
          <t>新增</t>
        </is>
      </c>
      <c r="M648" s="18">
        <f>IF(L648="新增",1,IF(L648="修改",0.8,IF(L648="删除",0.2,"")))</f>
        <v/>
      </c>
      <c r="N648" s="18">
        <f>I648*K648*M648</f>
        <v/>
      </c>
    </row>
    <row r="649" ht="19" customHeight="1" s="1">
      <c r="B649" s="16" t="n">
        <v>644</v>
      </c>
      <c r="C649" s="16" t="inlineStr">
        <is>
          <t>分布式计算规则及现场验证</t>
        </is>
      </c>
      <c r="D649" s="16" t="inlineStr">
        <is>
          <t>数据存储服务</t>
        </is>
      </c>
      <c r="E649" s="16" t="inlineStr">
        <is>
          <t>冷热分层</t>
        </is>
      </c>
      <c r="F649" s="16" t="inlineStr">
        <is>
          <t>迁移策略</t>
        </is>
      </c>
      <c r="G649" s="17" t="inlineStr">
        <is>
          <t xml:space="preserve"> 提供数据分层条件参数配置服务</t>
        </is>
      </c>
      <c r="H649" s="18" t="inlineStr">
        <is>
          <t>EI</t>
        </is>
      </c>
      <c r="I649" s="18">
        <f>IF(H649="ILF",10,IF(H649="EIF",7,IF(H649="EI",4,IF(H649="EO",5,IF(H649="EQ",4,"")))))</f>
        <v/>
      </c>
      <c r="J649" s="18" t="inlineStr">
        <is>
          <t>中</t>
        </is>
      </c>
      <c r="K649" s="18">
        <f>IF(J649="高",0.33,IF(J649="中",0.67,IF(J649="低",1,"")))</f>
        <v/>
      </c>
      <c r="L649" s="18" t="inlineStr">
        <is>
          <t>新增</t>
        </is>
      </c>
      <c r="M649" s="18">
        <f>IF(L649="新增",1,IF(L649="修改",0.8,IF(L649="删除",0.2,"")))</f>
        <v/>
      </c>
      <c r="N649" s="18">
        <f>I649*K649*M649</f>
        <v/>
      </c>
    </row>
    <row r="650" ht="19" customHeight="1" s="1">
      <c r="B650" s="16" t="n">
        <v>645</v>
      </c>
      <c r="C650" s="16" t="inlineStr">
        <is>
          <t>分布式计算规则及现场验证</t>
        </is>
      </c>
      <c r="D650" s="16" t="inlineStr">
        <is>
          <t>数据存储服务</t>
        </is>
      </c>
      <c r="E650" s="16" t="inlineStr">
        <is>
          <t>冷热分层</t>
        </is>
      </c>
      <c r="F650" s="16" t="inlineStr">
        <is>
          <t>迁移日志</t>
        </is>
      </c>
      <c r="G650" s="17" t="inlineStr">
        <is>
          <t xml:space="preserve"> 提供数据迁移操作日志记录服务</t>
        </is>
      </c>
      <c r="H650" s="18" t="inlineStr">
        <is>
          <t>EI</t>
        </is>
      </c>
      <c r="I650" s="18">
        <f>IF(H650="ILF",10,IF(H650="EIF",7,IF(H650="EI",4,IF(H650="EO",5,IF(H650="EQ",4,"")))))</f>
        <v/>
      </c>
      <c r="J650" s="18" t="inlineStr">
        <is>
          <t>中</t>
        </is>
      </c>
      <c r="K650" s="18">
        <f>IF(J650="高",0.33,IF(J650="中",0.67,IF(J650="低",1,"")))</f>
        <v/>
      </c>
      <c r="L650" s="18" t="inlineStr">
        <is>
          <t>新增</t>
        </is>
      </c>
      <c r="M650" s="18">
        <f>IF(L650="新增",1,IF(L650="修改",0.8,IF(L650="删除",0.2,"")))</f>
        <v/>
      </c>
      <c r="N650" s="18">
        <f>I650*K650*M650</f>
        <v/>
      </c>
    </row>
    <row r="651" ht="19" customHeight="1" s="1">
      <c r="B651" s="16" t="n">
        <v>646</v>
      </c>
      <c r="C651" s="16" t="inlineStr">
        <is>
          <t>分布式计算规则及现场验证</t>
        </is>
      </c>
      <c r="D651" s="16" t="inlineStr">
        <is>
          <t>数据存储服务</t>
        </is>
      </c>
      <c r="E651" s="16" t="inlineStr">
        <is>
          <t>冷热分层</t>
        </is>
      </c>
      <c r="F651" s="16" t="inlineStr">
        <is>
          <t>空间监控</t>
        </is>
      </c>
      <c r="G651" s="17" t="inlineStr">
        <is>
          <t xml:space="preserve"> 提供各类存储介质空间使用率监控服务</t>
        </is>
      </c>
      <c r="H651" s="18" t="inlineStr">
        <is>
          <t>EI</t>
        </is>
      </c>
      <c r="I651" s="18">
        <f>IF(H651="ILF",10,IF(H651="EIF",7,IF(H651="EI",4,IF(H651="EO",5,IF(H651="EQ",4,"")))))</f>
        <v/>
      </c>
      <c r="J651" s="18" t="inlineStr">
        <is>
          <t>中</t>
        </is>
      </c>
      <c r="K651" s="18">
        <f>IF(J651="高",0.33,IF(J651="中",0.67,IF(J651="低",1,"")))</f>
        <v/>
      </c>
      <c r="L651" s="18" t="inlineStr">
        <is>
          <t>新增</t>
        </is>
      </c>
      <c r="M651" s="18">
        <f>IF(L651="新增",1,IF(L651="修改",0.8,IF(L651="删除",0.2,"")))</f>
        <v/>
      </c>
      <c r="N651" s="18">
        <f>I651*K651*M651</f>
        <v/>
      </c>
    </row>
    <row r="652" ht="19" customHeight="1" s="1">
      <c r="B652" s="16" t="n">
        <v>647</v>
      </c>
      <c r="C652" s="16" t="inlineStr">
        <is>
          <t>分布式计算规则及现场验证</t>
        </is>
      </c>
      <c r="D652" s="16" t="inlineStr">
        <is>
          <t>数据存储服务</t>
        </is>
      </c>
      <c r="E652" s="16" t="inlineStr">
        <is>
          <t>冷热分层</t>
        </is>
      </c>
      <c r="F652" s="16" t="inlineStr">
        <is>
          <t>冷压缩</t>
        </is>
      </c>
      <c r="G652" s="17" t="inlineStr">
        <is>
          <t xml:space="preserve"> 提供归档冷数据二次压缩服务</t>
        </is>
      </c>
      <c r="H652" s="18" t="inlineStr">
        <is>
          <t>EI</t>
        </is>
      </c>
      <c r="I652" s="18">
        <f>IF(H652="ILF",10,IF(H652="EIF",7,IF(H652="EI",4,IF(H652="EO",5,IF(H652="EQ",4,"")))))</f>
        <v/>
      </c>
      <c r="J652" s="18" t="inlineStr">
        <is>
          <t>中</t>
        </is>
      </c>
      <c r="K652" s="18">
        <f>IF(J652="高",0.33,IF(J652="中",0.67,IF(J652="低",1,"")))</f>
        <v/>
      </c>
      <c r="L652" s="18" t="inlineStr">
        <is>
          <t>新增</t>
        </is>
      </c>
      <c r="M652" s="18">
        <f>IF(L652="新增",1,IF(L652="修改",0.8,IF(L652="删除",0.2,"")))</f>
        <v/>
      </c>
      <c r="N652" s="18">
        <f>I652*K652*M652</f>
        <v/>
      </c>
    </row>
    <row r="653" ht="19" customHeight="1" s="1">
      <c r="B653" s="16" t="n">
        <v>648</v>
      </c>
      <c r="C653" s="16" t="inlineStr">
        <is>
          <t>分布式计算规则及现场验证</t>
        </is>
      </c>
      <c r="D653" s="16" t="inlineStr">
        <is>
          <t>数据存储服务</t>
        </is>
      </c>
      <c r="E653" s="16" t="inlineStr">
        <is>
          <t>冷热分层</t>
        </is>
      </c>
      <c r="F653" s="16" t="inlineStr">
        <is>
          <t>成本统计</t>
        </is>
      </c>
      <c r="G653" s="17" t="inlineStr">
        <is>
          <t xml:space="preserve"> 提供各存储层成本统计分析服务</t>
        </is>
      </c>
      <c r="H653" s="18" t="inlineStr">
        <is>
          <t>EI</t>
        </is>
      </c>
      <c r="I653" s="18">
        <f>IF(H653="ILF",10,IF(H653="EIF",7,IF(H653="EI",4,IF(H653="EO",5,IF(H653="EQ",4,"")))))</f>
        <v/>
      </c>
      <c r="J653" s="18" t="inlineStr">
        <is>
          <t>中</t>
        </is>
      </c>
      <c r="K653" s="18">
        <f>IF(J653="高",0.33,IF(J653="中",0.67,IF(J653="低",1,"")))</f>
        <v/>
      </c>
      <c r="L653" s="18" t="inlineStr">
        <is>
          <t>新增</t>
        </is>
      </c>
      <c r="M653" s="18">
        <f>IF(L653="新增",1,IF(L653="修改",0.8,IF(L653="删除",0.2,"")))</f>
        <v/>
      </c>
      <c r="N653" s="18">
        <f>I653*K653*M653</f>
        <v/>
      </c>
    </row>
    <row r="654" ht="19" customHeight="1" s="1">
      <c r="B654" s="16" t="n">
        <v>649</v>
      </c>
      <c r="C654" s="16" t="inlineStr">
        <is>
          <t>分布式计算规则及现场验证</t>
        </is>
      </c>
      <c r="D654" s="16" t="inlineStr">
        <is>
          <t>数据开放服务</t>
        </is>
      </c>
      <c r="E654" s="16" t="inlineStr">
        <is>
          <t>接口</t>
        </is>
      </c>
      <c r="F654" s="16" t="inlineStr">
        <is>
          <t>实时查询</t>
        </is>
      </c>
      <c r="G654" s="17" t="inlineStr">
        <is>
          <t xml:space="preserve"> 提供实时数据REST API查询接口服务</t>
        </is>
      </c>
      <c r="H654" s="18" t="inlineStr">
        <is>
          <t>EI</t>
        </is>
      </c>
      <c r="I654" s="18">
        <f>IF(H654="ILF",10,IF(H654="EIF",7,IF(H654="EI",4,IF(H654="EO",5,IF(H654="EQ",4,"")))))</f>
        <v/>
      </c>
      <c r="J654" s="18" t="inlineStr">
        <is>
          <t>中</t>
        </is>
      </c>
      <c r="K654" s="18">
        <f>IF(J654="高",0.33,IF(J654="中",0.67,IF(J654="低",1,"")))</f>
        <v/>
      </c>
      <c r="L654" s="18" t="inlineStr">
        <is>
          <t>新增</t>
        </is>
      </c>
      <c r="M654" s="18">
        <f>IF(L654="新增",1,IF(L654="修改",0.8,IF(L654="删除",0.2,"")))</f>
        <v/>
      </c>
      <c r="N654" s="18">
        <f>I654*K654*M654</f>
        <v/>
      </c>
    </row>
    <row r="655" ht="19" customHeight="1" s="1">
      <c r="B655" s="16" t="n">
        <v>650</v>
      </c>
      <c r="C655" s="16" t="inlineStr">
        <is>
          <t>分布式计算规则及现场验证</t>
        </is>
      </c>
      <c r="D655" s="16" t="inlineStr">
        <is>
          <t>数据开放服务</t>
        </is>
      </c>
      <c r="E655" s="16" t="inlineStr">
        <is>
          <t>接口</t>
        </is>
      </c>
      <c r="F655" s="16" t="inlineStr">
        <is>
          <t>历史查询</t>
        </is>
      </c>
      <c r="G655" s="17" t="inlineStr">
        <is>
          <t xml:space="preserve"> 提供支持时间范围/测点筛选的历史查询服务</t>
        </is>
      </c>
      <c r="H655" s="18" t="inlineStr">
        <is>
          <t>EI</t>
        </is>
      </c>
      <c r="I655" s="18">
        <f>IF(H655="ILF",10,IF(H655="EIF",7,IF(H655="EI",4,IF(H655="EO",5,IF(H655="EQ",4,"")))))</f>
        <v/>
      </c>
      <c r="J655" s="18" t="inlineStr">
        <is>
          <t>中</t>
        </is>
      </c>
      <c r="K655" s="18">
        <f>IF(J655="高",0.33,IF(J655="中",0.67,IF(J655="低",1,"")))</f>
        <v/>
      </c>
      <c r="L655" s="18" t="inlineStr">
        <is>
          <t>新增</t>
        </is>
      </c>
      <c r="M655" s="18">
        <f>IF(L655="新增",1,IF(L655="修改",0.8,IF(L655="删除",0.2,"")))</f>
        <v/>
      </c>
      <c r="N655" s="18">
        <f>I655*K655*M655</f>
        <v/>
      </c>
    </row>
    <row r="656" ht="19" customHeight="1" s="1">
      <c r="B656" s="16" t="n">
        <v>651</v>
      </c>
      <c r="C656" s="16" t="inlineStr">
        <is>
          <t>分布式计算规则及现场验证</t>
        </is>
      </c>
      <c r="D656" s="16" t="inlineStr">
        <is>
          <t>数据开放服务</t>
        </is>
      </c>
      <c r="E656" s="16" t="inlineStr">
        <is>
          <t>接口</t>
        </is>
      </c>
      <c r="F656" s="16" t="inlineStr">
        <is>
          <t>降采样查询</t>
        </is>
      </c>
      <c r="G656" s="17" t="inlineStr">
        <is>
          <t xml:space="preserve"> 提供支持时间降采样的历史查询服务</t>
        </is>
      </c>
      <c r="H656" s="18" t="inlineStr">
        <is>
          <t>EI</t>
        </is>
      </c>
      <c r="I656" s="18">
        <f>IF(H656="ILF",10,IF(H656="EIF",7,IF(H656="EI",4,IF(H656="EO",5,IF(H656="EQ",4,"")))))</f>
        <v/>
      </c>
      <c r="J656" s="18" t="inlineStr">
        <is>
          <t>中</t>
        </is>
      </c>
      <c r="K656" s="18">
        <f>IF(J656="高",0.33,IF(J656="中",0.67,IF(J656="低",1,"")))</f>
        <v/>
      </c>
      <c r="L656" s="18" t="inlineStr">
        <is>
          <t>新增</t>
        </is>
      </c>
      <c r="M656" s="18">
        <f>IF(L656="新增",1,IF(L656="修改",0.8,IF(L656="删除",0.2,"")))</f>
        <v/>
      </c>
      <c r="N656" s="18">
        <f>I656*K656*M656</f>
        <v/>
      </c>
    </row>
    <row r="657" ht="19" customHeight="1" s="1">
      <c r="B657" s="16" t="n">
        <v>652</v>
      </c>
      <c r="C657" s="16" t="inlineStr">
        <is>
          <t>分布式计算规则及现场验证</t>
        </is>
      </c>
      <c r="D657" s="16" t="inlineStr">
        <is>
          <t>数据开放服务</t>
        </is>
      </c>
      <c r="E657" s="16" t="inlineStr">
        <is>
          <t>接口</t>
        </is>
      </c>
      <c r="F657" s="16" t="inlineStr">
        <is>
          <t>物模型检索</t>
        </is>
      </c>
      <c r="G657" s="17" t="inlineStr">
        <is>
          <t xml:space="preserve"> 提供物模型定义REST检索接口服务</t>
        </is>
      </c>
      <c r="H657" s="18" t="inlineStr">
        <is>
          <t>EI</t>
        </is>
      </c>
      <c r="I657" s="18">
        <f>IF(H657="ILF",10,IF(H657="EIF",7,IF(H657="EI",4,IF(H657="EO",5,IF(H657="EQ",4,"")))))</f>
        <v/>
      </c>
      <c r="J657" s="18" t="inlineStr">
        <is>
          <t>中</t>
        </is>
      </c>
      <c r="K657" s="18">
        <f>IF(J657="高",0.33,IF(J657="中",0.67,IF(J657="低",1,"")))</f>
        <v/>
      </c>
      <c r="L657" s="18" t="inlineStr">
        <is>
          <t>新增</t>
        </is>
      </c>
      <c r="M657" s="18">
        <f>IF(L657="新增",1,IF(L657="修改",0.8,IF(L657="删除",0.2,"")))</f>
        <v/>
      </c>
      <c r="N657" s="18">
        <f>I657*K657*M657</f>
        <v/>
      </c>
    </row>
    <row r="658" ht="19" customHeight="1" s="1">
      <c r="B658" s="16" t="n">
        <v>653</v>
      </c>
      <c r="C658" s="16" t="inlineStr">
        <is>
          <t>分布式计算规则及现场验证</t>
        </is>
      </c>
      <c r="D658" s="16" t="inlineStr">
        <is>
          <t>数据开放服务</t>
        </is>
      </c>
      <c r="E658" s="16" t="inlineStr">
        <is>
          <t>接口</t>
        </is>
      </c>
      <c r="F658" s="16" t="inlineStr">
        <is>
          <t>档案检索</t>
        </is>
      </c>
      <c r="G658" s="17" t="inlineStr">
        <is>
          <t xml:space="preserve"> 提供设备档案REST检索接口服务</t>
        </is>
      </c>
      <c r="H658" s="18" t="inlineStr">
        <is>
          <t>EI</t>
        </is>
      </c>
      <c r="I658" s="18">
        <f>IF(H658="ILF",10,IF(H658="EIF",7,IF(H658="EI",4,IF(H658="EO",5,IF(H658="EQ",4,"")))))</f>
        <v/>
      </c>
      <c r="J658" s="18" t="inlineStr">
        <is>
          <t>中</t>
        </is>
      </c>
      <c r="K658" s="18">
        <f>IF(J658="高",0.33,IF(J658="中",0.67,IF(J658="低",1,"")))</f>
        <v/>
      </c>
      <c r="L658" s="18" t="inlineStr">
        <is>
          <t>新增</t>
        </is>
      </c>
      <c r="M658" s="18">
        <f>IF(L658="新增",1,IF(L658="修改",0.8,IF(L658="删除",0.2,"")))</f>
        <v/>
      </c>
      <c r="N658" s="18">
        <f>I658*K658*M658</f>
        <v/>
      </c>
    </row>
    <row r="659" ht="19" customHeight="1" s="1">
      <c r="B659" s="16" t="n">
        <v>654</v>
      </c>
      <c r="C659" s="16" t="inlineStr">
        <is>
          <t>分布式计算规则及现场验证</t>
        </is>
      </c>
      <c r="D659" s="16" t="inlineStr">
        <is>
          <t>数据开放服务</t>
        </is>
      </c>
      <c r="E659" s="16" t="inlineStr">
        <is>
          <t>接口</t>
        </is>
      </c>
      <c r="F659" s="16" t="inlineStr">
        <is>
          <t>架构检索</t>
        </is>
      </c>
      <c r="G659" s="17" t="inlineStr">
        <is>
          <t xml:space="preserve"> 提供组织架构REST检索接口服务</t>
        </is>
      </c>
      <c r="H659" s="18" t="inlineStr">
        <is>
          <t>EI</t>
        </is>
      </c>
      <c r="I659" s="18">
        <f>IF(H659="ILF",10,IF(H659="EIF",7,IF(H659="EI",4,IF(H659="EO",5,IF(H659="EQ",4,"")))))</f>
        <v/>
      </c>
      <c r="J659" s="18" t="inlineStr">
        <is>
          <t>中</t>
        </is>
      </c>
      <c r="K659" s="18">
        <f>IF(J659="高",0.33,IF(J659="中",0.67,IF(J659="低",1,"")))</f>
        <v/>
      </c>
      <c r="L659" s="18" t="inlineStr">
        <is>
          <t>新增</t>
        </is>
      </c>
      <c r="M659" s="18">
        <f>IF(L659="新增",1,IF(L659="修改",0.8,IF(L659="删除",0.2,"")))</f>
        <v/>
      </c>
      <c r="N659" s="18">
        <f>I659*K659*M659</f>
        <v/>
      </c>
    </row>
    <row r="660" ht="19" customHeight="1" s="1">
      <c r="B660" s="16" t="n">
        <v>655</v>
      </c>
      <c r="C660" s="16" t="inlineStr">
        <is>
          <t>分布式计算规则及现场验证</t>
        </is>
      </c>
      <c r="D660" s="16" t="inlineStr">
        <is>
          <t>数据开放服务</t>
        </is>
      </c>
      <c r="E660" s="16" t="inlineStr">
        <is>
          <t>接口</t>
        </is>
      </c>
      <c r="F660" s="16" t="inlineStr">
        <is>
          <t>API文档</t>
        </is>
      </c>
      <c r="G660" s="17" t="inlineStr">
        <is>
          <t xml:space="preserve"> 提供OpenAPI标准接口文档维护服务</t>
        </is>
      </c>
      <c r="H660" s="18" t="inlineStr">
        <is>
          <t>EI</t>
        </is>
      </c>
      <c r="I660" s="18">
        <f>IF(H660="ILF",10,IF(H660="EIF",7,IF(H660="EI",4,IF(H660="EO",5,IF(H660="EQ",4,"")))))</f>
        <v/>
      </c>
      <c r="J660" s="18" t="inlineStr">
        <is>
          <t>中</t>
        </is>
      </c>
      <c r="K660" s="18">
        <f>IF(J660="高",0.33,IF(J660="中",0.67,IF(J660="低",1,"")))</f>
        <v/>
      </c>
      <c r="L660" s="18" t="inlineStr">
        <is>
          <t>新增</t>
        </is>
      </c>
      <c r="M660" s="18">
        <f>IF(L660="新增",1,IF(L660="修改",0.8,IF(L660="删除",0.2,"")))</f>
        <v/>
      </c>
      <c r="N660" s="18">
        <f>I660*K660*M660</f>
        <v/>
      </c>
    </row>
    <row r="661" ht="19" customHeight="1" s="1">
      <c r="B661" s="16" t="n">
        <v>656</v>
      </c>
      <c r="C661" s="16" t="inlineStr">
        <is>
          <t>分布式计算规则及现场验证</t>
        </is>
      </c>
      <c r="D661" s="16" t="inlineStr">
        <is>
          <t>数据开放服务</t>
        </is>
      </c>
      <c r="E661" s="16" t="inlineStr">
        <is>
          <t>接口</t>
        </is>
      </c>
      <c r="F661" s="16" t="inlineStr">
        <is>
          <t>MQTT订阅</t>
        </is>
      </c>
      <c r="G661" s="17" t="inlineStr">
        <is>
          <t xml:space="preserve"> 提供TDengine数据订阅和MQTT推送服务</t>
        </is>
      </c>
      <c r="H661" s="18" t="inlineStr">
        <is>
          <t>EI</t>
        </is>
      </c>
      <c r="I661" s="18">
        <f>IF(H661="ILF",10,IF(H661="EIF",7,IF(H661="EI",4,IF(H661="EO",5,IF(H661="EQ",4,"")))))</f>
        <v/>
      </c>
      <c r="J661" s="18" t="inlineStr">
        <is>
          <t>中</t>
        </is>
      </c>
      <c r="K661" s="18">
        <f>IF(J661="高",0.33,IF(J661="中",0.67,IF(J661="低",1,"")))</f>
        <v/>
      </c>
      <c r="L661" s="18" t="inlineStr">
        <is>
          <t>新增</t>
        </is>
      </c>
      <c r="M661" s="18">
        <f>IF(L661="新增",1,IF(L661="修改",0.8,IF(L661="删除",0.2,"")))</f>
        <v/>
      </c>
      <c r="N661" s="18">
        <f>I661*K661*M661</f>
        <v/>
      </c>
    </row>
    <row r="662" ht="19" customHeight="1" s="1">
      <c r="B662" s="16" t="n">
        <v>657</v>
      </c>
      <c r="C662" s="16" t="inlineStr">
        <is>
          <t>分布式计算规则及现场验证</t>
        </is>
      </c>
      <c r="D662" s="16" t="inlineStr">
        <is>
          <t>数据开放服务</t>
        </is>
      </c>
      <c r="E662" s="16" t="inlineStr">
        <is>
          <t>接口</t>
        </is>
      </c>
      <c r="F662" s="16" t="inlineStr">
        <is>
          <t>MQTT告警</t>
        </is>
      </c>
      <c r="G662" s="17" t="inlineStr">
        <is>
          <t xml:space="preserve"> 提供告警触发时MQTT主题推送事件服务</t>
        </is>
      </c>
      <c r="H662" s="18" t="inlineStr">
        <is>
          <t>EI</t>
        </is>
      </c>
      <c r="I662" s="18">
        <f>IF(H662="ILF",10,IF(H662="EIF",7,IF(H662="EI",4,IF(H662="EO",5,IF(H662="EQ",4,"")))))</f>
        <v/>
      </c>
      <c r="J662" s="18" t="inlineStr">
        <is>
          <t>中</t>
        </is>
      </c>
      <c r="K662" s="18">
        <f>IF(J662="高",0.33,IF(J662="中",0.67,IF(J662="低",1,"")))</f>
        <v/>
      </c>
      <c r="L662" s="18" t="inlineStr">
        <is>
          <t>新增</t>
        </is>
      </c>
      <c r="M662" s="18">
        <f>IF(L662="新增",1,IF(L662="修改",0.8,IF(L662="删除",0.2,"")))</f>
        <v/>
      </c>
      <c r="N662" s="18">
        <f>I662*K662*M662</f>
        <v/>
      </c>
    </row>
    <row r="663" ht="19" customHeight="1" s="1">
      <c r="B663" s="16" t="n">
        <v>658</v>
      </c>
      <c r="C663" s="16" t="inlineStr">
        <is>
          <t>分布式计算规则及现场验证</t>
        </is>
      </c>
      <c r="D663" s="16" t="inlineStr">
        <is>
          <t>数据开放服务</t>
        </is>
      </c>
      <c r="E663" s="16" t="inlineStr">
        <is>
          <t>接口</t>
        </is>
      </c>
      <c r="F663" s="16" t="inlineStr">
        <is>
          <t>MQTT工单</t>
        </is>
      </c>
      <c r="G663" s="17" t="inlineStr">
        <is>
          <t xml:space="preserve"> 提供工单状态MQTT同步服务</t>
        </is>
      </c>
      <c r="H663" s="18" t="inlineStr">
        <is>
          <t>EI</t>
        </is>
      </c>
      <c r="I663" s="18">
        <f>IF(H663="ILF",10,IF(H663="EIF",7,IF(H663="EI",4,IF(H663="EO",5,IF(H663="EQ",4,"")))))</f>
        <v/>
      </c>
      <c r="J663" s="18" t="inlineStr">
        <is>
          <t>中</t>
        </is>
      </c>
      <c r="K663" s="18">
        <f>IF(J663="高",0.33,IF(J663="中",0.67,IF(J663="低",1,"")))</f>
        <v/>
      </c>
      <c r="L663" s="18" t="inlineStr">
        <is>
          <t>新增</t>
        </is>
      </c>
      <c r="M663" s="18">
        <f>IF(L663="新增",1,IF(L663="修改",0.8,IF(L663="删除",0.2,"")))</f>
        <v/>
      </c>
      <c r="N663" s="18">
        <f>I663*K663*M663</f>
        <v/>
      </c>
    </row>
    <row r="664" ht="19" customHeight="1" s="1">
      <c r="B664" s="16" t="n">
        <v>659</v>
      </c>
      <c r="C664" s="16" t="inlineStr">
        <is>
          <t>分布式计算规则及现场验证</t>
        </is>
      </c>
      <c r="D664" s="16" t="inlineStr">
        <is>
          <t>数据开放服务</t>
        </is>
      </c>
      <c r="E664" s="16" t="inlineStr">
        <is>
          <t>接口</t>
        </is>
      </c>
      <c r="F664" s="16" t="inlineStr">
        <is>
          <t>WS推送</t>
        </is>
      </c>
      <c r="G664" s="17" t="inlineStr">
        <is>
          <t xml:space="preserve"> 提供WebSocket实时数据推送服务</t>
        </is>
      </c>
      <c r="H664" s="18" t="inlineStr">
        <is>
          <t>EI</t>
        </is>
      </c>
      <c r="I664" s="18">
        <f>IF(H664="ILF",10,IF(H664="EIF",7,IF(H664="EI",4,IF(H664="EO",5,IF(H664="EQ",4,"")))))</f>
        <v/>
      </c>
      <c r="J664" s="18" t="inlineStr">
        <is>
          <t>中</t>
        </is>
      </c>
      <c r="K664" s="18">
        <f>IF(J664="高",0.33,IF(J664="中",0.67,IF(J664="低",1,"")))</f>
        <v/>
      </c>
      <c r="L664" s="18" t="inlineStr">
        <is>
          <t>新增</t>
        </is>
      </c>
      <c r="M664" s="18">
        <f>IF(L664="新增",1,IF(L664="修改",0.8,IF(L664="删除",0.2,"")))</f>
        <v/>
      </c>
      <c r="N664" s="18">
        <f>I664*K664*M664</f>
        <v/>
      </c>
    </row>
    <row r="665" ht="19" customHeight="1" s="1">
      <c r="B665" s="16" t="n">
        <v>660</v>
      </c>
      <c r="C665" s="16" t="inlineStr">
        <is>
          <t>分布式计算规则及现场验证</t>
        </is>
      </c>
      <c r="D665" s="16" t="inlineStr">
        <is>
          <t>数据开放服务</t>
        </is>
      </c>
      <c r="E665" s="16" t="inlineStr">
        <is>
          <t>接口</t>
        </is>
      </c>
      <c r="F665" s="16" t="inlineStr">
        <is>
          <t>WS状态</t>
        </is>
      </c>
      <c r="G665" s="17" t="inlineStr">
        <is>
          <t xml:space="preserve"> 提供设备状态变化WebSocket推送服务</t>
        </is>
      </c>
      <c r="H665" s="18" t="inlineStr">
        <is>
          <t>EI</t>
        </is>
      </c>
      <c r="I665" s="18">
        <f>IF(H665="ILF",10,IF(H665="EIF",7,IF(H665="EI",4,IF(H665="EO",5,IF(H665="EQ",4,"")))))</f>
        <v/>
      </c>
      <c r="J665" s="18" t="inlineStr">
        <is>
          <t>中</t>
        </is>
      </c>
      <c r="K665" s="18">
        <f>IF(J665="高",0.33,IF(J665="中",0.67,IF(J665="低",1,"")))</f>
        <v/>
      </c>
      <c r="L665" s="18" t="inlineStr">
        <is>
          <t>新增</t>
        </is>
      </c>
      <c r="M665" s="18">
        <f>IF(L665="新增",1,IF(L665="修改",0.8,IF(L665="删除",0.2,"")))</f>
        <v/>
      </c>
      <c r="N665" s="18">
        <f>I665*K665*M665</f>
        <v/>
      </c>
    </row>
    <row r="666" ht="19" customHeight="1" s="1">
      <c r="B666" s="16" t="n">
        <v>661</v>
      </c>
      <c r="C666" s="16" t="inlineStr">
        <is>
          <t>分布式计算规则及现场验证</t>
        </is>
      </c>
      <c r="D666" s="16" t="inlineStr">
        <is>
          <t>数据开放服务</t>
        </is>
      </c>
      <c r="E666" s="16" t="inlineStr">
        <is>
          <t>接口</t>
        </is>
      </c>
      <c r="F666" s="16" t="inlineStr">
        <is>
          <t>接口版本</t>
        </is>
      </c>
      <c r="G666" s="17" t="inlineStr">
        <is>
          <t xml:space="preserve"> 提供API版本管理和兼容性维护服务</t>
        </is>
      </c>
      <c r="H666" s="18" t="inlineStr">
        <is>
          <t>EI</t>
        </is>
      </c>
      <c r="I666" s="18">
        <f>IF(H666="ILF",10,IF(H666="EIF",7,IF(H666="EI",4,IF(H666="EO",5,IF(H666="EQ",4,"")))))</f>
        <v/>
      </c>
      <c r="J666" s="18" t="inlineStr">
        <is>
          <t>中</t>
        </is>
      </c>
      <c r="K666" s="18">
        <f>IF(J666="高",0.33,IF(J666="中",0.67,IF(J666="低",1,"")))</f>
        <v/>
      </c>
      <c r="L666" s="18" t="inlineStr">
        <is>
          <t>新增</t>
        </is>
      </c>
      <c r="M666" s="18">
        <f>IF(L666="新增",1,IF(L666="修改",0.8,IF(L666="删除",0.2,"")))</f>
        <v/>
      </c>
      <c r="N666" s="18">
        <f>I666*K666*M666</f>
        <v/>
      </c>
    </row>
    <row r="667" ht="19" customHeight="1" s="1">
      <c r="B667" s="16" t="n">
        <v>662</v>
      </c>
      <c r="C667" s="16" t="inlineStr">
        <is>
          <t>分布式计算规则及现场验证</t>
        </is>
      </c>
      <c r="D667" s="16" t="inlineStr">
        <is>
          <t>数据开放服务</t>
        </is>
      </c>
      <c r="E667" s="16" t="inlineStr">
        <is>
          <t>接口</t>
        </is>
      </c>
      <c r="F667" s="16" t="inlineStr">
        <is>
          <t>接口鉴权</t>
        </is>
      </c>
      <c r="G667" s="17" t="inlineStr">
        <is>
          <t xml:space="preserve"> 提供API访问鉴权和认证服务</t>
        </is>
      </c>
      <c r="H667" s="18" t="inlineStr">
        <is>
          <t>EI</t>
        </is>
      </c>
      <c r="I667" s="18">
        <f>IF(H667="ILF",10,IF(H667="EIF",7,IF(H667="EI",4,IF(H667="EO",5,IF(H667="EQ",4,"")))))</f>
        <v/>
      </c>
      <c r="J667" s="18" t="inlineStr">
        <is>
          <t>中</t>
        </is>
      </c>
      <c r="K667" s="18">
        <f>IF(J667="高",0.33,IF(J667="中",0.67,IF(J667="低",1,"")))</f>
        <v/>
      </c>
      <c r="L667" s="18" t="inlineStr">
        <is>
          <t>新增</t>
        </is>
      </c>
      <c r="M667" s="18">
        <f>IF(L667="新增",1,IF(L667="修改",0.8,IF(L667="删除",0.2,"")))</f>
        <v/>
      </c>
      <c r="N667" s="18">
        <f>I667*K667*M667</f>
        <v/>
      </c>
    </row>
    <row r="668" ht="19" customHeight="1" s="1">
      <c r="B668" s="16" t="n">
        <v>663</v>
      </c>
      <c r="C668" s="16" t="inlineStr">
        <is>
          <t>分布式计算规则及现场验证</t>
        </is>
      </c>
      <c r="D668" s="16" t="inlineStr">
        <is>
          <t>数据开放服务</t>
        </is>
      </c>
      <c r="E668" s="16" t="inlineStr">
        <is>
          <t>接口</t>
        </is>
      </c>
      <c r="F668" s="16" t="inlineStr">
        <is>
          <t>接口限流</t>
        </is>
      </c>
      <c r="G668" s="17" t="inlineStr">
        <is>
          <t xml:space="preserve"> 提供API访问频率限制服务</t>
        </is>
      </c>
      <c r="H668" s="18" t="inlineStr">
        <is>
          <t>EI</t>
        </is>
      </c>
      <c r="I668" s="18">
        <f>IF(H668="ILF",10,IF(H668="EIF",7,IF(H668="EI",4,IF(H668="EO",5,IF(H668="EQ",4,"")))))</f>
        <v/>
      </c>
      <c r="J668" s="18" t="inlineStr">
        <is>
          <t>中</t>
        </is>
      </c>
      <c r="K668" s="18">
        <f>IF(J668="高",0.33,IF(J668="中",0.67,IF(J668="低",1,"")))</f>
        <v/>
      </c>
      <c r="L668" s="18" t="inlineStr">
        <is>
          <t>新增</t>
        </is>
      </c>
      <c r="M668" s="18">
        <f>IF(L668="新增",1,IF(L668="修改",0.8,IF(L668="删除",0.2,"")))</f>
        <v/>
      </c>
      <c r="N668" s="18">
        <f>I668*K668*M668</f>
        <v/>
      </c>
    </row>
    <row r="669" ht="19" customHeight="1" s="1">
      <c r="B669" s="16" t="n">
        <v>664</v>
      </c>
      <c r="C669" s="16" t="inlineStr">
        <is>
          <t>分布式计算规则及现场验证</t>
        </is>
      </c>
      <c r="D669" s="16" t="inlineStr">
        <is>
          <t>安全防护服务</t>
        </is>
      </c>
      <c r="E669" s="16" t="inlineStr">
        <is>
          <t>加密认证</t>
        </is>
      </c>
      <c r="F669" s="16" t="inlineStr">
        <is>
          <t>全链路TLS</t>
        </is>
      </c>
      <c r="G669" s="17" t="inlineStr">
        <is>
          <t xml:space="preserve"> 提供数据传输全链路TLS加密服务</t>
        </is>
      </c>
      <c r="H669" s="18" t="inlineStr">
        <is>
          <t>EI</t>
        </is>
      </c>
      <c r="I669" s="18">
        <f>IF(H669="ILF",10,IF(H669="EIF",7,IF(H669="EI",4,IF(H669="EO",5,IF(H669="EQ",4,"")))))</f>
        <v/>
      </c>
      <c r="J669" s="18" t="inlineStr">
        <is>
          <t>中</t>
        </is>
      </c>
      <c r="K669" s="18">
        <f>IF(J669="高",0.33,IF(J669="中",0.67,IF(J669="低",1,"")))</f>
        <v/>
      </c>
      <c r="L669" s="18" t="inlineStr">
        <is>
          <t>新增</t>
        </is>
      </c>
      <c r="M669" s="18">
        <f>IF(L669="新增",1,IF(L669="修改",0.8,IF(L669="删除",0.2,"")))</f>
        <v/>
      </c>
      <c r="N669" s="18">
        <f>I669*K669*M669</f>
        <v/>
      </c>
    </row>
    <row r="670" ht="19" customHeight="1" s="1">
      <c r="B670" s="16" t="n">
        <v>665</v>
      </c>
      <c r="C670" s="16" t="inlineStr">
        <is>
          <t>分布式计算规则及现场验证</t>
        </is>
      </c>
      <c r="D670" s="16" t="inlineStr">
        <is>
          <t>安全防护服务</t>
        </is>
      </c>
      <c r="E670" s="16" t="inlineStr">
        <is>
          <t>加密认证</t>
        </is>
      </c>
      <c r="F670" s="16" t="inlineStr">
        <is>
          <t>TLS证书</t>
        </is>
      </c>
      <c r="G670" s="17" t="inlineStr">
        <is>
          <t xml:space="preserve"> 提供TLS证书全生命周期配置管理技术服务</t>
        </is>
      </c>
      <c r="H670" s="18" t="inlineStr">
        <is>
          <t>EI</t>
        </is>
      </c>
      <c r="I670" s="18">
        <f>IF(H670="ILF",10,IF(H670="EIF",7,IF(H670="EI",4,IF(H670="EO",5,IF(H670="EQ",4,"")))))</f>
        <v/>
      </c>
      <c r="J670" s="18" t="inlineStr">
        <is>
          <t>中</t>
        </is>
      </c>
      <c r="K670" s="18">
        <f>IF(J670="高",0.33,IF(J670="中",0.67,IF(J670="低",1,"")))</f>
        <v/>
      </c>
      <c r="L670" s="18" t="inlineStr">
        <is>
          <t>新增</t>
        </is>
      </c>
      <c r="M670" s="18">
        <f>IF(L670="新增",1,IF(L670="修改",0.8,IF(L670="删除",0.2,"")))</f>
        <v/>
      </c>
      <c r="N670" s="18">
        <f>I670*K670*M670</f>
        <v/>
      </c>
    </row>
    <row r="671" ht="19" customHeight="1" s="1">
      <c r="B671" s="16" t="n">
        <v>666</v>
      </c>
      <c r="C671" s="16" t="inlineStr">
        <is>
          <t>分布式计算规则及现场验证</t>
        </is>
      </c>
      <c r="D671" s="16" t="inlineStr">
        <is>
          <t>安全防护服务</t>
        </is>
      </c>
      <c r="E671" s="16" t="inlineStr">
        <is>
          <t>加密认证</t>
        </is>
      </c>
      <c r="F671" s="16" t="inlineStr">
        <is>
          <t>统一认证</t>
        </is>
      </c>
      <c r="G671" s="17" t="inlineStr">
        <is>
          <t xml:space="preserve"> 提供油田统一身份认证系统集成服务</t>
        </is>
      </c>
      <c r="H671" s="18" t="inlineStr">
        <is>
          <t>EI</t>
        </is>
      </c>
      <c r="I671" s="18">
        <f>IF(H671="ILF",10,IF(H671="EIF",7,IF(H671="EI",4,IF(H671="EO",5,IF(H671="EQ",4,"")))))</f>
        <v/>
      </c>
      <c r="J671" s="18" t="inlineStr">
        <is>
          <t>中</t>
        </is>
      </c>
      <c r="K671" s="18">
        <f>IF(J671="高",0.33,IF(J671="中",0.67,IF(J671="低",1,"")))</f>
        <v/>
      </c>
      <c r="L671" s="18" t="inlineStr">
        <is>
          <t>新增</t>
        </is>
      </c>
      <c r="M671" s="18">
        <f>IF(L671="新增",1,IF(L671="修改",0.8,IF(L671="删除",0.2,"")))</f>
        <v/>
      </c>
      <c r="N671" s="18">
        <f>I671*K671*M671</f>
        <v/>
      </c>
    </row>
    <row r="672" ht="19" customHeight="1" s="1">
      <c r="B672" s="16" t="n">
        <v>667</v>
      </c>
      <c r="C672" s="16" t="inlineStr">
        <is>
          <t>分布式计算规则及现场验证</t>
        </is>
      </c>
      <c r="D672" s="16" t="inlineStr">
        <is>
          <t>安全防护服务</t>
        </is>
      </c>
      <c r="E672" s="16" t="inlineStr">
        <is>
          <t>加密认证</t>
        </is>
      </c>
      <c r="F672" s="16" t="inlineStr">
        <is>
          <t>SHA-256</t>
        </is>
      </c>
      <c r="G672" s="17" t="inlineStr">
        <is>
          <t xml:space="preserve"> 提供SHA-256加密认证服务</t>
        </is>
      </c>
      <c r="H672" s="18" t="inlineStr">
        <is>
          <t>EI</t>
        </is>
      </c>
      <c r="I672" s="18">
        <f>IF(H672="ILF",10,IF(H672="EIF",7,IF(H672="EI",4,IF(H672="EO",5,IF(H672="EQ",4,"")))))</f>
        <v/>
      </c>
      <c r="J672" s="18" t="inlineStr">
        <is>
          <t>中</t>
        </is>
      </c>
      <c r="K672" s="18">
        <f>IF(J672="高",0.33,IF(J672="中",0.67,IF(J672="低",1,"")))</f>
        <v/>
      </c>
      <c r="L672" s="18" t="inlineStr">
        <is>
          <t>新增</t>
        </is>
      </c>
      <c r="M672" s="18">
        <f>IF(L672="新增",1,IF(L672="修改",0.8,IF(L672="删除",0.2,"")))</f>
        <v/>
      </c>
      <c r="N672" s="18">
        <f>I672*K672*M672</f>
        <v/>
      </c>
    </row>
    <row r="673" ht="19" customHeight="1" s="1">
      <c r="B673" s="16" t="n">
        <v>668</v>
      </c>
      <c r="C673" s="16" t="inlineStr">
        <is>
          <t>分布式计算规则及现场验证</t>
        </is>
      </c>
      <c r="D673" s="16" t="inlineStr">
        <is>
          <t>安全防护服务</t>
        </is>
      </c>
      <c r="E673" s="16" t="inlineStr">
        <is>
          <t>加密认证</t>
        </is>
      </c>
      <c r="F673" s="16" t="inlineStr">
        <is>
          <t>MD5加密</t>
        </is>
      </c>
      <c r="G673" s="17" t="inlineStr">
        <is>
          <t xml:space="preserve"> 提供MD5加密认证服务</t>
        </is>
      </c>
      <c r="H673" s="18" t="inlineStr">
        <is>
          <t>EI</t>
        </is>
      </c>
      <c r="I673" s="18">
        <f>IF(H673="ILF",10,IF(H673="EIF",7,IF(H673="EI",4,IF(H673="EO",5,IF(H673="EQ",4,"")))))</f>
        <v/>
      </c>
      <c r="J673" s="18" t="inlineStr">
        <is>
          <t>中</t>
        </is>
      </c>
      <c r="K673" s="18">
        <f>IF(J673="高",0.33,IF(J673="中",0.67,IF(J673="低",1,"")))</f>
        <v/>
      </c>
      <c r="L673" s="18" t="inlineStr">
        <is>
          <t>新增</t>
        </is>
      </c>
      <c r="M673" s="18">
        <f>IF(L673="新增",1,IF(L673="修改",0.8,IF(L673="删除",0.2,"")))</f>
        <v/>
      </c>
      <c r="N673" s="18">
        <f>I673*K673*M673</f>
        <v/>
      </c>
    </row>
    <row r="674" ht="19" customHeight="1" s="1">
      <c r="B674" s="16" t="n">
        <v>669</v>
      </c>
      <c r="C674" s="16" t="inlineStr">
        <is>
          <t>分布式计算规则及现场验证</t>
        </is>
      </c>
      <c r="D674" s="16" t="inlineStr">
        <is>
          <t>安全防护服务</t>
        </is>
      </c>
      <c r="E674" s="16" t="inlineStr">
        <is>
          <t>加密认证</t>
        </is>
      </c>
      <c r="F674" s="16" t="inlineStr">
        <is>
          <t>密钥轮换</t>
        </is>
      </c>
      <c r="G674" s="17" t="inlineStr">
        <is>
          <t xml:space="preserve"> 提供加密密钥自动轮换管理服务</t>
        </is>
      </c>
      <c r="H674" s="18" t="inlineStr">
        <is>
          <t>EI</t>
        </is>
      </c>
      <c r="I674" s="18">
        <f>IF(H674="ILF",10,IF(H674="EIF",7,IF(H674="EI",4,IF(H674="EO",5,IF(H674="EQ",4,"")))))</f>
        <v/>
      </c>
      <c r="J674" s="18" t="inlineStr">
        <is>
          <t>中</t>
        </is>
      </c>
      <c r="K674" s="18">
        <f>IF(J674="高",0.33,IF(J674="中",0.67,IF(J674="低",1,"")))</f>
        <v/>
      </c>
      <c r="L674" s="18" t="inlineStr">
        <is>
          <t>新增</t>
        </is>
      </c>
      <c r="M674" s="18">
        <f>IF(L674="新增",1,IF(L674="修改",0.8,IF(L674="删除",0.2,"")))</f>
        <v/>
      </c>
      <c r="N674" s="18">
        <f>I674*K674*M674</f>
        <v/>
      </c>
    </row>
    <row r="675" ht="19" customHeight="1" s="1">
      <c r="B675" s="16" t="n">
        <v>670</v>
      </c>
      <c r="C675" s="16" t="inlineStr">
        <is>
          <t>分布式计算规则及现场验证</t>
        </is>
      </c>
      <c r="D675" s="16" t="inlineStr">
        <is>
          <t>安全防护服务</t>
        </is>
      </c>
      <c r="E675" s="16" t="inlineStr">
        <is>
          <t>加密认证</t>
        </is>
      </c>
      <c r="F675" s="16" t="inlineStr">
        <is>
          <t>双因素</t>
        </is>
      </c>
      <c r="G675" s="17" t="inlineStr">
        <is>
          <t xml:space="preserve"> 提供双因素身份认证服务</t>
        </is>
      </c>
      <c r="H675" s="18" t="inlineStr">
        <is>
          <t>EI</t>
        </is>
      </c>
      <c r="I675" s="18">
        <f>IF(H675="ILF",10,IF(H675="EIF",7,IF(H675="EI",4,IF(H675="EO",5,IF(H675="EQ",4,"")))))</f>
        <v/>
      </c>
      <c r="J675" s="18" t="inlineStr">
        <is>
          <t>中</t>
        </is>
      </c>
      <c r="K675" s="18">
        <f>IF(J675="高",0.33,IF(J675="中",0.67,IF(J675="低",1,"")))</f>
        <v/>
      </c>
      <c r="L675" s="18" t="inlineStr">
        <is>
          <t>新增</t>
        </is>
      </c>
      <c r="M675" s="18">
        <f>IF(L675="新增",1,IF(L675="修改",0.8,IF(L675="删除",0.2,"")))</f>
        <v/>
      </c>
      <c r="N675" s="18">
        <f>I675*K675*M675</f>
        <v/>
      </c>
    </row>
    <row r="676" ht="19" customHeight="1" s="1">
      <c r="B676" s="16" t="n">
        <v>671</v>
      </c>
      <c r="C676" s="16" t="inlineStr">
        <is>
          <t>分布式计算规则及现场验证</t>
        </is>
      </c>
      <c r="D676" s="16" t="inlineStr">
        <is>
          <t>安全防护服务</t>
        </is>
      </c>
      <c r="E676" s="16" t="inlineStr">
        <is>
          <t>防火墙与信创</t>
        </is>
      </c>
      <c r="F676" s="16" t="inlineStr">
        <is>
          <t>生产网防火墙</t>
        </is>
      </c>
      <c r="G676" s="17" t="inlineStr">
        <is>
          <t xml:space="preserve"> 提供生产网到DMZ区防火墙策略配置服务</t>
        </is>
      </c>
      <c r="H676" s="18" t="inlineStr">
        <is>
          <t>EI</t>
        </is>
      </c>
      <c r="I676" s="18">
        <f>IF(H676="ILF",10,IF(H676="EIF",7,IF(H676="EI",4,IF(H676="EO",5,IF(H676="EQ",4,"")))))</f>
        <v/>
      </c>
      <c r="J676" s="18" t="inlineStr">
        <is>
          <t>中</t>
        </is>
      </c>
      <c r="K676" s="18">
        <f>IF(J676="高",0.33,IF(J676="中",0.67,IF(J676="低",1,"")))</f>
        <v/>
      </c>
      <c r="L676" s="18" t="inlineStr">
        <is>
          <t>新增</t>
        </is>
      </c>
      <c r="M676" s="18">
        <f>IF(L676="新增",1,IF(L676="修改",0.8,IF(L676="删除",0.2,"")))</f>
        <v/>
      </c>
      <c r="N676" s="18">
        <f>I676*K676*M676</f>
        <v/>
      </c>
    </row>
    <row r="677" ht="19" customHeight="1" s="1">
      <c r="B677" s="16" t="n">
        <v>672</v>
      </c>
      <c r="C677" s="16" t="inlineStr">
        <is>
          <t>分布式计算规则及现场验证</t>
        </is>
      </c>
      <c r="D677" s="16" t="inlineStr">
        <is>
          <t>安全防护服务</t>
        </is>
      </c>
      <c r="E677" s="16" t="inlineStr">
        <is>
          <t>防火墙与信创</t>
        </is>
      </c>
      <c r="F677" s="16" t="inlineStr">
        <is>
          <t>DMZ防火墙</t>
        </is>
      </c>
      <c r="G677" s="17" t="inlineStr">
        <is>
          <t xml:space="preserve"> 提供DMZ区到办公网防火墙策略配置服务</t>
        </is>
      </c>
      <c r="H677" s="18" t="inlineStr">
        <is>
          <t>EI</t>
        </is>
      </c>
      <c r="I677" s="18">
        <f>IF(H677="ILF",10,IF(H677="EIF",7,IF(H677="EI",4,IF(H677="EO",5,IF(H677="EQ",4,"")))))</f>
        <v/>
      </c>
      <c r="J677" s="18" t="inlineStr">
        <is>
          <t>中</t>
        </is>
      </c>
      <c r="K677" s="18">
        <f>IF(J677="高",0.33,IF(J677="中",0.67,IF(J677="低",1,"")))</f>
        <v/>
      </c>
      <c r="L677" s="18" t="inlineStr">
        <is>
          <t>新增</t>
        </is>
      </c>
      <c r="M677" s="18">
        <f>IF(L677="新增",1,IF(L677="修改",0.8,IF(L677="删除",0.2,"")))</f>
        <v/>
      </c>
      <c r="N677" s="18">
        <f>I677*K677*M677</f>
        <v/>
      </c>
    </row>
    <row r="678" ht="19" customHeight="1" s="1">
      <c r="B678" s="16" t="n">
        <v>673</v>
      </c>
      <c r="C678" s="16" t="inlineStr">
        <is>
          <t>分布式计算规则及现场验证</t>
        </is>
      </c>
      <c r="D678" s="16" t="inlineStr">
        <is>
          <t>安全防护服务</t>
        </is>
      </c>
      <c r="E678" s="16" t="inlineStr">
        <is>
          <t>防火墙与信创</t>
        </is>
      </c>
      <c r="F678" s="16" t="inlineStr">
        <is>
          <t>策略管理</t>
        </is>
      </c>
      <c r="G678" s="17" t="inlineStr">
        <is>
          <t xml:space="preserve"> 提供防火墙策略规则配置管理服务</t>
        </is>
      </c>
      <c r="H678" s="18" t="inlineStr">
        <is>
          <t>EI</t>
        </is>
      </c>
      <c r="I678" s="18">
        <f>IF(H678="ILF",10,IF(H678="EIF",7,IF(H678="EI",4,IF(H678="EO",5,IF(H678="EQ",4,"")))))</f>
        <v/>
      </c>
      <c r="J678" s="18" t="inlineStr">
        <is>
          <t>中</t>
        </is>
      </c>
      <c r="K678" s="18">
        <f>IF(J678="高",0.33,IF(J678="中",0.67,IF(J678="低",1,"")))</f>
        <v/>
      </c>
      <c r="L678" s="18" t="inlineStr">
        <is>
          <t>新增</t>
        </is>
      </c>
      <c r="M678" s="18">
        <f>IF(L678="新增",1,IF(L678="修改",0.8,IF(L678="删除",0.2,"")))</f>
        <v/>
      </c>
      <c r="N678" s="18">
        <f>I678*K678*M678</f>
        <v/>
      </c>
    </row>
    <row r="679" ht="19" customHeight="1" s="1">
      <c r="B679" s="16" t="n">
        <v>674</v>
      </c>
      <c r="C679" s="16" t="inlineStr">
        <is>
          <t>分布式计算规则及现场验证</t>
        </is>
      </c>
      <c r="D679" s="16" t="inlineStr">
        <is>
          <t>安全防护服务</t>
        </is>
      </c>
      <c r="E679" s="16" t="inlineStr">
        <is>
          <t>防火墙与信创</t>
        </is>
      </c>
      <c r="F679" s="16" t="inlineStr">
        <is>
          <t>策略审计</t>
        </is>
      </c>
      <c r="G679" s="17" t="inlineStr">
        <is>
          <t xml:space="preserve"> 提供防火墙策略定期安全审计服务</t>
        </is>
      </c>
      <c r="H679" s="18" t="inlineStr">
        <is>
          <t>EI</t>
        </is>
      </c>
      <c r="I679" s="18">
        <f>IF(H679="ILF",10,IF(H679="EIF",7,IF(H679="EI",4,IF(H679="EO",5,IF(H679="EQ",4,"")))))</f>
        <v/>
      </c>
      <c r="J679" s="18" t="inlineStr">
        <is>
          <t>中</t>
        </is>
      </c>
      <c r="K679" s="18">
        <f>IF(J679="高",0.33,IF(J679="中",0.67,IF(J679="低",1,"")))</f>
        <v/>
      </c>
      <c r="L679" s="18" t="inlineStr">
        <is>
          <t>新增</t>
        </is>
      </c>
      <c r="M679" s="18">
        <f>IF(L679="新增",1,IF(L679="修改",0.8,IF(L679="删除",0.2,"")))</f>
        <v/>
      </c>
      <c r="N679" s="18">
        <f>I679*K679*M679</f>
        <v/>
      </c>
    </row>
    <row r="680" ht="19" customHeight="1" s="1">
      <c r="B680" s="16" t="n">
        <v>675</v>
      </c>
      <c r="C680" s="16" t="inlineStr">
        <is>
          <t>分布式计算规则及现场验证</t>
        </is>
      </c>
      <c r="D680" s="16" t="inlineStr">
        <is>
          <t>安全防护服务</t>
        </is>
      </c>
      <c r="E680" s="16" t="inlineStr">
        <is>
          <t>防火墙与信创</t>
        </is>
      </c>
      <c r="F680" s="16" t="inlineStr">
        <is>
          <t>入侵检测</t>
        </is>
      </c>
      <c r="G680" s="17" t="inlineStr">
        <is>
          <t xml:space="preserve"> 提供网络入侵行为检测服务</t>
        </is>
      </c>
      <c r="H680" s="18" t="inlineStr">
        <is>
          <t>EI</t>
        </is>
      </c>
      <c r="I680" s="18">
        <f>IF(H680="ILF",10,IF(H680="EIF",7,IF(H680="EI",4,IF(H680="EO",5,IF(H680="EQ",4,"")))))</f>
        <v/>
      </c>
      <c r="J680" s="18" t="inlineStr">
        <is>
          <t>中</t>
        </is>
      </c>
      <c r="K680" s="18">
        <f>IF(J680="高",0.33,IF(J680="中",0.67,IF(J680="低",1,"")))</f>
        <v/>
      </c>
      <c r="L680" s="18" t="inlineStr">
        <is>
          <t>新增</t>
        </is>
      </c>
      <c r="M680" s="18">
        <f>IF(L680="新增",1,IF(L680="修改",0.8,IF(L680="删除",0.2,"")))</f>
        <v/>
      </c>
      <c r="N680" s="18">
        <f>I680*K680*M680</f>
        <v/>
      </c>
    </row>
    <row r="681" ht="19" customHeight="1" s="1">
      <c r="B681" s="16" t="n">
        <v>676</v>
      </c>
      <c r="C681" s="16" t="inlineStr">
        <is>
          <t>分布式计算规则及现场验证</t>
        </is>
      </c>
      <c r="D681" s="16" t="inlineStr">
        <is>
          <t>安全防护服务</t>
        </is>
      </c>
      <c r="E681" s="16" t="inlineStr">
        <is>
          <t>防火墙与信创</t>
        </is>
      </c>
      <c r="F681" s="16" t="inlineStr">
        <is>
          <t>安全告警</t>
        </is>
      </c>
      <c r="G681" s="17" t="inlineStr">
        <is>
          <t xml:space="preserve"> 提供网络安全事件实时告警服务</t>
        </is>
      </c>
      <c r="H681" s="18" t="inlineStr">
        <is>
          <t>EI</t>
        </is>
      </c>
      <c r="I681" s="18">
        <f>IF(H681="ILF",10,IF(H681="EIF",7,IF(H681="EI",4,IF(H681="EO",5,IF(H681="EQ",4,"")))))</f>
        <v/>
      </c>
      <c r="J681" s="18" t="inlineStr">
        <is>
          <t>中</t>
        </is>
      </c>
      <c r="K681" s="18">
        <f>IF(J681="高",0.33,IF(J681="中",0.67,IF(J681="低",1,"")))</f>
        <v/>
      </c>
      <c r="L681" s="18" t="inlineStr">
        <is>
          <t>新增</t>
        </is>
      </c>
      <c r="M681" s="18">
        <f>IF(L681="新增",1,IF(L681="修改",0.8,IF(L681="删除",0.2,"")))</f>
        <v/>
      </c>
      <c r="N681" s="18">
        <f>I681*K681*M681</f>
        <v/>
      </c>
    </row>
    <row r="682" ht="19" customHeight="1" s="1">
      <c r="B682" s="16" t="n">
        <v>677</v>
      </c>
      <c r="C682" s="16" t="inlineStr">
        <is>
          <t>分布式计算规则及现场验证</t>
        </is>
      </c>
      <c r="D682" s="16" t="inlineStr">
        <is>
          <t>安全防护服务</t>
        </is>
      </c>
      <c r="E682" s="16" t="inlineStr">
        <is>
          <t>防火墙与信创</t>
        </is>
      </c>
      <c r="F682" s="16" t="inlineStr">
        <is>
          <t>鲲鹏适配</t>
        </is>
      </c>
      <c r="G682" s="17" t="inlineStr">
        <is>
          <t xml:space="preserve"> 提供适配华为鲲鹏芯片服务</t>
        </is>
      </c>
      <c r="H682" s="18" t="inlineStr">
        <is>
          <t>EI</t>
        </is>
      </c>
      <c r="I682" s="18">
        <f>IF(H682="ILF",10,IF(H682="EIF",7,IF(H682="EI",4,IF(H682="EO",5,IF(H682="EQ",4,"")))))</f>
        <v/>
      </c>
      <c r="J682" s="18" t="inlineStr">
        <is>
          <t>高</t>
        </is>
      </c>
      <c r="K682" s="18">
        <f>IF(J682="高",0.33,IF(J682="中",0.67,IF(J682="低",1,"")))</f>
        <v/>
      </c>
      <c r="L682" s="18" t="inlineStr">
        <is>
          <t>新增</t>
        </is>
      </c>
      <c r="M682" s="18">
        <f>IF(L682="新增",1,IF(L682="修改",0.8,IF(L682="删除",0.2,"")))</f>
        <v/>
      </c>
      <c r="N682" s="18">
        <f>I682*K682*M682</f>
        <v/>
      </c>
    </row>
    <row r="683" ht="19" customHeight="1" s="1">
      <c r="B683" s="16" t="n">
        <v>678</v>
      </c>
      <c r="C683" s="16" t="inlineStr">
        <is>
          <t>分布式计算规则及现场验证</t>
        </is>
      </c>
      <c r="D683" s="16" t="inlineStr">
        <is>
          <t>安全防护服务</t>
        </is>
      </c>
      <c r="E683" s="16" t="inlineStr">
        <is>
          <t>防火墙与信创</t>
        </is>
      </c>
      <c r="F683" s="16" t="inlineStr">
        <is>
          <t>飞腾适配</t>
        </is>
      </c>
      <c r="G683" s="17" t="inlineStr">
        <is>
          <t xml:space="preserve"> 提供适配飞腾芯片服务</t>
        </is>
      </c>
      <c r="H683" s="18" t="inlineStr">
        <is>
          <t>EI</t>
        </is>
      </c>
      <c r="I683" s="18">
        <f>IF(H683="ILF",10,IF(H683="EIF",7,IF(H683="EI",4,IF(H683="EO",5,IF(H683="EQ",4,"")))))</f>
        <v/>
      </c>
      <c r="J683" s="18" t="inlineStr">
        <is>
          <t>高</t>
        </is>
      </c>
      <c r="K683" s="18">
        <f>IF(J683="高",0.33,IF(J683="中",0.67,IF(J683="低",1,"")))</f>
        <v/>
      </c>
      <c r="L683" s="18" t="inlineStr">
        <is>
          <t>新增</t>
        </is>
      </c>
      <c r="M683" s="18">
        <f>IF(L683="新增",1,IF(L683="修改",0.8,IF(L683="删除",0.2,"")))</f>
        <v/>
      </c>
      <c r="N683" s="18">
        <f>I683*K683*M683</f>
        <v/>
      </c>
    </row>
    <row r="684" ht="19" customHeight="1" s="1">
      <c r="B684" s="16" t="n">
        <v>679</v>
      </c>
      <c r="C684" s="16" t="inlineStr">
        <is>
          <t>分布式计算规则及现场验证</t>
        </is>
      </c>
      <c r="D684" s="16" t="inlineStr">
        <is>
          <t>安全防护服务</t>
        </is>
      </c>
      <c r="E684" s="16" t="inlineStr">
        <is>
          <t>防火墙与信创</t>
        </is>
      </c>
      <c r="F684" s="16" t="inlineStr">
        <is>
          <t>海光适配</t>
        </is>
      </c>
      <c r="G684" s="17" t="inlineStr">
        <is>
          <t xml:space="preserve"> 提供适配海光芯片服务</t>
        </is>
      </c>
      <c r="H684" s="18" t="inlineStr">
        <is>
          <t>EO</t>
        </is>
      </c>
      <c r="I684" s="18">
        <f>IF(H684="ILF",10,IF(H684="EIF",7,IF(H684="EI",4,IF(H684="EO",5,IF(H684="EQ",4,"")))))</f>
        <v/>
      </c>
      <c r="J684" s="18" t="inlineStr">
        <is>
          <t>低</t>
        </is>
      </c>
      <c r="K684" s="18">
        <f>IF(J684="高",0.33,IF(J684="中",0.67,IF(J684="低",1,"")))</f>
        <v/>
      </c>
      <c r="L684" s="18" t="inlineStr">
        <is>
          <t>新增</t>
        </is>
      </c>
      <c r="M684" s="18">
        <f>IF(L684="新增",1,IF(L684="修改",0.8,IF(L684="删除",0.2,"")))</f>
        <v/>
      </c>
      <c r="N684" s="18">
        <f>I684*K684*M684</f>
        <v/>
      </c>
    </row>
    <row r="685" ht="19" customHeight="1" s="1">
      <c r="B685" s="16" t="n">
        <v>680</v>
      </c>
      <c r="C685" s="16" t="inlineStr">
        <is>
          <t>分布式计算规则及现场验证</t>
        </is>
      </c>
      <c r="D685" s="16" t="inlineStr">
        <is>
          <t>安全防护服务</t>
        </is>
      </c>
      <c r="E685" s="16" t="inlineStr">
        <is>
          <t>防火墙与信创</t>
        </is>
      </c>
      <c r="F685" s="16" t="inlineStr">
        <is>
          <t>兆芯适配</t>
        </is>
      </c>
      <c r="G685" s="17" t="inlineStr">
        <is>
          <t xml:space="preserve"> 提供适配兆芯芯片服务</t>
        </is>
      </c>
      <c r="H685" s="18" t="inlineStr">
        <is>
          <t>EO</t>
        </is>
      </c>
      <c r="I685" s="18">
        <f>IF(H685="ILF",10,IF(H685="EIF",7,IF(H685="EI",4,IF(H685="EO",5,IF(H685="EQ",4,"")))))</f>
        <v/>
      </c>
      <c r="J685" s="18" t="inlineStr">
        <is>
          <t>低</t>
        </is>
      </c>
      <c r="K685" s="18">
        <f>IF(J685="高",0.33,IF(J685="中",0.67,IF(J685="低",1,"")))</f>
        <v/>
      </c>
      <c r="L685" s="18" t="inlineStr">
        <is>
          <t>新增</t>
        </is>
      </c>
      <c r="M685" s="18">
        <f>IF(L685="新增",1,IF(L685="修改",0.8,IF(L685="删除",0.2,"")))</f>
        <v/>
      </c>
      <c r="N685" s="18">
        <f>I685*K685*M685</f>
        <v/>
      </c>
    </row>
    <row r="686" ht="19" customHeight="1" s="1">
      <c r="B686" s="16" t="n">
        <v>681</v>
      </c>
      <c r="C686" s="16" t="inlineStr">
        <is>
          <t>分布式计算规则及现场验证</t>
        </is>
      </c>
      <c r="D686" s="16" t="inlineStr">
        <is>
          <t>安全防护服务</t>
        </is>
      </c>
      <c r="E686" s="16" t="inlineStr">
        <is>
          <t>防火墙与信创</t>
        </is>
      </c>
      <c r="F686" s="16" t="inlineStr">
        <is>
          <t>麒麟OS</t>
        </is>
      </c>
      <c r="G686" s="17" t="inlineStr">
        <is>
          <t xml:space="preserve"> 提供适配银河麒麟操作系统服务</t>
        </is>
      </c>
      <c r="H686" s="18" t="inlineStr">
        <is>
          <t>EO</t>
        </is>
      </c>
      <c r="I686" s="18">
        <f>IF(H686="ILF",10,IF(H686="EIF",7,IF(H686="EI",4,IF(H686="EO",5,IF(H686="EQ",4,"")))))</f>
        <v/>
      </c>
      <c r="J686" s="18" t="inlineStr">
        <is>
          <t>低</t>
        </is>
      </c>
      <c r="K686" s="18">
        <f>IF(J686="高",0.33,IF(J686="中",0.67,IF(J686="低",1,"")))</f>
        <v/>
      </c>
      <c r="L686" s="18" t="inlineStr">
        <is>
          <t>新增</t>
        </is>
      </c>
      <c r="M686" s="18">
        <f>IF(L686="新增",1,IF(L686="修改",0.8,IF(L686="删除",0.2,"")))</f>
        <v/>
      </c>
      <c r="N686" s="18">
        <f>I686*K686*M686</f>
        <v/>
      </c>
    </row>
    <row r="687" ht="19" customHeight="1" s="1">
      <c r="B687" s="16" t="n">
        <v>682</v>
      </c>
      <c r="C687" s="16" t="inlineStr">
        <is>
          <t>分布式计算规则及现场验证</t>
        </is>
      </c>
      <c r="D687" s="16" t="inlineStr">
        <is>
          <t>安全防护服务</t>
        </is>
      </c>
      <c r="E687" s="16" t="inlineStr">
        <is>
          <t>防火墙与信创</t>
        </is>
      </c>
      <c r="F687" s="16" t="inlineStr">
        <is>
          <t>UOS</t>
        </is>
      </c>
      <c r="G687" s="17" t="inlineStr">
        <is>
          <t xml:space="preserve"> 提供适配统信UOS操作系统服务</t>
        </is>
      </c>
      <c r="H687" s="18" t="inlineStr">
        <is>
          <t>EO</t>
        </is>
      </c>
      <c r="I687" s="18">
        <f>IF(H687="ILF",10,IF(H687="EIF",7,IF(H687="EI",4,IF(H687="EO",5,IF(H687="EQ",4,"")))))</f>
        <v/>
      </c>
      <c r="J687" s="18" t="inlineStr">
        <is>
          <t>中</t>
        </is>
      </c>
      <c r="K687" s="18">
        <f>IF(J687="高",0.33,IF(J687="中",0.67,IF(J687="低",1,"")))</f>
        <v/>
      </c>
      <c r="L687" s="18" t="inlineStr">
        <is>
          <t>新增</t>
        </is>
      </c>
      <c r="M687" s="18">
        <f>IF(L687="新增",1,IF(L687="修改",0.8,IF(L687="删除",0.2,"")))</f>
        <v/>
      </c>
      <c r="N687" s="18">
        <f>I687*K687*M687</f>
        <v/>
      </c>
    </row>
    <row r="688" ht="19" customHeight="1" s="1">
      <c r="B688" s="16" t="n">
        <v>683</v>
      </c>
      <c r="C688" s="16" t="inlineStr">
        <is>
          <t>分布式计算规则及现场验证</t>
        </is>
      </c>
      <c r="D688" s="16" t="inlineStr">
        <is>
          <t>安全防护服务</t>
        </is>
      </c>
      <c r="E688" s="16" t="inlineStr">
        <is>
          <t>防火墙与信创</t>
        </is>
      </c>
      <c r="F688" s="16" t="inlineStr">
        <is>
          <t>TDengine适配</t>
        </is>
      </c>
      <c r="G688" s="17" t="inlineStr">
        <is>
          <t xml:space="preserve"> 提供时序数据库TDengine适配服务</t>
        </is>
      </c>
      <c r="H688" s="18" t="inlineStr">
        <is>
          <t>EO</t>
        </is>
      </c>
      <c r="I688" s="18">
        <f>IF(H688="ILF",10,IF(H688="EIF",7,IF(H688="EI",4,IF(H688="EO",5,IF(H688="EQ",4,"")))))</f>
        <v/>
      </c>
      <c r="J688" s="18" t="inlineStr">
        <is>
          <t>中</t>
        </is>
      </c>
      <c r="K688" s="18">
        <f>IF(J688="高",0.33,IF(J688="中",0.67,IF(J688="低",1,"")))</f>
        <v/>
      </c>
      <c r="L688" s="18" t="inlineStr">
        <is>
          <t>新增</t>
        </is>
      </c>
      <c r="M688" s="18">
        <f>IF(L688="新增",1,IF(L688="修改",0.8,IF(L688="删除",0.2,"")))</f>
        <v/>
      </c>
      <c r="N688" s="18">
        <f>I688*K688*M688</f>
        <v/>
      </c>
    </row>
    <row r="689" ht="19" customHeight="1" s="1">
      <c r="B689" s="16" t="n">
        <v>684</v>
      </c>
      <c r="C689" s="16" t="inlineStr">
        <is>
          <t>分布式计算规则及现场验证</t>
        </is>
      </c>
      <c r="D689" s="16" t="inlineStr">
        <is>
          <t>安全防护服务</t>
        </is>
      </c>
      <c r="E689" s="16" t="inlineStr">
        <is>
          <t>防火墙与信创</t>
        </is>
      </c>
      <c r="F689" s="16" t="inlineStr">
        <is>
          <t>达梦适配</t>
        </is>
      </c>
      <c r="G689" s="17" t="inlineStr">
        <is>
          <t xml:space="preserve"> 提供关系数据库信创数据库适配服务</t>
        </is>
      </c>
      <c r="H689" s="18" t="inlineStr">
        <is>
          <t>EO</t>
        </is>
      </c>
      <c r="I689" s="18">
        <f>IF(H689="ILF",10,IF(H689="EIF",7,IF(H689="EI",4,IF(H689="EO",5,IF(H689="EQ",4,"")))))</f>
        <v/>
      </c>
      <c r="J689" s="18" t="inlineStr">
        <is>
          <t>中</t>
        </is>
      </c>
      <c r="K689" s="18">
        <f>IF(J689="高",0.33,IF(J689="中",0.67,IF(J689="低",1,"")))</f>
        <v/>
      </c>
      <c r="L689" s="18" t="inlineStr">
        <is>
          <t>新增</t>
        </is>
      </c>
      <c r="M689" s="18">
        <f>IF(L689="新增",1,IF(L689="修改",0.8,IF(L689="删除",0.2,"")))</f>
        <v/>
      </c>
      <c r="N689" s="18">
        <f>I689*K689*M689</f>
        <v/>
      </c>
    </row>
    <row r="690" ht="19" customHeight="1" s="1">
      <c r="B690" s="16" t="n">
        <v>685</v>
      </c>
      <c r="C690" s="16" t="inlineStr">
        <is>
          <t>分布式计算规则及现场验证</t>
        </is>
      </c>
      <c r="D690" s="16" t="inlineStr">
        <is>
          <t>数据存储服务</t>
        </is>
      </c>
      <c r="E690" s="16" t="inlineStr">
        <is>
          <t>数据治理服务</t>
        </is>
      </c>
      <c r="F690" s="16" t="inlineStr">
        <is>
          <t>数据血缘追踪</t>
        </is>
      </c>
      <c r="G690" s="17" t="inlineStr">
        <is>
          <t xml:space="preserve"> 提供数据血缘关系追踪技术服务</t>
        </is>
      </c>
      <c r="H690" s="18" t="inlineStr">
        <is>
          <t>EO</t>
        </is>
      </c>
      <c r="I690" s="18">
        <f>IF(H690="ILF",10,IF(H690="EIF",7,IF(H690="EI",4,IF(H690="EO",5,IF(H690="EQ",4,"")))))</f>
        <v/>
      </c>
      <c r="J690" s="18" t="inlineStr">
        <is>
          <t>高</t>
        </is>
      </c>
      <c r="K690" s="18">
        <f>IF(J690="高",0.33,IF(J690="中",0.67,IF(J690="低",1,"")))</f>
        <v/>
      </c>
      <c r="L690" s="18" t="inlineStr">
        <is>
          <t>新增</t>
        </is>
      </c>
      <c r="M690" s="18">
        <f>IF(L690="新增",1,IF(L690="修改",0.8,IF(L690="删除",0.2,"")))</f>
        <v/>
      </c>
      <c r="N690" s="18">
        <f>I690*K690*M690</f>
        <v/>
      </c>
    </row>
    <row r="691" ht="19" customHeight="1" s="1">
      <c r="B691" s="16" t="n">
        <v>686</v>
      </c>
      <c r="C691" s="16" t="inlineStr">
        <is>
          <t>分布式计算规则及现场验证</t>
        </is>
      </c>
      <c r="D691" s="16" t="inlineStr">
        <is>
          <t>数据存储服务</t>
        </is>
      </c>
      <c r="E691" s="16" t="inlineStr">
        <is>
          <t>数据治理服务</t>
        </is>
      </c>
      <c r="F691" s="16" t="inlineStr">
        <is>
          <t>数据分类分级</t>
        </is>
      </c>
      <c r="G691" s="17" t="inlineStr">
        <is>
          <t xml:space="preserve"> 提供数据敏感度分类分级服务</t>
        </is>
      </c>
      <c r="H691" s="18" t="inlineStr">
        <is>
          <t>EQ</t>
        </is>
      </c>
      <c r="I691" s="18">
        <f>IF(H691="ILF",10,IF(H691="EIF",7,IF(H691="EI",4,IF(H691="EO",5,IF(H691="EQ",4,"")))))</f>
        <v/>
      </c>
      <c r="J691" s="18" t="inlineStr">
        <is>
          <t>低</t>
        </is>
      </c>
      <c r="K691" s="18">
        <f>IF(J691="高",0.33,IF(J691="中",0.67,IF(J691="低",1,"")))</f>
        <v/>
      </c>
      <c r="L691" s="18" t="inlineStr">
        <is>
          <t>新增</t>
        </is>
      </c>
      <c r="M691" s="18">
        <f>IF(L691="新增",1,IF(L691="修改",0.8,IF(L691="删除",0.2,"")))</f>
        <v/>
      </c>
      <c r="N691" s="18">
        <f>I691*K691*M691</f>
        <v/>
      </c>
    </row>
    <row r="692" ht="19" customHeight="1" s="1">
      <c r="B692" s="16" t="n">
        <v>687</v>
      </c>
      <c r="C692" s="16" t="inlineStr">
        <is>
          <t>分布式计算规则及现场验证</t>
        </is>
      </c>
      <c r="D692" s="16" t="inlineStr">
        <is>
          <t>数据存储服务</t>
        </is>
      </c>
      <c r="E692" s="16" t="inlineStr">
        <is>
          <t>数据治理服务</t>
        </is>
      </c>
      <c r="F692" s="16" t="inlineStr">
        <is>
          <t>数据脱敏服务</t>
        </is>
      </c>
      <c r="G692" s="17" t="inlineStr">
        <is>
          <t xml:space="preserve"> 提供数据脱敏处理服务</t>
        </is>
      </c>
      <c r="H692" s="18" t="inlineStr">
        <is>
          <t>EQ</t>
        </is>
      </c>
      <c r="I692" s="18">
        <f>IF(H692="ILF",10,IF(H692="EIF",7,IF(H692="EI",4,IF(H692="EO",5,IF(H692="EQ",4,"")))))</f>
        <v/>
      </c>
      <c r="J692" s="18" t="inlineStr">
        <is>
          <t>低</t>
        </is>
      </c>
      <c r="K692" s="18">
        <f>IF(J692="高",0.33,IF(J692="中",0.67,IF(J692="低",1,"")))</f>
        <v/>
      </c>
      <c r="L692" s="18" t="inlineStr">
        <is>
          <t>新增</t>
        </is>
      </c>
      <c r="M692" s="18">
        <f>IF(L692="新增",1,IF(L692="修改",0.8,IF(L692="删除",0.2,"")))</f>
        <v/>
      </c>
      <c r="N692" s="18">
        <f>I692*K692*M692</f>
        <v/>
      </c>
    </row>
    <row r="693" ht="19" customHeight="1" s="1">
      <c r="B693" s="16" t="n">
        <v>688</v>
      </c>
      <c r="C693" s="16" t="inlineStr">
        <is>
          <t>分布式计算规则及现场验证</t>
        </is>
      </c>
      <c r="D693" s="16" t="inlineStr">
        <is>
          <t>数据存储服务</t>
        </is>
      </c>
      <c r="E693" s="16" t="inlineStr">
        <is>
          <t>数据治理服务</t>
        </is>
      </c>
      <c r="F693" s="16" t="inlineStr">
        <is>
          <t>数据水印服务</t>
        </is>
      </c>
      <c r="G693" s="17" t="inlineStr">
        <is>
          <t xml:space="preserve"> 提供数据水印嵌入和检测服务</t>
        </is>
      </c>
      <c r="H693" s="18" t="inlineStr">
        <is>
          <t>EQ</t>
        </is>
      </c>
      <c r="I693" s="18">
        <f>IF(H693="ILF",10,IF(H693="EIF",7,IF(H693="EI",4,IF(H693="EO",5,IF(H693="EQ",4,"")))))</f>
        <v/>
      </c>
      <c r="J693" s="18" t="inlineStr">
        <is>
          <t>低</t>
        </is>
      </c>
      <c r="K693" s="18">
        <f>IF(J693="高",0.33,IF(J693="中",0.67,IF(J693="低",1,"")))</f>
        <v/>
      </c>
      <c r="L693" s="18" t="inlineStr">
        <is>
          <t>新增</t>
        </is>
      </c>
      <c r="M693" s="18">
        <f>IF(L693="新增",1,IF(L693="修改",0.8,IF(L693="删除",0.2,"")))</f>
        <v/>
      </c>
      <c r="N693" s="18">
        <f>I693*K693*M693</f>
        <v/>
      </c>
    </row>
    <row r="694" ht="19" customHeight="1" s="1">
      <c r="B694" s="16" t="n">
        <v>689</v>
      </c>
      <c r="C694" s="16" t="inlineStr">
        <is>
          <t>分布式计算规则及现场验证</t>
        </is>
      </c>
      <c r="D694" s="16" t="inlineStr">
        <is>
          <t>数据存储服务</t>
        </is>
      </c>
      <c r="E694" s="16" t="inlineStr">
        <is>
          <t>数据治理服务</t>
        </is>
      </c>
      <c r="F694" s="16" t="inlineStr">
        <is>
          <t>数据质量报告</t>
        </is>
      </c>
      <c r="G694" s="17" t="inlineStr">
        <is>
          <t xml:space="preserve"> 提供数据质量评估报告生成服务</t>
        </is>
      </c>
      <c r="H694" s="18" t="inlineStr">
        <is>
          <t>EQ</t>
        </is>
      </c>
      <c r="I694" s="18">
        <f>IF(H694="ILF",10,IF(H694="EIF",7,IF(H694="EI",4,IF(H694="EO",5,IF(H694="EQ",4,"")))))</f>
        <v/>
      </c>
      <c r="J694" s="18" t="inlineStr">
        <is>
          <t>低</t>
        </is>
      </c>
      <c r="K694" s="18">
        <f>IF(J694="高",0.33,IF(J694="中",0.67,IF(J694="低",1,"")))</f>
        <v/>
      </c>
      <c r="L694" s="18" t="inlineStr">
        <is>
          <t>新增</t>
        </is>
      </c>
      <c r="M694" s="18">
        <f>IF(L694="新增",1,IF(L694="修改",0.8,IF(L694="删除",0.2,"")))</f>
        <v/>
      </c>
      <c r="N694" s="18">
        <f>I694*K694*M694</f>
        <v/>
      </c>
    </row>
    <row r="695" ht="19" customHeight="1" s="1">
      <c r="B695" s="16" t="n">
        <v>690</v>
      </c>
      <c r="C695" s="16" t="inlineStr">
        <is>
          <t>分布式计算规则及现场验证</t>
        </is>
      </c>
      <c r="D695" s="16" t="inlineStr">
        <is>
          <t>数据存储服务</t>
        </is>
      </c>
      <c r="E695" s="16" t="inlineStr">
        <is>
          <t>数据治理服务</t>
        </is>
      </c>
      <c r="F695" s="16" t="inlineStr">
        <is>
          <t>数据合规审计</t>
        </is>
      </c>
      <c r="G695" s="17" t="inlineStr">
        <is>
          <t xml:space="preserve"> 提供数据合规性审计服务</t>
        </is>
      </c>
      <c r="H695" s="18" t="inlineStr">
        <is>
          <t>EQ</t>
        </is>
      </c>
      <c r="I695" s="18">
        <f>IF(H695="ILF",10,IF(H695="EIF",7,IF(H695="EI",4,IF(H695="EO",5,IF(H695="EQ",4,"")))))</f>
        <v/>
      </c>
      <c r="J695" s="18" t="inlineStr">
        <is>
          <t>低</t>
        </is>
      </c>
      <c r="K695" s="18">
        <f>IF(J695="高",0.33,IF(J695="中",0.67,IF(J695="低",1,"")))</f>
        <v/>
      </c>
      <c r="L695" s="18" t="inlineStr">
        <is>
          <t>新增</t>
        </is>
      </c>
      <c r="M695" s="18">
        <f>IF(L695="新增",1,IF(L695="修改",0.8,IF(L695="删除",0.2,"")))</f>
        <v/>
      </c>
      <c r="N695" s="18">
        <f>I695*K695*M695</f>
        <v/>
      </c>
    </row>
    <row r="696" ht="19" customHeight="1" s="1">
      <c r="B696" s="16" t="n">
        <v>691</v>
      </c>
      <c r="C696" s="16" t="inlineStr">
        <is>
          <t>分布式计算规则及现场验证</t>
        </is>
      </c>
      <c r="D696" s="16" t="inlineStr">
        <is>
          <t>数据存储服务</t>
        </is>
      </c>
      <c r="E696" s="16" t="inlineStr">
        <is>
          <t>数据治理服务</t>
        </is>
      </c>
      <c r="F696" s="16" t="inlineStr">
        <is>
          <t>数据归档检索</t>
        </is>
      </c>
      <c r="G696" s="17" t="inlineStr">
        <is>
          <t xml:space="preserve"> 提供归档数据高效检索服务</t>
        </is>
      </c>
      <c r="H696" s="18" t="inlineStr">
        <is>
          <t>EQ</t>
        </is>
      </c>
      <c r="I696" s="18">
        <f>IF(H696="ILF",10,IF(H696="EIF",7,IF(H696="EI",4,IF(H696="EO",5,IF(H696="EQ",4,"")))))</f>
        <v/>
      </c>
      <c r="J696" s="18" t="inlineStr">
        <is>
          <t>低</t>
        </is>
      </c>
      <c r="K696" s="18">
        <f>IF(J696="高",0.33,IF(J696="中",0.67,IF(J696="低",1,"")))</f>
        <v/>
      </c>
      <c r="L696" s="18" t="inlineStr">
        <is>
          <t>新增</t>
        </is>
      </c>
      <c r="M696" s="18">
        <f>IF(L696="新增",1,IF(L696="修改",0.8,IF(L696="删除",0.2,"")))</f>
        <v/>
      </c>
      <c r="N696" s="18">
        <f>I696*K696*M696</f>
        <v/>
      </c>
    </row>
    <row r="697" ht="19" customHeight="1" s="1">
      <c r="B697" s="16" t="n">
        <v>692</v>
      </c>
      <c r="C697" s="16" t="inlineStr">
        <is>
          <t>分布式计算规则及现场验证</t>
        </is>
      </c>
      <c r="D697" s="16" t="inlineStr">
        <is>
          <t>数据存储服务</t>
        </is>
      </c>
      <c r="E697" s="16" t="inlineStr">
        <is>
          <t>数据治理服务</t>
        </is>
      </c>
      <c r="F697" s="16" t="inlineStr">
        <is>
          <t>数据生命周期</t>
        </is>
      </c>
      <c r="G697" s="17" t="inlineStr">
        <is>
          <t xml:space="preserve"> 提供数据全生命周期管理服务</t>
        </is>
      </c>
      <c r="H697" s="18" t="inlineStr">
        <is>
          <t>EQ</t>
        </is>
      </c>
      <c r="I697" s="18">
        <f>IF(H697="ILF",10,IF(H697="EIF",7,IF(H697="EI",4,IF(H697="EO",5,IF(H697="EQ",4,"")))))</f>
        <v/>
      </c>
      <c r="J697" s="18" t="inlineStr">
        <is>
          <t>中</t>
        </is>
      </c>
      <c r="K697" s="18">
        <f>IF(J697="高",0.33,IF(J697="中",0.67,IF(J697="低",1,"")))</f>
        <v/>
      </c>
      <c r="L697" s="18" t="inlineStr">
        <is>
          <t>新增</t>
        </is>
      </c>
      <c r="M697" s="18">
        <f>IF(L697="新增",1,IF(L697="修改",0.8,IF(L697="删除",0.2,"")))</f>
        <v/>
      </c>
      <c r="N697" s="18">
        <f>I697*K697*M697</f>
        <v/>
      </c>
    </row>
    <row r="698" ht="19" customHeight="1" s="1">
      <c r="B698" s="16" t="n">
        <v>693</v>
      </c>
      <c r="C698" s="16" t="inlineStr">
        <is>
          <t>分布式计算规则及现场验证</t>
        </is>
      </c>
      <c r="D698" s="16" t="inlineStr">
        <is>
          <t>数据存储服务</t>
        </is>
      </c>
      <c r="E698" s="16" t="inlineStr">
        <is>
          <t>数据治理服务</t>
        </is>
      </c>
      <c r="F698" s="16" t="inlineStr">
        <is>
          <t>数据过期清理</t>
        </is>
      </c>
      <c r="G698" s="17" t="inlineStr">
        <is>
          <t xml:space="preserve"> 提供数据过期自动清理服务</t>
        </is>
      </c>
      <c r="H698" s="18" t="inlineStr">
        <is>
          <t>EQ</t>
        </is>
      </c>
      <c r="I698" s="18">
        <f>IF(H698="ILF",10,IF(H698="EIF",7,IF(H698="EI",4,IF(H698="EO",5,IF(H698="EQ",4,"")))))</f>
        <v/>
      </c>
      <c r="J698" s="18" t="inlineStr">
        <is>
          <t>中</t>
        </is>
      </c>
      <c r="K698" s="18">
        <f>IF(J698="高",0.33,IF(J698="中",0.67,IF(J698="低",1,"")))</f>
        <v/>
      </c>
      <c r="L698" s="18" t="inlineStr">
        <is>
          <t>新增</t>
        </is>
      </c>
      <c r="M698" s="18">
        <f>IF(L698="新增",1,IF(L698="修改",0.8,IF(L698="删除",0.2,"")))</f>
        <v/>
      </c>
      <c r="N698" s="18">
        <f>I698*K698*M698</f>
        <v/>
      </c>
    </row>
    <row r="699" ht="19" customHeight="1" s="1">
      <c r="B699" s="16" t="n">
        <v>694</v>
      </c>
      <c r="C699" s="16" t="inlineStr">
        <is>
          <t>分布式计算规则及现场验证</t>
        </is>
      </c>
      <c r="D699" s="16" t="inlineStr">
        <is>
          <t>数据存储服务</t>
        </is>
      </c>
      <c r="E699" s="16" t="inlineStr">
        <is>
          <t>存储性能管理</t>
        </is>
      </c>
      <c r="F699" s="16" t="inlineStr">
        <is>
          <t>写入IOPS性能报告</t>
        </is>
      </c>
      <c r="G699" s="17" t="inlineStr">
        <is>
          <t xml:space="preserve"> 提供存储系统写入IOPS性能报告服务</t>
        </is>
      </c>
      <c r="H699" s="18" t="inlineStr">
        <is>
          <t>EQ</t>
        </is>
      </c>
      <c r="I699" s="18">
        <f>IF(H699="ILF",10,IF(H699="EIF",7,IF(H699="EI",4,IF(H699="EO",5,IF(H699="EQ",4,"")))))</f>
        <v/>
      </c>
      <c r="J699" s="18" t="inlineStr">
        <is>
          <t>中</t>
        </is>
      </c>
      <c r="K699" s="18">
        <f>IF(J699="高",0.33,IF(J699="中",0.67,IF(J699="低",1,"")))</f>
        <v/>
      </c>
      <c r="L699" s="18" t="inlineStr">
        <is>
          <t>新增</t>
        </is>
      </c>
      <c r="M699" s="18">
        <f>IF(L699="新增",1,IF(L699="修改",0.8,IF(L699="删除",0.2,"")))</f>
        <v/>
      </c>
      <c r="N699" s="18">
        <f>I699*K699*M699</f>
        <v/>
      </c>
    </row>
    <row r="700" ht="19" customHeight="1" s="1">
      <c r="B700" s="16" t="n">
        <v>695</v>
      </c>
      <c r="C700" s="16" t="inlineStr">
        <is>
          <t>分布式计算规则及现场验证</t>
        </is>
      </c>
      <c r="D700" s="16" t="inlineStr">
        <is>
          <t>数据存储服务</t>
        </is>
      </c>
      <c r="E700" s="16" t="inlineStr">
        <is>
          <t>存储性能管理</t>
        </is>
      </c>
      <c r="F700" s="16" t="inlineStr">
        <is>
          <t>查询响应性能报告</t>
        </is>
      </c>
      <c r="G700" s="17" t="inlineStr">
        <is>
          <t xml:space="preserve"> 提供存储系统查询响应时间报告服务</t>
        </is>
      </c>
      <c r="H700" s="18" t="inlineStr">
        <is>
          <t>EQ</t>
        </is>
      </c>
      <c r="I700" s="18">
        <f>IF(H700="ILF",10,IF(H700="EIF",7,IF(H700="EI",4,IF(H700="EO",5,IF(H700="EQ",4,"")))))</f>
        <v/>
      </c>
      <c r="J700" s="18" t="inlineStr">
        <is>
          <t>中</t>
        </is>
      </c>
      <c r="K700" s="18">
        <f>IF(J700="高",0.33,IF(J700="中",0.67,IF(J700="低",1,"")))</f>
        <v/>
      </c>
      <c r="L700" s="18" t="inlineStr">
        <is>
          <t>新增</t>
        </is>
      </c>
      <c r="M700" s="18">
        <f>IF(L700="新增",1,IF(L700="修改",0.8,IF(L700="删除",0.2,"")))</f>
        <v/>
      </c>
      <c r="N700" s="18">
        <f>I700*K700*M700</f>
        <v/>
      </c>
    </row>
    <row r="701" ht="19" customHeight="1" s="1">
      <c r="B701" s="16" t="n">
        <v>696</v>
      </c>
      <c r="C701" s="16" t="inlineStr">
        <is>
          <t>分布式计算规则及现场验证</t>
        </is>
      </c>
      <c r="D701" s="16" t="inlineStr">
        <is>
          <t>数据开放服务</t>
        </is>
      </c>
      <c r="E701" s="16" t="inlineStr">
        <is>
          <t>数据接入服务</t>
        </is>
      </c>
      <c r="F701" s="16" t="inlineStr">
        <is>
          <t>数据格式适配配置</t>
        </is>
      </c>
      <c r="G701" s="17" t="inlineStr">
        <is>
          <t xml:space="preserve"> 提供数据接入格式适配参数配置技术服务</t>
        </is>
      </c>
      <c r="H701" s="18" t="inlineStr">
        <is>
          <t>EQ</t>
        </is>
      </c>
      <c r="I701" s="18">
        <f>IF(H701="ILF",10,IF(H701="EIF",7,IF(H701="EI",4,IF(H701="EO",5,IF(H701="EQ",4,"")))))</f>
        <v/>
      </c>
      <c r="J701" s="18" t="inlineStr">
        <is>
          <t>中</t>
        </is>
      </c>
      <c r="K701" s="18">
        <f>IF(J701="高",0.33,IF(J701="中",0.67,IF(J701="低",1,"")))</f>
        <v/>
      </c>
      <c r="L701" s="18" t="inlineStr">
        <is>
          <t>新增</t>
        </is>
      </c>
      <c r="M701" s="18">
        <f>IF(L701="新增",1,IF(L701="修改",0.8,IF(L701="删除",0.2,"")))</f>
        <v/>
      </c>
      <c r="N701" s="18">
        <f>I701*K701*M701</f>
        <v/>
      </c>
    </row>
    <row r="702" ht="19" customHeight="1" s="1">
      <c r="B702" s="16" t="n">
        <v>697</v>
      </c>
      <c r="C702" s="16" t="inlineStr">
        <is>
          <t>分布式计算规则及现场验证</t>
        </is>
      </c>
      <c r="D702" s="16" t="inlineStr">
        <is>
          <t>数据开放服务</t>
        </is>
      </c>
      <c r="E702" s="16" t="inlineStr">
        <is>
          <t>数据接入服务</t>
        </is>
      </c>
      <c r="F702" s="16" t="inlineStr">
        <is>
          <t>数据清洗规则配置</t>
        </is>
      </c>
      <c r="G702" s="17" t="inlineStr">
        <is>
          <t xml:space="preserve"> 提供数据接入清洗规则参数配置技术服务</t>
        </is>
      </c>
      <c r="H702" s="18" t="inlineStr">
        <is>
          <t>EQ</t>
        </is>
      </c>
      <c r="I702" s="18">
        <f>IF(H702="ILF",10,IF(H702="EIF",7,IF(H702="EI",4,IF(H702="EO",5,IF(H702="EQ",4,"")))))</f>
        <v/>
      </c>
      <c r="J702" s="18" t="inlineStr">
        <is>
          <t>中</t>
        </is>
      </c>
      <c r="K702" s="18">
        <f>IF(J702="高",0.33,IF(J702="中",0.67,IF(J702="低",1,"")))</f>
        <v/>
      </c>
      <c r="L702" s="18" t="inlineStr">
        <is>
          <t>新增</t>
        </is>
      </c>
      <c r="M702" s="18">
        <f>IF(L702="新增",1,IF(L702="修改",0.8,IF(L702="删除",0.2,"")))</f>
        <v/>
      </c>
      <c r="N702" s="18">
        <f>I702*K702*M702</f>
        <v/>
      </c>
    </row>
    <row r="703" ht="19" customHeight="1" s="1">
      <c r="B703" s="16" t="n">
        <v>698</v>
      </c>
      <c r="C703" s="16" t="inlineStr">
        <is>
          <t>分布式计算规则及现场验证</t>
        </is>
      </c>
      <c r="D703" s="16" t="inlineStr">
        <is>
          <t>数据开放服务</t>
        </is>
      </c>
      <c r="E703" s="16" t="inlineStr">
        <is>
          <t>数据接入服务</t>
        </is>
      </c>
      <c r="F703" s="16" t="inlineStr">
        <is>
          <t>数据路由规则配置</t>
        </is>
      </c>
      <c r="G703" s="17" t="inlineStr">
        <is>
          <t xml:space="preserve"> 提供数据接入路由分发规则配置技术服务</t>
        </is>
      </c>
      <c r="H703" s="18" t="inlineStr">
        <is>
          <t>EQ</t>
        </is>
      </c>
      <c r="I703" s="18">
        <f>IF(H703="ILF",10,IF(H703="EIF",7,IF(H703="EI",4,IF(H703="EO",5,IF(H703="EQ",4,"")))))</f>
        <v/>
      </c>
      <c r="J703" s="18" t="inlineStr">
        <is>
          <t>中</t>
        </is>
      </c>
      <c r="K703" s="18">
        <f>IF(J703="高",0.33,IF(J703="中",0.67,IF(J703="低",1,"")))</f>
        <v/>
      </c>
      <c r="L703" s="18" t="inlineStr">
        <is>
          <t>新增</t>
        </is>
      </c>
      <c r="M703" s="18">
        <f>IF(L703="新增",1,IF(L703="修改",0.8,IF(L703="删除",0.2,"")))</f>
        <v/>
      </c>
      <c r="N703" s="18">
        <f>I703*K703*M703</f>
        <v/>
      </c>
    </row>
    <row r="704" ht="19" customHeight="1" s="1">
      <c r="B704" s="16" t="n">
        <v>699</v>
      </c>
      <c r="C704" s="16" t="inlineStr">
        <is>
          <t>分布式计算规则及现场验证</t>
        </is>
      </c>
      <c r="D704" s="16" t="inlineStr">
        <is>
          <t>数据开放服务</t>
        </is>
      </c>
      <c r="E704" s="16" t="inlineStr">
        <is>
          <t>数据交换服务</t>
        </is>
      </c>
      <c r="F704" s="16" t="inlineStr">
        <is>
          <t>数据交换任务配置</t>
        </is>
      </c>
      <c r="G704" s="17" t="inlineStr">
        <is>
          <t xml:space="preserve"> 提供跨系统数据交换任务配置技术服务</t>
        </is>
      </c>
      <c r="H704" s="18" t="inlineStr">
        <is>
          <t>EQ</t>
        </is>
      </c>
      <c r="I704" s="18">
        <f>IF(H704="ILF",10,IF(H704="EIF",7,IF(H704="EI",4,IF(H704="EO",5,IF(H704="EQ",4,"")))))</f>
        <v/>
      </c>
      <c r="J704" s="18" t="inlineStr">
        <is>
          <t>中</t>
        </is>
      </c>
      <c r="K704" s="18">
        <f>IF(J704="高",0.33,IF(J704="中",0.67,IF(J704="低",1,"")))</f>
        <v/>
      </c>
      <c r="L704" s="18" t="inlineStr">
        <is>
          <t>新增</t>
        </is>
      </c>
      <c r="M704" s="18">
        <f>IF(L704="新增",1,IF(L704="修改",0.8,IF(L704="删除",0.2,"")))</f>
        <v/>
      </c>
      <c r="N704" s="18">
        <f>I704*K704*M704</f>
        <v/>
      </c>
    </row>
    <row r="705" ht="19" customHeight="1" s="1">
      <c r="B705" s="16" t="n">
        <v>700</v>
      </c>
      <c r="C705" s="16" t="inlineStr">
        <is>
          <t>分布式计算规则及现场验证</t>
        </is>
      </c>
      <c r="D705" s="16" t="inlineStr">
        <is>
          <t>数据开放服务</t>
        </is>
      </c>
      <c r="E705" s="16" t="inlineStr">
        <is>
          <t>数据交换服务</t>
        </is>
      </c>
      <c r="F705" s="16" t="inlineStr">
        <is>
          <t>数据交换监控</t>
        </is>
      </c>
      <c r="G705" s="17" t="inlineStr">
        <is>
          <t xml:space="preserve"> 提供跨系统数据交换状态监控技术服务</t>
        </is>
      </c>
      <c r="H705" s="18" t="inlineStr">
        <is>
          <t>EQ</t>
        </is>
      </c>
      <c r="I705" s="18">
        <f>IF(H705="ILF",10,IF(H705="EIF",7,IF(H705="EI",4,IF(H705="EO",5,IF(H705="EQ",4,"")))))</f>
        <v/>
      </c>
      <c r="J705" s="18" t="inlineStr">
        <is>
          <t>中</t>
        </is>
      </c>
      <c r="K705" s="18">
        <f>IF(J705="高",0.33,IF(J705="中",0.67,IF(J705="低",1,"")))</f>
        <v/>
      </c>
      <c r="L705" s="18" t="inlineStr">
        <is>
          <t>新增</t>
        </is>
      </c>
      <c r="M705" s="18">
        <f>IF(L705="新增",1,IF(L705="修改",0.8,IF(L705="删除",0.2,"")))</f>
        <v/>
      </c>
      <c r="N705" s="18">
        <f>I705*K705*M705</f>
        <v/>
      </c>
    </row>
    <row r="706" ht="19" customHeight="1" s="1">
      <c r="B706" s="16" t="n">
        <v>701</v>
      </c>
      <c r="C706" s="16" t="inlineStr">
        <is>
          <t>分布式计算规则及现场验证</t>
        </is>
      </c>
      <c r="D706" s="16" t="inlineStr">
        <is>
          <t>数据存储服务</t>
        </is>
      </c>
      <c r="E706" s="16" t="inlineStr">
        <is>
          <t>存储容量管理</t>
        </is>
      </c>
      <c r="F706" s="16" t="inlineStr">
        <is>
          <t>存储容量预警配置</t>
        </is>
      </c>
      <c r="G706" s="17" t="inlineStr">
        <is>
          <t xml:space="preserve"> 提供存储容量预警阈值参数配置技术服务</t>
        </is>
      </c>
      <c r="H706" s="18" t="inlineStr">
        <is>
          <t>EQ</t>
        </is>
      </c>
      <c r="I706" s="18">
        <f>IF(H706="ILF",10,IF(H706="EIF",7,IF(H706="EI",4,IF(H706="EO",5,IF(H706="EQ",4,"")))))</f>
        <v/>
      </c>
      <c r="J706" s="18" t="inlineStr">
        <is>
          <t>中</t>
        </is>
      </c>
      <c r="K706" s="18">
        <f>IF(J706="高",0.33,IF(J706="中",0.67,IF(J706="低",1,"")))</f>
        <v/>
      </c>
      <c r="L706" s="18" t="inlineStr">
        <is>
          <t>新增</t>
        </is>
      </c>
      <c r="M706" s="18">
        <f>IF(L706="新增",1,IF(L706="修改",0.8,IF(L706="删除",0.2,"")))</f>
        <v/>
      </c>
      <c r="N706" s="18">
        <f>I706*K706*M706</f>
        <v/>
      </c>
    </row>
    <row r="707" ht="19" customHeight="1" s="1">
      <c r="B707" s="16" t="n">
        <v>702</v>
      </c>
      <c r="C707" s="16" t="inlineStr">
        <is>
          <t>分布式计算规则及现场验证</t>
        </is>
      </c>
      <c r="D707" s="16" t="inlineStr">
        <is>
          <t>数据存储服务</t>
        </is>
      </c>
      <c r="E707" s="16" t="inlineStr">
        <is>
          <t>存储容量管理</t>
        </is>
      </c>
      <c r="F707" s="16" t="inlineStr">
        <is>
          <t>存储容量报表生成</t>
        </is>
      </c>
      <c r="G707" s="17" t="inlineStr">
        <is>
          <t xml:space="preserve"> 提供存储容量使用统计报表服务</t>
        </is>
      </c>
      <c r="H707" s="18" t="inlineStr">
        <is>
          <t>EQ</t>
        </is>
      </c>
      <c r="I707" s="18">
        <f>IF(H707="ILF",10,IF(H707="EIF",7,IF(H707="EI",4,IF(H707="EO",5,IF(H707="EQ",4,"")))))</f>
        <v/>
      </c>
      <c r="J707" s="18" t="inlineStr">
        <is>
          <t>中</t>
        </is>
      </c>
      <c r="K707" s="18">
        <f>IF(J707="高",0.33,IF(J707="中",0.67,IF(J707="低",1,"")))</f>
        <v/>
      </c>
      <c r="L707" s="18" t="inlineStr">
        <is>
          <t>新增</t>
        </is>
      </c>
      <c r="M707" s="18">
        <f>IF(L707="新增",1,IF(L707="修改",0.8,IF(L707="删除",0.2,"")))</f>
        <v/>
      </c>
      <c r="N707" s="18">
        <f>I707*K707*M707</f>
        <v/>
      </c>
    </row>
    <row r="708" ht="19" customHeight="1" s="1">
      <c r="B708" s="16" t="n">
        <v>703</v>
      </c>
      <c r="C708" s="16" t="inlineStr">
        <is>
          <t>分布式计算规则及现场验证</t>
        </is>
      </c>
      <c r="D708" s="16" t="inlineStr">
        <is>
          <t>数据存储服务</t>
        </is>
      </c>
      <c r="E708" s="16" t="inlineStr">
        <is>
          <t>存储运维服务</t>
        </is>
      </c>
      <c r="F708" s="16" t="inlineStr">
        <is>
          <t>存储节点扩容配置</t>
        </is>
      </c>
      <c r="G708" s="17" t="inlineStr">
        <is>
          <t xml:space="preserve"> 提供存储节点扩容参数配置服务</t>
        </is>
      </c>
      <c r="H708" s="18" t="inlineStr">
        <is>
          <t>EQ</t>
        </is>
      </c>
      <c r="I708" s="18">
        <f>IF(H708="ILF",10,IF(H708="EIF",7,IF(H708="EI",4,IF(H708="EO",5,IF(H708="EQ",4,"")))))</f>
        <v/>
      </c>
      <c r="J708" s="18" t="inlineStr">
        <is>
          <t>中</t>
        </is>
      </c>
      <c r="K708" s="18">
        <f>IF(J708="高",0.33,IF(J708="中",0.67,IF(J708="低",1,"")))</f>
        <v/>
      </c>
      <c r="L708" s="18" t="inlineStr">
        <is>
          <t>新增</t>
        </is>
      </c>
      <c r="M708" s="18">
        <f>IF(L708="新增",1,IF(L708="修改",0.8,IF(L708="删除",0.2,"")))</f>
        <v/>
      </c>
      <c r="N708" s="18">
        <f>I708*K708*M708</f>
        <v/>
      </c>
    </row>
    <row r="709" ht="19" customHeight="1" s="1">
      <c r="B709" s="16" t="n">
        <v>704</v>
      </c>
      <c r="C709" s="16" t="inlineStr">
        <is>
          <t>分布式计算规则及现场验证</t>
        </is>
      </c>
      <c r="D709" s="16" t="inlineStr">
        <is>
          <t>数据存储服务</t>
        </is>
      </c>
      <c r="E709" s="16" t="inlineStr">
        <is>
          <t>存储运维服务</t>
        </is>
      </c>
      <c r="F709" s="16" t="inlineStr">
        <is>
          <t>存储数据校验</t>
        </is>
      </c>
      <c r="G709" s="17" t="inlineStr">
        <is>
          <t xml:space="preserve"> 提供存储数据完整性校验服务</t>
        </is>
      </c>
      <c r="H709" s="18" t="inlineStr">
        <is>
          <t>EQ</t>
        </is>
      </c>
      <c r="I709" s="18">
        <f>IF(H709="ILF",10,IF(H709="EIF",7,IF(H709="EI",4,IF(H709="EO",5,IF(H709="EQ",4,"")))))</f>
        <v/>
      </c>
      <c r="J709" s="18" t="inlineStr">
        <is>
          <t>中</t>
        </is>
      </c>
      <c r="K709" s="18">
        <f>IF(J709="高",0.33,IF(J709="中",0.67,IF(J709="低",1,"")))</f>
        <v/>
      </c>
      <c r="L709" s="18" t="inlineStr">
        <is>
          <t>新增</t>
        </is>
      </c>
      <c r="M709" s="18">
        <f>IF(L709="新增",1,IF(L709="修改",0.8,IF(L709="删除",0.2,"")))</f>
        <v/>
      </c>
      <c r="N709" s="18">
        <f>I709*K709*M709</f>
        <v/>
      </c>
    </row>
    <row r="710" ht="19" customHeight="1" s="1">
      <c r="B710" s="16" t="n">
        <v>705</v>
      </c>
      <c r="C710" s="16" t="inlineStr">
        <is>
          <t>现场实施、文档及培训</t>
        </is>
      </c>
      <c r="D710" s="16" t="inlineStr">
        <is>
          <t>监控大屏服务</t>
        </is>
      </c>
      <c r="E710" s="16" t="inlineStr">
        <is>
          <t>扩展看板配置</t>
        </is>
      </c>
      <c r="F710" s="16" t="inlineStr">
        <is>
          <t>趋势预警</t>
        </is>
      </c>
      <c r="G710" s="17" t="inlineStr">
        <is>
          <t xml:space="preserve"> 提供指标趋势预警配置服务</t>
        </is>
      </c>
      <c r="H710" s="18" t="inlineStr">
        <is>
          <t>ILF</t>
        </is>
      </c>
      <c r="I710" s="18">
        <f>IF(H710="ILF",10,IF(H710="EIF",7,IF(H710="EI",4,IF(H710="EO",5,IF(H710="EQ",4,"")))))</f>
        <v/>
      </c>
      <c r="J710" s="18" t="inlineStr">
        <is>
          <t>低</t>
        </is>
      </c>
      <c r="K710" s="18">
        <f>IF(J710="高",0.33,IF(J710="中",0.67,IF(J710="低",1,"")))</f>
        <v/>
      </c>
      <c r="L710" s="18" t="inlineStr">
        <is>
          <t>新增</t>
        </is>
      </c>
      <c r="M710" s="18">
        <f>IF(L710="新增",1,IF(L710="修改",0.8,IF(L710="删除",0.2,"")))</f>
        <v/>
      </c>
      <c r="N710" s="18">
        <f>I710*K710*M710</f>
        <v/>
      </c>
    </row>
    <row r="711" ht="19" customHeight="1" s="1">
      <c r="B711" s="16" t="n">
        <v>706</v>
      </c>
      <c r="C711" s="16" t="inlineStr">
        <is>
          <t>现场实施、文档及培训</t>
        </is>
      </c>
      <c r="D711" s="16" t="inlineStr">
        <is>
          <t>监控大屏服务</t>
        </is>
      </c>
      <c r="E711" s="16" t="inlineStr">
        <is>
          <t>扩展看板配置</t>
        </is>
      </c>
      <c r="F711" s="16" t="inlineStr">
        <is>
          <t>异常预警</t>
        </is>
      </c>
      <c r="G711" s="17" t="inlineStr">
        <is>
          <t xml:space="preserve"> 提供数据异常预警配置服务</t>
        </is>
      </c>
      <c r="H711" s="18" t="inlineStr">
        <is>
          <t>ILF</t>
        </is>
      </c>
      <c r="I711" s="18">
        <f>IF(H711="ILF",10,IF(H711="EIF",7,IF(H711="EI",4,IF(H711="EO",5,IF(H711="EQ",4,"")))))</f>
        <v/>
      </c>
      <c r="J711" s="18" t="inlineStr">
        <is>
          <t>低</t>
        </is>
      </c>
      <c r="K711" s="18">
        <f>IF(J711="高",0.33,IF(J711="中",0.67,IF(J711="低",1,"")))</f>
        <v/>
      </c>
      <c r="L711" s="18" t="inlineStr">
        <is>
          <t>新增</t>
        </is>
      </c>
      <c r="M711" s="18">
        <f>IF(L711="新增",1,IF(L711="修改",0.8,IF(L711="删除",0.2,"")))</f>
        <v/>
      </c>
      <c r="N711" s="18">
        <f>I711*K711*M711</f>
        <v/>
      </c>
    </row>
    <row r="712" ht="19" customHeight="1" s="1">
      <c r="B712" s="16" t="n">
        <v>707</v>
      </c>
      <c r="C712" s="16" t="inlineStr">
        <is>
          <t>现场实施、文档及培训</t>
        </is>
      </c>
      <c r="D712" s="16" t="inlineStr">
        <is>
          <t>监控大屏服务</t>
        </is>
      </c>
      <c r="E712" s="16" t="inlineStr">
        <is>
          <t>扩展看板配置</t>
        </is>
      </c>
      <c r="F712" s="16" t="inlineStr">
        <is>
          <t>预警通知</t>
        </is>
      </c>
      <c r="G712" s="17" t="inlineStr">
        <is>
          <t xml:space="preserve"> 提供预警消息推送配置服务</t>
        </is>
      </c>
      <c r="H712" s="18" t="inlineStr">
        <is>
          <t>ILF</t>
        </is>
      </c>
      <c r="I712" s="18">
        <f>IF(H712="ILF",10,IF(H712="EIF",7,IF(H712="EI",4,IF(H712="EO",5,IF(H712="EQ",4,"")))))</f>
        <v/>
      </c>
      <c r="J712" s="18" t="inlineStr">
        <is>
          <t>低</t>
        </is>
      </c>
      <c r="K712" s="18">
        <f>IF(J712="高",0.33,IF(J712="中",0.67,IF(J712="低",1,"")))</f>
        <v/>
      </c>
      <c r="L712" s="18" t="inlineStr">
        <is>
          <t>新增</t>
        </is>
      </c>
      <c r="M712" s="18">
        <f>IF(L712="新增",1,IF(L712="修改",0.8,IF(L712="删除",0.2,"")))</f>
        <v/>
      </c>
      <c r="N712" s="18">
        <f>I712*K712*M712</f>
        <v/>
      </c>
    </row>
    <row r="713" ht="19" customHeight="1" s="1">
      <c r="B713" s="16" t="n">
        <v>708</v>
      </c>
      <c r="C713" s="16" t="inlineStr">
        <is>
          <t>现场实施、文档及培训</t>
        </is>
      </c>
      <c r="D713" s="16" t="inlineStr">
        <is>
          <t>监控大屏服务</t>
        </is>
      </c>
      <c r="E713" s="16" t="inlineStr">
        <is>
          <t>扩展看板配置</t>
        </is>
      </c>
      <c r="F713" s="16" t="inlineStr">
        <is>
          <t>预警升级</t>
        </is>
      </c>
      <c r="G713" s="17" t="inlineStr">
        <is>
          <t xml:space="preserve"> 提供预警升级策略配置服务</t>
        </is>
      </c>
      <c r="H713" s="18" t="inlineStr">
        <is>
          <t>ILF</t>
        </is>
      </c>
      <c r="I713" s="18">
        <f>IF(H713="ILF",10,IF(H713="EIF",7,IF(H713="EI",4,IF(H713="EO",5,IF(H713="EQ",4,"")))))</f>
        <v/>
      </c>
      <c r="J713" s="18" t="inlineStr">
        <is>
          <t>低</t>
        </is>
      </c>
      <c r="K713" s="18">
        <f>IF(J713="高",0.33,IF(J713="中",0.67,IF(J713="低",1,"")))</f>
        <v/>
      </c>
      <c r="L713" s="18" t="inlineStr">
        <is>
          <t>新增</t>
        </is>
      </c>
      <c r="M713" s="18">
        <f>IF(L713="新增",1,IF(L713="修改",0.8,IF(L713="删除",0.2,"")))</f>
        <v/>
      </c>
      <c r="N713" s="18">
        <f>I713*K713*M713</f>
        <v/>
      </c>
    </row>
    <row r="714" ht="19" customHeight="1" s="1">
      <c r="B714" s="16" t="n">
        <v>709</v>
      </c>
      <c r="C714" s="16" t="inlineStr">
        <is>
          <t>现场实施、文档及培训</t>
        </is>
      </c>
      <c r="D714" s="16" t="inlineStr">
        <is>
          <t>监控大屏服务</t>
        </is>
      </c>
      <c r="E714" s="16" t="inlineStr">
        <is>
          <t>告警展示大屏</t>
        </is>
      </c>
      <c r="F714" s="16" t="inlineStr">
        <is>
          <t>告警总览大屏配置</t>
        </is>
      </c>
      <c r="G714" s="17" t="inlineStr">
        <is>
          <t xml:space="preserve"> 提供告警状态总览大屏配置技术服务</t>
        </is>
      </c>
      <c r="H714" s="18" t="inlineStr">
        <is>
          <t>ILF</t>
        </is>
      </c>
      <c r="I714" s="18">
        <f>IF(H714="ILF",10,IF(H714="EIF",7,IF(H714="EI",4,IF(H714="EO",5,IF(H714="EQ",4,"")))))</f>
        <v/>
      </c>
      <c r="J714" s="18" t="inlineStr">
        <is>
          <t>中</t>
        </is>
      </c>
      <c r="K714" s="18">
        <f>IF(J714="高",0.33,IF(J714="中",0.67,IF(J714="低",1,"")))</f>
        <v/>
      </c>
      <c r="L714" s="18" t="inlineStr">
        <is>
          <t>新增</t>
        </is>
      </c>
      <c r="M714" s="18">
        <f>IF(L714="新增",1,IF(L714="修改",0.8,IF(L714="删除",0.2,"")))</f>
        <v/>
      </c>
      <c r="N714" s="18">
        <f>I714*K714*M714</f>
        <v/>
      </c>
    </row>
    <row r="715" ht="19" customHeight="1" s="1">
      <c r="B715" s="16" t="n">
        <v>710</v>
      </c>
      <c r="C715" s="16" t="inlineStr">
        <is>
          <t>现场实施、文档及培训</t>
        </is>
      </c>
      <c r="D715" s="16" t="inlineStr">
        <is>
          <t>监控大屏服务</t>
        </is>
      </c>
      <c r="E715" s="16" t="inlineStr">
        <is>
          <t>告警展示大屏</t>
        </is>
      </c>
      <c r="F715" s="16" t="inlineStr">
        <is>
          <t>告警实时刷新配置</t>
        </is>
      </c>
      <c r="G715" s="17" t="inlineStr">
        <is>
          <t xml:space="preserve"> 提供告警大屏实时刷新频率配置技术服务</t>
        </is>
      </c>
      <c r="H715" s="18" t="inlineStr">
        <is>
          <t>ILF</t>
        </is>
      </c>
      <c r="I715" s="18">
        <f>IF(H715="ILF",10,IF(H715="EIF",7,IF(H715="EI",4,IF(H715="EO",5,IF(H715="EQ",4,"")))))</f>
        <v/>
      </c>
      <c r="J715" s="18" t="inlineStr">
        <is>
          <t>中</t>
        </is>
      </c>
      <c r="K715" s="18">
        <f>IF(J715="高",0.33,IF(J715="中",0.67,IF(J715="低",1,"")))</f>
        <v/>
      </c>
      <c r="L715" s="18" t="inlineStr">
        <is>
          <t>新增</t>
        </is>
      </c>
      <c r="M715" s="18">
        <f>IF(L715="新增",1,IF(L715="修改",0.8,IF(L715="删除",0.2,"")))</f>
        <v/>
      </c>
      <c r="N715" s="18">
        <f>I715*K715*M715</f>
        <v/>
      </c>
    </row>
    <row r="716" ht="19" customHeight="1" s="1">
      <c r="B716" s="16" t="n">
        <v>711</v>
      </c>
      <c r="C716" s="16" t="inlineStr">
        <is>
          <t>现场实施、文档及培训</t>
        </is>
      </c>
      <c r="D716" s="16" t="inlineStr">
        <is>
          <t>监控大屏服务</t>
        </is>
      </c>
      <c r="E716" s="16" t="inlineStr">
        <is>
          <t>运维总览大屏</t>
        </is>
      </c>
      <c r="F716" s="16" t="inlineStr">
        <is>
          <t>系统运行总览大屏配置</t>
        </is>
      </c>
      <c r="G716" s="17" t="inlineStr">
        <is>
          <t xml:space="preserve"> 提供系统整体运行状态大屏配置技术服务</t>
        </is>
      </c>
      <c r="H716" s="18" t="inlineStr">
        <is>
          <t>ILF</t>
        </is>
      </c>
      <c r="I716" s="18">
        <f>IF(H716="ILF",10,IF(H716="EIF",7,IF(H716="EI",4,IF(H716="EO",5,IF(H716="EQ",4,"")))))</f>
        <v/>
      </c>
      <c r="J716" s="18" t="inlineStr">
        <is>
          <t>中</t>
        </is>
      </c>
      <c r="K716" s="18">
        <f>IF(J716="高",0.33,IF(J716="中",0.67,IF(J716="低",1,"")))</f>
        <v/>
      </c>
      <c r="L716" s="18" t="inlineStr">
        <is>
          <t>新增</t>
        </is>
      </c>
      <c r="M716" s="18">
        <f>IF(L716="新增",1,IF(L716="修改",0.8,IF(L716="删除",0.2,"")))</f>
        <v/>
      </c>
      <c r="N716" s="18">
        <f>I716*K716*M716</f>
        <v/>
      </c>
    </row>
    <row r="717" ht="19" customHeight="1" s="1">
      <c r="B717" s="16" t="n">
        <v>712</v>
      </c>
      <c r="C717" s="16" t="inlineStr">
        <is>
          <t>现场实施、文档及培训</t>
        </is>
      </c>
      <c r="D717" s="16" t="inlineStr">
        <is>
          <t>监控大屏服务</t>
        </is>
      </c>
      <c r="E717" s="16" t="inlineStr">
        <is>
          <t>运维总览大屏</t>
        </is>
      </c>
      <c r="F717" s="16" t="inlineStr">
        <is>
          <t>数据质量总览大屏配置</t>
        </is>
      </c>
      <c r="G717" s="17" t="inlineStr">
        <is>
          <t xml:space="preserve"> 提供数据质量总览大屏配置技术服务</t>
        </is>
      </c>
      <c r="H717" s="18" t="inlineStr">
        <is>
          <t>ILF</t>
        </is>
      </c>
      <c r="I717" s="18">
        <f>IF(H717="ILF",10,IF(H717="EIF",7,IF(H717="EI",4,IF(H717="EO",5,IF(H717="EQ",4,"")))))</f>
        <v/>
      </c>
      <c r="J717" s="18" t="inlineStr">
        <is>
          <t>中</t>
        </is>
      </c>
      <c r="K717" s="18">
        <f>IF(J717="高",0.33,IF(J717="中",0.67,IF(J717="低",1,"")))</f>
        <v/>
      </c>
      <c r="L717" s="18" t="inlineStr">
        <is>
          <t>新增</t>
        </is>
      </c>
      <c r="M717" s="18">
        <f>IF(L717="新增",1,IF(L717="修改",0.8,IF(L717="删除",0.2,"")))</f>
        <v/>
      </c>
      <c r="N717" s="18">
        <f>I717*K717*M717</f>
        <v/>
      </c>
    </row>
    <row r="718" ht="19" customHeight="1" s="1">
      <c r="B718" s="16" t="n">
        <v>713</v>
      </c>
      <c r="C718" s="16" t="inlineStr">
        <is>
          <t>现场实施、文档及培训</t>
        </is>
      </c>
      <c r="D718" s="16" t="inlineStr">
        <is>
          <t>管理驾驶舱</t>
        </is>
      </c>
      <c r="E718" s="16" t="inlineStr">
        <is>
          <t>移动端驾驶舱</t>
        </is>
      </c>
      <c r="F718" s="16" t="inlineStr">
        <is>
          <t>移动端设备状态看板</t>
        </is>
      </c>
      <c r="G718" s="17" t="inlineStr">
        <is>
          <t xml:space="preserve"> 提供手机端设备状态看板配置技术服务</t>
        </is>
      </c>
      <c r="H718" s="18" t="inlineStr">
        <is>
          <t>ILF</t>
        </is>
      </c>
      <c r="I718" s="18">
        <f>IF(H718="ILF",10,IF(H718="EIF",7,IF(H718="EI",4,IF(H718="EO",5,IF(H718="EQ",4,"")))))</f>
        <v/>
      </c>
      <c r="J718" s="18" t="inlineStr">
        <is>
          <t>中</t>
        </is>
      </c>
      <c r="K718" s="18">
        <f>IF(J718="高",0.33,IF(J718="中",0.67,IF(J718="低",1,"")))</f>
        <v/>
      </c>
      <c r="L718" s="18" t="inlineStr">
        <is>
          <t>新增</t>
        </is>
      </c>
      <c r="M718" s="18">
        <f>IF(L718="新增",1,IF(L718="修改",0.8,IF(L718="删除",0.2,"")))</f>
        <v/>
      </c>
      <c r="N718" s="18">
        <f>I718*K718*M718</f>
        <v/>
      </c>
    </row>
    <row r="719" ht="19" customHeight="1" s="1">
      <c r="B719" s="16" t="n">
        <v>714</v>
      </c>
      <c r="C719" s="16" t="inlineStr">
        <is>
          <t>现场实施、文档及培训</t>
        </is>
      </c>
      <c r="D719" s="16" t="inlineStr">
        <is>
          <t>管理驾驶舱</t>
        </is>
      </c>
      <c r="E719" s="16" t="inlineStr">
        <is>
          <t>移动端驾驶舱</t>
        </is>
      </c>
      <c r="F719" s="16" t="inlineStr">
        <is>
          <t>移动端告警看板配置</t>
        </is>
      </c>
      <c r="G719" s="17" t="inlineStr">
        <is>
          <t xml:space="preserve"> 提供手机端告警看板配置技术服务</t>
        </is>
      </c>
      <c r="H719" s="18" t="inlineStr">
        <is>
          <t>ILF</t>
        </is>
      </c>
      <c r="I719" s="18">
        <f>IF(H719="ILF",10,IF(H719="EIF",7,IF(H719="EI",4,IF(H719="EO",5,IF(H719="EQ",4,"")))))</f>
        <v/>
      </c>
      <c r="J719" s="18" t="inlineStr">
        <is>
          <t>中</t>
        </is>
      </c>
      <c r="K719" s="18">
        <f>IF(J719="高",0.33,IF(J719="中",0.67,IF(J719="低",1,"")))</f>
        <v/>
      </c>
      <c r="L719" s="18" t="inlineStr">
        <is>
          <t>新增</t>
        </is>
      </c>
      <c r="M719" s="18">
        <f>IF(L719="新增",1,IF(L719="修改",0.8,IF(L719="删除",0.2,"")))</f>
        <v/>
      </c>
      <c r="N719" s="18">
        <f>I719*K719*M719</f>
        <v/>
      </c>
    </row>
    <row r="720" ht="19" customHeight="1" s="1">
      <c r="B720" s="16" t="n">
        <v>715</v>
      </c>
      <c r="C720" s="16" t="inlineStr">
        <is>
          <t>现场实施、文档及培训</t>
        </is>
      </c>
      <c r="D720" s="16" t="inlineStr">
        <is>
          <t>管理驾驶舱</t>
        </is>
      </c>
      <c r="E720" s="16" t="inlineStr">
        <is>
          <t>移动端驾驶舱</t>
        </is>
      </c>
      <c r="F720" s="16" t="inlineStr">
        <is>
          <t>移动端指标看板</t>
        </is>
      </c>
      <c r="G720" s="17" t="inlineStr">
        <is>
          <t xml:space="preserve"> 提供手机端KPI指标看板配置技术服务</t>
        </is>
      </c>
      <c r="H720" s="18" t="inlineStr">
        <is>
          <t>ILF</t>
        </is>
      </c>
      <c r="I720" s="18">
        <f>IF(H720="ILF",10,IF(H720="EIF",7,IF(H720="EI",4,IF(H720="EO",5,IF(H720="EQ",4,"")))))</f>
        <v/>
      </c>
      <c r="J720" s="18" t="inlineStr">
        <is>
          <t>中</t>
        </is>
      </c>
      <c r="K720" s="18">
        <f>IF(J720="高",0.33,IF(J720="中",0.67,IF(J720="低",1,"")))</f>
        <v/>
      </c>
      <c r="L720" s="18" t="inlineStr">
        <is>
          <t>新增</t>
        </is>
      </c>
      <c r="M720" s="18">
        <f>IF(L720="新增",1,IF(L720="修改",0.8,IF(L720="删除",0.2,"")))</f>
        <v/>
      </c>
      <c r="N720" s="18">
        <f>I720*K720*M720</f>
        <v/>
      </c>
    </row>
    <row r="721" ht="19" customHeight="1" s="1">
      <c r="B721" s="16" t="n">
        <v>716</v>
      </c>
      <c r="C721" s="16" t="inlineStr">
        <is>
          <t>现场实施、文档及培训</t>
        </is>
      </c>
      <c r="D721" s="16" t="inlineStr">
        <is>
          <t>可视化配置</t>
        </is>
      </c>
      <c r="E721" s="16" t="inlineStr">
        <is>
          <t>个性化设置</t>
        </is>
      </c>
      <c r="F721" s="16" t="inlineStr">
        <is>
          <t>用户偏好配置</t>
        </is>
      </c>
      <c r="G721" s="17" t="inlineStr">
        <is>
          <t xml:space="preserve"> 提供用户可视化偏好参数配置技术服务</t>
        </is>
      </c>
      <c r="H721" s="18" t="inlineStr">
        <is>
          <t>ILF</t>
        </is>
      </c>
      <c r="I721" s="18">
        <f>IF(H721="ILF",10,IF(H721="EIF",7,IF(H721="EI",4,IF(H721="EO",5,IF(H721="EQ",4,"")))))</f>
        <v/>
      </c>
      <c r="J721" s="18" t="inlineStr">
        <is>
          <t>中</t>
        </is>
      </c>
      <c r="K721" s="18">
        <f>IF(J721="高",0.33,IF(J721="中",0.67,IF(J721="低",1,"")))</f>
        <v/>
      </c>
      <c r="L721" s="18" t="inlineStr">
        <is>
          <t>新增</t>
        </is>
      </c>
      <c r="M721" s="18">
        <f>IF(L721="新增",1,IF(L721="修改",0.8,IF(L721="删除",0.2,"")))</f>
        <v/>
      </c>
      <c r="N721" s="18">
        <f>I721*K721*M721</f>
        <v/>
      </c>
    </row>
    <row r="722" ht="19" customHeight="1" s="1">
      <c r="B722" s="16" t="n">
        <v>717</v>
      </c>
      <c r="C722" s="16" t="inlineStr">
        <is>
          <t>现场实施、文档及培训</t>
        </is>
      </c>
      <c r="D722" s="16" t="inlineStr">
        <is>
          <t>可视化配置</t>
        </is>
      </c>
      <c r="E722" s="16" t="inlineStr">
        <is>
          <t>个性化设置</t>
        </is>
      </c>
      <c r="F722" s="16" t="inlineStr">
        <is>
          <t>布局自定义配置</t>
        </is>
      </c>
      <c r="G722" s="17" t="inlineStr">
        <is>
          <t xml:space="preserve"> 提供可视化布局自定义配置技术服务</t>
        </is>
      </c>
      <c r="H722" s="18" t="inlineStr">
        <is>
          <t>ILF</t>
        </is>
      </c>
      <c r="I722" s="18">
        <f>IF(H722="ILF",10,IF(H722="EIF",7,IF(H722="EI",4,IF(H722="EO",5,IF(H722="EQ",4,"")))))</f>
        <v/>
      </c>
      <c r="J722" s="18" t="inlineStr">
        <is>
          <t>中</t>
        </is>
      </c>
      <c r="K722" s="18">
        <f>IF(J722="高",0.33,IF(J722="中",0.67,IF(J722="低",1,"")))</f>
        <v/>
      </c>
      <c r="L722" s="18" t="inlineStr">
        <is>
          <t>新增</t>
        </is>
      </c>
      <c r="M722" s="18">
        <f>IF(L722="新增",1,IF(L722="修改",0.8,IF(L722="删除",0.2,"")))</f>
        <v/>
      </c>
      <c r="N722" s="18">
        <f>I722*K722*M722</f>
        <v/>
      </c>
    </row>
    <row r="723" ht="19" customHeight="1" s="1">
      <c r="B723" s="16" t="n">
        <v>718</v>
      </c>
      <c r="C723" s="16" t="inlineStr">
        <is>
          <t>现场实施、文档及培训</t>
        </is>
      </c>
      <c r="D723" s="16" t="inlineStr">
        <is>
          <t>监控大屏服务</t>
        </is>
      </c>
      <c r="E723" s="16" t="inlineStr">
        <is>
          <t>大屏运维服务</t>
        </is>
      </c>
      <c r="F723" s="16" t="inlineStr">
        <is>
          <t>大屏数据刷新配置</t>
        </is>
      </c>
      <c r="G723" s="17" t="inlineStr">
        <is>
          <t xml:space="preserve"> 提供大屏数据刷新频率配置服务</t>
        </is>
      </c>
      <c r="H723" s="18" t="inlineStr">
        <is>
          <t>ILF</t>
        </is>
      </c>
      <c r="I723" s="18">
        <f>IF(H723="ILF",10,IF(H723="EIF",7,IF(H723="EI",4,IF(H723="EO",5,IF(H723="EQ",4,"")))))</f>
        <v/>
      </c>
      <c r="J723" s="18" t="inlineStr">
        <is>
          <t>中</t>
        </is>
      </c>
      <c r="K723" s="18">
        <f>IF(J723="高",0.33,IF(J723="中",0.67,IF(J723="低",1,"")))</f>
        <v/>
      </c>
      <c r="L723" s="18" t="inlineStr">
        <is>
          <t>新增</t>
        </is>
      </c>
      <c r="M723" s="18">
        <f>IF(L723="新增",1,IF(L723="修改",0.8,IF(L723="删除",0.2,"")))</f>
        <v/>
      </c>
      <c r="N723" s="18">
        <f>I723*K723*M723</f>
        <v/>
      </c>
    </row>
    <row r="724" ht="19" customHeight="1" s="1">
      <c r="B724" s="16" t="n">
        <v>719</v>
      </c>
      <c r="C724" s="16" t="inlineStr">
        <is>
          <t>现场实施、文档及培训</t>
        </is>
      </c>
      <c r="D724" s="16" t="inlineStr">
        <is>
          <t>监控大屏服务</t>
        </is>
      </c>
      <c r="E724" s="16" t="inlineStr">
        <is>
          <t>大屏运维服务</t>
        </is>
      </c>
      <c r="F724" s="16" t="inlineStr">
        <is>
          <t>大屏数据源配置</t>
        </is>
      </c>
      <c r="G724" s="17" t="inlineStr">
        <is>
          <t xml:space="preserve"> 提供大屏数据源切换配置服务</t>
        </is>
      </c>
      <c r="H724" s="18" t="inlineStr">
        <is>
          <t>EI</t>
        </is>
      </c>
      <c r="I724" s="18">
        <f>IF(H724="ILF",10,IF(H724="EIF",7,IF(H724="EI",4,IF(H724="EO",5,IF(H724="EQ",4,"")))))</f>
        <v/>
      </c>
      <c r="J724" s="18" t="inlineStr">
        <is>
          <t>低</t>
        </is>
      </c>
      <c r="K724" s="18">
        <f>IF(J724="高",0.33,IF(J724="中",0.67,IF(J724="低",1,"")))</f>
        <v/>
      </c>
      <c r="L724" s="18" t="inlineStr">
        <is>
          <t>新增</t>
        </is>
      </c>
      <c r="M724" s="18">
        <f>IF(L724="新增",1,IF(L724="修改",0.8,IF(L724="删除",0.2,"")))</f>
        <v/>
      </c>
      <c r="N724" s="18">
        <f>I724*K724*M724</f>
        <v/>
      </c>
    </row>
    <row r="725" ht="19" customHeight="1" s="1">
      <c r="B725" s="16" t="n">
        <v>720</v>
      </c>
      <c r="C725" s="16" t="inlineStr">
        <is>
          <t>现场实施、文档及培训</t>
        </is>
      </c>
      <c r="D725" s="16" t="inlineStr">
        <is>
          <t>监控大屏服务</t>
        </is>
      </c>
      <c r="E725" s="16" t="inlineStr">
        <is>
          <t>专题分析大屏</t>
        </is>
      </c>
      <c r="F725" s="16" t="inlineStr">
        <is>
          <t>产量分析大屏配置</t>
        </is>
      </c>
      <c r="G725" s="17" t="inlineStr">
        <is>
          <t xml:space="preserve"> 提供产量趋势分析大屏配置服务</t>
        </is>
      </c>
      <c r="H725" s="18" t="inlineStr">
        <is>
          <t>EI</t>
        </is>
      </c>
      <c r="I725" s="18">
        <f>IF(H725="ILF",10,IF(H725="EIF",7,IF(H725="EI",4,IF(H725="EO",5,IF(H725="EQ",4,"")))))</f>
        <v/>
      </c>
      <c r="J725" s="18" t="inlineStr">
        <is>
          <t>低</t>
        </is>
      </c>
      <c r="K725" s="18">
        <f>IF(J725="高",0.33,IF(J725="中",0.67,IF(J725="低",1,"")))</f>
        <v/>
      </c>
      <c r="L725" s="18" t="inlineStr">
        <is>
          <t>新增</t>
        </is>
      </c>
      <c r="M725" s="18">
        <f>IF(L725="新增",1,IF(L725="修改",0.8,IF(L725="删除",0.2,"")))</f>
        <v/>
      </c>
      <c r="N725" s="18">
        <f>I725*K725*M725</f>
        <v/>
      </c>
    </row>
    <row r="726" ht="19" customHeight="1" s="1">
      <c r="B726" s="16" t="n">
        <v>721</v>
      </c>
      <c r="C726" s="16" t="inlineStr">
        <is>
          <t>现场实施、文档及培训</t>
        </is>
      </c>
      <c r="D726" s="16" t="inlineStr">
        <is>
          <t>监控大屏服务</t>
        </is>
      </c>
      <c r="E726" s="16" t="inlineStr">
        <is>
          <t>专题分析大屏</t>
        </is>
      </c>
      <c r="F726" s="16" t="inlineStr">
        <is>
          <t>能耗分析大屏配置</t>
        </is>
      </c>
      <c r="G726" s="17" t="inlineStr">
        <is>
          <t xml:space="preserve"> 提供能耗趋势分析大屏配置服务</t>
        </is>
      </c>
      <c r="H726" s="18" t="inlineStr">
        <is>
          <t>EI</t>
        </is>
      </c>
      <c r="I726" s="18">
        <f>IF(H726="ILF",10,IF(H726="EIF",7,IF(H726="EI",4,IF(H726="EO",5,IF(H726="EQ",4,"")))))</f>
        <v/>
      </c>
      <c r="J726" s="18" t="inlineStr">
        <is>
          <t>低</t>
        </is>
      </c>
      <c r="K726" s="18">
        <f>IF(J726="高",0.33,IF(J726="中",0.67,IF(J726="低",1,"")))</f>
        <v/>
      </c>
      <c r="L726" s="18" t="inlineStr">
        <is>
          <t>新增</t>
        </is>
      </c>
      <c r="M726" s="18">
        <f>IF(L726="新增",1,IF(L726="修改",0.8,IF(L726="删除",0.2,"")))</f>
        <v/>
      </c>
      <c r="N726" s="18">
        <f>I726*K726*M726</f>
        <v/>
      </c>
    </row>
    <row r="727" ht="19" customHeight="1" s="1">
      <c r="B727" s="16" t="n">
        <v>722</v>
      </c>
      <c r="C727" s="16" t="inlineStr">
        <is>
          <t>现场实施、文档及培训</t>
        </is>
      </c>
      <c r="D727" s="16" t="inlineStr">
        <is>
          <t>管理驾驶舱</t>
        </is>
      </c>
      <c r="E727" s="16" t="inlineStr">
        <is>
          <t>运营分析服务</t>
        </is>
      </c>
      <c r="F727" s="16" t="inlineStr">
        <is>
          <t>运营日报推送</t>
        </is>
      </c>
      <c r="G727" s="17" t="inlineStr">
        <is>
          <t xml:space="preserve"> 提供运营日报推送服务</t>
        </is>
      </c>
      <c r="H727" s="18" t="inlineStr">
        <is>
          <t>EI</t>
        </is>
      </c>
      <c r="I727" s="18">
        <f>IF(H727="ILF",10,IF(H727="EIF",7,IF(H727="EI",4,IF(H727="EO",5,IF(H727="EQ",4,"")))))</f>
        <v/>
      </c>
      <c r="J727" s="18" t="inlineStr">
        <is>
          <t>低</t>
        </is>
      </c>
      <c r="K727" s="18">
        <f>IF(J727="高",0.33,IF(J727="中",0.67,IF(J727="低",1,"")))</f>
        <v/>
      </c>
      <c r="L727" s="18" t="inlineStr">
        <is>
          <t>新增</t>
        </is>
      </c>
      <c r="M727" s="18">
        <f>IF(L727="新增",1,IF(L727="修改",0.8,IF(L727="删除",0.2,"")))</f>
        <v/>
      </c>
      <c r="N727" s="18">
        <f>I727*K727*M727</f>
        <v/>
      </c>
    </row>
    <row r="728" ht="19" customHeight="1" s="1">
      <c r="B728" s="16" t="n">
        <v>723</v>
      </c>
      <c r="C728" s="16" t="inlineStr">
        <is>
          <t>现场实施、文档及培训</t>
        </is>
      </c>
      <c r="D728" s="16" t="inlineStr">
        <is>
          <t>管理驾驶舱</t>
        </is>
      </c>
      <c r="E728" s="16" t="inlineStr">
        <is>
          <t>运营分析服务</t>
        </is>
      </c>
      <c r="F728" s="16" t="inlineStr">
        <is>
          <t>运营周报推送</t>
        </is>
      </c>
      <c r="G728" s="17" t="inlineStr">
        <is>
          <t xml:space="preserve"> 提供运营周报推送服务</t>
        </is>
      </c>
      <c r="H728" s="18" t="inlineStr">
        <is>
          <t>EI</t>
        </is>
      </c>
      <c r="I728" s="18">
        <f>IF(H728="ILF",10,IF(H728="EIF",7,IF(H728="EI",4,IF(H728="EO",5,IF(H728="EQ",4,"")))))</f>
        <v/>
      </c>
      <c r="J728" s="18" t="inlineStr">
        <is>
          <t>低</t>
        </is>
      </c>
      <c r="K728" s="18">
        <f>IF(J728="高",0.33,IF(J728="中",0.67,IF(J728="低",1,"")))</f>
        <v/>
      </c>
      <c r="L728" s="18" t="inlineStr">
        <is>
          <t>新增</t>
        </is>
      </c>
      <c r="M728" s="18">
        <f>IF(L728="新增",1,IF(L728="修改",0.8,IF(L728="删除",0.2,"")))</f>
        <v/>
      </c>
      <c r="N728" s="18">
        <f>I728*K728*M728</f>
        <v/>
      </c>
    </row>
    <row r="729" ht="19" customHeight="1" s="1">
      <c r="B729" s="16" t="n">
        <v>724</v>
      </c>
      <c r="C729" s="16" t="inlineStr">
        <is>
          <t>现场实施、文档及培训</t>
        </is>
      </c>
      <c r="D729" s="16" t="inlineStr">
        <is>
          <t>管理驾驶舱</t>
        </is>
      </c>
      <c r="E729" s="16" t="inlineStr">
        <is>
          <t>运营分析服务</t>
        </is>
      </c>
      <c r="F729" s="16" t="inlineStr">
        <is>
          <t>运营月报推送</t>
        </is>
      </c>
      <c r="G729" s="17" t="inlineStr">
        <is>
          <t xml:space="preserve"> 提供运营月报推送服务</t>
        </is>
      </c>
      <c r="H729" s="18" t="inlineStr">
        <is>
          <t>EI</t>
        </is>
      </c>
      <c r="I729" s="18">
        <f>IF(H729="ILF",10,IF(H729="EIF",7,IF(H729="EI",4,IF(H729="EO",5,IF(H729="EQ",4,"")))))</f>
        <v/>
      </c>
      <c r="J729" s="18" t="inlineStr">
        <is>
          <t>低</t>
        </is>
      </c>
      <c r="K729" s="18">
        <f>IF(J729="高",0.33,IF(J729="中",0.67,IF(J729="低",1,"")))</f>
        <v/>
      </c>
      <c r="L729" s="18" t="inlineStr">
        <is>
          <t>新增</t>
        </is>
      </c>
      <c r="M729" s="18">
        <f>IF(L729="新增",1,IF(L729="修改",0.8,IF(L729="删除",0.2,"")))</f>
        <v/>
      </c>
      <c r="N729" s="18">
        <f>I729*K729*M729</f>
        <v/>
      </c>
    </row>
    <row r="730" ht="19" customHeight="1" s="1">
      <c r="B730" s="16" t="n">
        <v>725</v>
      </c>
      <c r="C730" s="16" t="inlineStr">
        <is>
          <t>现场实施、文档及培训</t>
        </is>
      </c>
      <c r="D730" s="16" t="inlineStr">
        <is>
          <t>管理驾驶舱</t>
        </is>
      </c>
      <c r="E730" s="16" t="inlineStr">
        <is>
          <t>运营分析服务</t>
        </is>
      </c>
      <c r="F730" s="16" t="inlineStr">
        <is>
          <t>运营统计分析报表</t>
        </is>
      </c>
      <c r="G730" s="17" t="inlineStr">
        <is>
          <t xml:space="preserve"> 提供运营统计分析报表服务</t>
        </is>
      </c>
      <c r="H730" s="18" t="inlineStr">
        <is>
          <t>EI</t>
        </is>
      </c>
      <c r="I730" s="18">
        <f>IF(H730="ILF",10,IF(H730="EIF",7,IF(H730="EI",4,IF(H730="EO",5,IF(H730="EQ",4,"")))))</f>
        <v/>
      </c>
      <c r="J730" s="18" t="inlineStr">
        <is>
          <t>低</t>
        </is>
      </c>
      <c r="K730" s="18">
        <f>IF(J730="高",0.33,IF(J730="中",0.67,IF(J730="低",1,"")))</f>
        <v/>
      </c>
      <c r="L730" s="18" t="inlineStr">
        <is>
          <t>新增</t>
        </is>
      </c>
      <c r="M730" s="18">
        <f>IF(L730="新增",1,IF(L730="修改",0.8,IF(L730="删除",0.2,"")))</f>
        <v/>
      </c>
      <c r="N730" s="18">
        <f>I730*K730*M730</f>
        <v/>
      </c>
    </row>
    <row r="731" ht="19" customHeight="1" s="1">
      <c r="B731" s="16" t="n">
        <v>726</v>
      </c>
      <c r="C731" s="16" t="inlineStr">
        <is>
          <t>现场实施、文档及培训</t>
        </is>
      </c>
      <c r="D731" s="16" t="inlineStr">
        <is>
          <t>监控大屏服务</t>
        </is>
      </c>
      <c r="E731" s="16" t="inlineStr">
        <is>
          <t>大屏运维服务</t>
        </is>
      </c>
      <c r="F731" s="16" t="inlineStr">
        <is>
          <t>大屏权限配置</t>
        </is>
      </c>
      <c r="G731" s="17" t="inlineStr">
        <is>
          <t xml:space="preserve"> 提供大屏访问权限配置服务</t>
        </is>
      </c>
      <c r="H731" s="18" t="inlineStr">
        <is>
          <t>EI</t>
        </is>
      </c>
      <c r="I731" s="18">
        <f>IF(H731="ILF",10,IF(H731="EIF",7,IF(H731="EI",4,IF(H731="EO",5,IF(H731="EQ",4,"")))))</f>
        <v/>
      </c>
      <c r="J731" s="18" t="inlineStr">
        <is>
          <t>低</t>
        </is>
      </c>
      <c r="K731" s="18">
        <f>IF(J731="高",0.33,IF(J731="中",0.67,IF(J731="低",1,"")))</f>
        <v/>
      </c>
      <c r="L731" s="18" t="inlineStr">
        <is>
          <t>新增</t>
        </is>
      </c>
      <c r="M731" s="18">
        <f>IF(L731="新增",1,IF(L731="修改",0.8,IF(L731="删除",0.2,"")))</f>
        <v/>
      </c>
      <c r="N731" s="18">
        <f>I731*K731*M731</f>
        <v/>
      </c>
    </row>
    <row r="732" ht="19" customHeight="1" s="1">
      <c r="B732" s="16" t="n">
        <v>727</v>
      </c>
      <c r="C732" s="16" t="inlineStr">
        <is>
          <t>现场实施、文档及培训</t>
        </is>
      </c>
      <c r="D732" s="16" t="inlineStr">
        <is>
          <t>监控大屏服务</t>
        </is>
      </c>
      <c r="E732" s="16" t="inlineStr">
        <is>
          <t>Dashboard</t>
        </is>
      </c>
      <c r="F732" s="16" t="inlineStr">
        <is>
          <t>设备状态</t>
        </is>
      </c>
      <c r="G732" s="17" t="inlineStr">
        <is>
          <t xml:space="preserve"> 提供在线/离线数量/状态分布/健康度热力图Dashboard配置</t>
        </is>
      </c>
      <c r="H732" s="18" t="inlineStr">
        <is>
          <t>EI</t>
        </is>
      </c>
      <c r="I732" s="18">
        <f>IF(H732="ILF",10,IF(H732="EIF",7,IF(H732="EI",4,IF(H732="EO",5,IF(H732="EQ",4,"")))))</f>
        <v/>
      </c>
      <c r="J732" s="18" t="inlineStr">
        <is>
          <t>低</t>
        </is>
      </c>
      <c r="K732" s="18">
        <f>IF(J732="高",0.33,IF(J732="中",0.67,IF(J732="低",1,"")))</f>
        <v/>
      </c>
      <c r="L732" s="18" t="inlineStr">
        <is>
          <t>新增</t>
        </is>
      </c>
      <c r="M732" s="18">
        <f>IF(L732="新增",1,IF(L732="修改",0.8,IF(L732="删除",0.2,"")))</f>
        <v/>
      </c>
      <c r="N732" s="18">
        <f>I732*K732*M732</f>
        <v/>
      </c>
    </row>
    <row r="733" ht="19" customHeight="1" s="1">
      <c r="B733" s="16" t="n">
        <v>728</v>
      </c>
      <c r="C733" s="16" t="inlineStr">
        <is>
          <t>现场实施、文档及培训</t>
        </is>
      </c>
      <c r="D733" s="16" t="inlineStr">
        <is>
          <t>监控大屏服务</t>
        </is>
      </c>
      <c r="E733" s="16" t="inlineStr">
        <is>
          <t>Dashboard</t>
        </is>
      </c>
      <c r="F733" s="16" t="inlineStr">
        <is>
          <t>采集性能</t>
        </is>
      </c>
      <c r="G733" s="17" t="inlineStr">
        <is>
          <t xml:space="preserve"> 提供成功率/延迟p50/p90/p99/吞吐量曲线Dashboard配置</t>
        </is>
      </c>
      <c r="H733" s="18" t="inlineStr">
        <is>
          <t>EI</t>
        </is>
      </c>
      <c r="I733" s="18">
        <f>IF(H733="ILF",10,IF(H733="EIF",7,IF(H733="EI",4,IF(H733="EO",5,IF(H733="EQ",4,"")))))</f>
        <v/>
      </c>
      <c r="J733" s="18" t="inlineStr">
        <is>
          <t>低</t>
        </is>
      </c>
      <c r="K733" s="18">
        <f>IF(J733="高",0.33,IF(J733="中",0.67,IF(J733="低",1,"")))</f>
        <v/>
      </c>
      <c r="L733" s="18" t="inlineStr">
        <is>
          <t>新增</t>
        </is>
      </c>
      <c r="M733" s="18">
        <f>IF(L733="新增",1,IF(L733="修改",0.8,IF(L733="删除",0.2,"")))</f>
        <v/>
      </c>
      <c r="N733" s="18">
        <f>I733*K733*M733</f>
        <v/>
      </c>
    </row>
    <row r="734" ht="19" customHeight="1" s="1">
      <c r="B734" s="16" t="n">
        <v>729</v>
      </c>
      <c r="C734" s="16" t="inlineStr">
        <is>
          <t>现场实施、文档及培训</t>
        </is>
      </c>
      <c r="D734" s="16" t="inlineStr">
        <is>
          <t>监控大屏服务</t>
        </is>
      </c>
      <c r="E734" s="16" t="inlineStr">
        <is>
          <t>Dashboard</t>
        </is>
      </c>
      <c r="F734" s="16" t="inlineStr">
        <is>
          <t>告警统计</t>
        </is>
      </c>
      <c r="G734" s="17" t="inlineStr">
        <is>
          <t xml:space="preserve"> 提供告警数量/级别分布/误报率趋势Dashboard配置</t>
        </is>
      </c>
      <c r="H734" s="18" t="inlineStr">
        <is>
          <t>EI</t>
        </is>
      </c>
      <c r="I734" s="18">
        <f>IF(H734="ILF",10,IF(H734="EIF",7,IF(H734="EI",4,IF(H734="EO",5,IF(H734="EQ",4,"")))))</f>
        <v/>
      </c>
      <c r="J734" s="18" t="inlineStr">
        <is>
          <t>低</t>
        </is>
      </c>
      <c r="K734" s="18">
        <f>IF(J734="高",0.33,IF(J734="中",0.67,IF(J734="低",1,"")))</f>
        <v/>
      </c>
      <c r="L734" s="18" t="inlineStr">
        <is>
          <t>新增</t>
        </is>
      </c>
      <c r="M734" s="18">
        <f>IF(L734="新增",1,IF(L734="修改",0.8,IF(L734="删除",0.2,"")))</f>
        <v/>
      </c>
      <c r="N734" s="18">
        <f>I734*K734*M734</f>
        <v/>
      </c>
    </row>
    <row r="735" ht="19" customHeight="1" s="1">
      <c r="B735" s="16" t="n">
        <v>730</v>
      </c>
      <c r="C735" s="16" t="inlineStr">
        <is>
          <t>现场实施、文档及培训</t>
        </is>
      </c>
      <c r="D735" s="16" t="inlineStr">
        <is>
          <t>监控大屏服务</t>
        </is>
      </c>
      <c r="E735" s="16" t="inlineStr">
        <is>
          <t>Dashboard</t>
        </is>
      </c>
      <c r="F735" s="16" t="inlineStr">
        <is>
          <t>流式计算</t>
        </is>
      </c>
      <c r="G735" s="17" t="inlineStr">
        <is>
          <t xml:space="preserve"> 提供算法执行次数/规则命中率/计算延迟Dashboard配置</t>
        </is>
      </c>
      <c r="H735" s="18" t="inlineStr">
        <is>
          <t>EI</t>
        </is>
      </c>
      <c r="I735" s="18">
        <f>IF(H735="ILF",10,IF(H735="EIF",7,IF(H735="EI",4,IF(H735="EO",5,IF(H735="EQ",4,"")))))</f>
        <v/>
      </c>
      <c r="J735" s="18" t="inlineStr">
        <is>
          <t>低</t>
        </is>
      </c>
      <c r="K735" s="18">
        <f>IF(J735="高",0.33,IF(J735="中",0.67,IF(J735="低",1,"")))</f>
        <v/>
      </c>
      <c r="L735" s="18" t="inlineStr">
        <is>
          <t>新增</t>
        </is>
      </c>
      <c r="M735" s="18">
        <f>IF(L735="新增",1,IF(L735="修改",0.8,IF(L735="删除",0.2,"")))</f>
        <v/>
      </c>
      <c r="N735" s="18">
        <f>I735*K735*M735</f>
        <v/>
      </c>
    </row>
    <row r="736" ht="19" customHeight="1" s="1">
      <c r="B736" s="16" t="n">
        <v>731</v>
      </c>
      <c r="C736" s="16" t="inlineStr">
        <is>
          <t>现场实施、文档及培训</t>
        </is>
      </c>
      <c r="D736" s="16" t="inlineStr">
        <is>
          <t>监控大屏服务</t>
        </is>
      </c>
      <c r="E736" s="16" t="inlineStr">
        <is>
          <t>Dashboard</t>
        </is>
      </c>
      <c r="F736" s="16" t="inlineStr">
        <is>
          <t>存储容量</t>
        </is>
      </c>
      <c r="G736" s="17" t="inlineStr">
        <is>
          <t xml:space="preserve"> 提供各存储介质使用率和增长趋势Dashboard配置</t>
        </is>
      </c>
      <c r="H736" s="18" t="inlineStr">
        <is>
          <t>EI</t>
        </is>
      </c>
      <c r="I736" s="18">
        <f>IF(H736="ILF",10,IF(H736="EIF",7,IF(H736="EI",4,IF(H736="EO",5,IF(H736="EQ",4,"")))))</f>
        <v/>
      </c>
      <c r="J736" s="18" t="inlineStr">
        <is>
          <t>低</t>
        </is>
      </c>
      <c r="K736" s="18">
        <f>IF(J736="高",0.33,IF(J736="中",0.67,IF(J736="低",1,"")))</f>
        <v/>
      </c>
      <c r="L736" s="18" t="inlineStr">
        <is>
          <t>新增</t>
        </is>
      </c>
      <c r="M736" s="18">
        <f>IF(L736="新增",1,IF(L736="修改",0.8,IF(L736="删除",0.2,"")))</f>
        <v/>
      </c>
      <c r="N736" s="18">
        <f>I736*K736*M736</f>
        <v/>
      </c>
    </row>
    <row r="737" ht="19" customHeight="1" s="1">
      <c r="B737" s="16" t="n">
        <v>732</v>
      </c>
      <c r="C737" s="16" t="inlineStr">
        <is>
          <t>现场实施、文档及培训</t>
        </is>
      </c>
      <c r="D737" s="16" t="inlineStr">
        <is>
          <t>监控大屏服务</t>
        </is>
      </c>
      <c r="E737" s="16" t="inlineStr">
        <is>
          <t>Dashboard</t>
        </is>
      </c>
      <c r="F737" s="16" t="inlineStr">
        <is>
          <t>质量评分</t>
        </is>
      </c>
      <c r="G737" s="17" t="inlineStr">
        <is>
          <t xml:space="preserve"> 提供完整率/准确率/时效性质量评分Dashboard配置</t>
        </is>
      </c>
      <c r="H737" s="18" t="inlineStr">
        <is>
          <t>EI</t>
        </is>
      </c>
      <c r="I737" s="18">
        <f>IF(H737="ILF",10,IF(H737="EIF",7,IF(H737="EI",4,IF(H737="EO",5,IF(H737="EQ",4,"")))))</f>
        <v/>
      </c>
      <c r="J737" s="18" t="inlineStr">
        <is>
          <t>低</t>
        </is>
      </c>
      <c r="K737" s="18">
        <f>IF(J737="高",0.33,IF(J737="中",0.67,IF(J737="低",1,"")))</f>
        <v/>
      </c>
      <c r="L737" s="18" t="inlineStr">
        <is>
          <t>新增</t>
        </is>
      </c>
      <c r="M737" s="18">
        <f>IF(L737="新增",1,IF(L737="修改",0.8,IF(L737="删除",0.2,"")))</f>
        <v/>
      </c>
      <c r="N737" s="18">
        <f>I737*K737*M737</f>
        <v/>
      </c>
    </row>
    <row r="738" ht="19" customHeight="1" s="1">
      <c r="B738" s="16" t="n">
        <v>733</v>
      </c>
      <c r="C738" s="16" t="inlineStr">
        <is>
          <t>现场实施、文档及培训</t>
        </is>
      </c>
      <c r="D738" s="16" t="inlineStr">
        <is>
          <t>监控大屏服务</t>
        </is>
      </c>
      <c r="E738" s="16" t="inlineStr">
        <is>
          <t>Dashboard</t>
        </is>
      </c>
      <c r="F738" s="16" t="inlineStr">
        <is>
          <t>告警响应</t>
        </is>
      </c>
      <c r="G738" s="17" t="inlineStr">
        <is>
          <t xml:space="preserve"> 提供告警响应时间趋势和达标率Dashboard配置</t>
        </is>
      </c>
      <c r="H738" s="18" t="inlineStr">
        <is>
          <t>EI</t>
        </is>
      </c>
      <c r="I738" s="18">
        <f>IF(H738="ILF",10,IF(H738="EIF",7,IF(H738="EI",4,IF(H738="EO",5,IF(H738="EQ",4,"")))))</f>
        <v/>
      </c>
      <c r="J738" s="18" t="inlineStr">
        <is>
          <t>低</t>
        </is>
      </c>
      <c r="K738" s="18">
        <f>IF(J738="高",0.33,IF(J738="中",0.67,IF(J738="低",1,"")))</f>
        <v/>
      </c>
      <c r="L738" s="18" t="inlineStr">
        <is>
          <t>新增</t>
        </is>
      </c>
      <c r="M738" s="18">
        <f>IF(L738="新增",1,IF(L738="修改",0.8,IF(L738="删除",0.2,"")))</f>
        <v/>
      </c>
      <c r="N738" s="18">
        <f>I738*K738*M738</f>
        <v/>
      </c>
    </row>
    <row r="739" ht="19" customHeight="1" s="1">
      <c r="B739" s="16" t="n">
        <v>734</v>
      </c>
      <c r="C739" s="16" t="inlineStr">
        <is>
          <t>现场实施、文档及培训</t>
        </is>
      </c>
      <c r="D739" s="16" t="inlineStr">
        <is>
          <t>监控大屏服务</t>
        </is>
      </c>
      <c r="E739" s="16" t="inlineStr">
        <is>
          <t>Dashboard</t>
        </is>
      </c>
      <c r="F739" s="16" t="inlineStr">
        <is>
          <t>工单效率</t>
        </is>
      </c>
      <c r="G739" s="17" t="inlineStr">
        <is>
          <t xml:space="preserve"> 提供工单处置效率和闭环率Dashboard配置</t>
        </is>
      </c>
      <c r="H739" s="18" t="inlineStr">
        <is>
          <t>EI</t>
        </is>
      </c>
      <c r="I739" s="18">
        <f>IF(H739="ILF",10,IF(H739="EIF",7,IF(H739="EI",4,IF(H739="EO",5,IF(H739="EQ",4,"")))))</f>
        <v/>
      </c>
      <c r="J739" s="18" t="inlineStr">
        <is>
          <t>低</t>
        </is>
      </c>
      <c r="K739" s="18">
        <f>IF(J739="高",0.33,IF(J739="中",0.67,IF(J739="低",1,"")))</f>
        <v/>
      </c>
      <c r="L739" s="18" t="inlineStr">
        <is>
          <t>新增</t>
        </is>
      </c>
      <c r="M739" s="18">
        <f>IF(L739="新增",1,IF(L739="修改",0.8,IF(L739="删除",0.2,"")))</f>
        <v/>
      </c>
      <c r="N739" s="18">
        <f>I739*K739*M739</f>
        <v/>
      </c>
    </row>
    <row r="740" ht="19" customHeight="1" s="1">
      <c r="B740" s="16" t="n">
        <v>735</v>
      </c>
      <c r="C740" s="16" t="inlineStr">
        <is>
          <t>现场实施、文档及培训</t>
        </is>
      </c>
      <c r="D740" s="16" t="inlineStr">
        <is>
          <t>监控大屏服务</t>
        </is>
      </c>
      <c r="E740" s="16" t="inlineStr">
        <is>
          <t>Dashboard</t>
        </is>
      </c>
      <c r="F740" s="16" t="inlineStr">
        <is>
          <t>系统资源</t>
        </is>
      </c>
      <c r="G740" s="17" t="inlineStr">
        <is>
          <t xml:space="preserve"> 提供CPU/内存/网络/磁盘系统资源Dashboard配置</t>
        </is>
      </c>
      <c r="H740" s="18" t="inlineStr">
        <is>
          <t>EI</t>
        </is>
      </c>
      <c r="I740" s="18">
        <f>IF(H740="ILF",10,IF(H740="EIF",7,IF(H740="EI",4,IF(H740="EO",5,IF(H740="EQ",4,"")))))</f>
        <v/>
      </c>
      <c r="J740" s="18" t="inlineStr">
        <is>
          <t>低</t>
        </is>
      </c>
      <c r="K740" s="18">
        <f>IF(J740="高",0.33,IF(J740="中",0.67,IF(J740="低",1,"")))</f>
        <v/>
      </c>
      <c r="L740" s="18" t="inlineStr">
        <is>
          <t>新增</t>
        </is>
      </c>
      <c r="M740" s="18">
        <f>IF(L740="新增",1,IF(L740="修改",0.8,IF(L740="删除",0.2,"")))</f>
        <v/>
      </c>
      <c r="N740" s="18">
        <f>I740*K740*M740</f>
        <v/>
      </c>
    </row>
    <row r="741" ht="14" customHeight="1" s="1">
      <c r="B741" s="16" t="n">
        <v>736</v>
      </c>
      <c r="C741" s="16" t="inlineStr">
        <is>
          <t>现场实施、文档及培训</t>
        </is>
      </c>
      <c r="D741" s="16" t="inlineStr">
        <is>
          <t>监控大屏服务</t>
        </is>
      </c>
      <c r="E741" s="16" t="inlineStr">
        <is>
          <t>Dashboard</t>
        </is>
      </c>
      <c r="F741" s="16" t="inlineStr">
        <is>
          <t>操作审计</t>
        </is>
      </c>
      <c r="G741" s="17" t="inlineStr">
        <is>
          <t xml:space="preserve"> 提供用户操作日志审计Dashboard配置</t>
        </is>
      </c>
      <c r="H741" s="18" t="inlineStr">
        <is>
          <t>EI</t>
        </is>
      </c>
      <c r="I741" s="18">
        <f>IF(H741="ILF",10,IF(H741="EIF",7,IF(H741="EI",4,IF(H741="EO",5,IF(H741="EQ",4,"")))))</f>
        <v/>
      </c>
      <c r="J741" s="18" t="inlineStr">
        <is>
          <t>中</t>
        </is>
      </c>
      <c r="K741" s="18">
        <f>IF(J741="高",0.33,IF(J741="中",0.67,IF(J741="低",1,"")))</f>
        <v/>
      </c>
      <c r="L741" s="18" t="inlineStr">
        <is>
          <t>新增</t>
        </is>
      </c>
      <c r="M741" s="18">
        <f>IF(L741="新增",1,IF(L741="修改",0.8,IF(L741="删除",0.2,"")))</f>
        <v/>
      </c>
      <c r="N741" s="18">
        <f>I741*K741*M741</f>
        <v/>
      </c>
    </row>
    <row r="742" ht="14.4" customHeight="1" s="1">
      <c r="B742" s="16" t="n">
        <v>737</v>
      </c>
      <c r="C742" s="16" t="inlineStr">
        <is>
          <t>现场实施、文档及培训</t>
        </is>
      </c>
      <c r="D742" s="16" t="inlineStr">
        <is>
          <t>监控大屏服务</t>
        </is>
      </c>
      <c r="E742" s="16" t="inlineStr">
        <is>
          <t>会话跟踪</t>
        </is>
      </c>
      <c r="F742" s="16" t="inlineStr">
        <is>
          <t>独立跟踪</t>
        </is>
      </c>
      <c r="G742" s="17" t="inlineStr">
        <is>
          <t xml:space="preserve"> 提供每台RTU独立收发报文/丢包率/时延监控服务</t>
        </is>
      </c>
      <c r="H742" s="18" t="inlineStr">
        <is>
          <t>EI</t>
        </is>
      </c>
      <c r="I742" s="18">
        <f>IF(H742="ILF",10,IF(H742="EIF",7,IF(H742="EI",4,IF(H742="EO",5,IF(H742="EQ",4,"")))))</f>
        <v/>
      </c>
      <c r="J742" s="18" t="inlineStr">
        <is>
          <t>中</t>
        </is>
      </c>
      <c r="K742" s="18">
        <f>IF(J742="高",0.33,IF(J742="中",0.67,IF(J742="低",1,"")))</f>
        <v/>
      </c>
      <c r="L742" s="18" t="inlineStr">
        <is>
          <t>新增</t>
        </is>
      </c>
      <c r="M742" s="18">
        <f>IF(L742="新增",1,IF(L742="修改",0.8,IF(L742="删除",0.2,"")))</f>
        <v/>
      </c>
      <c r="N742" s="18">
        <f>I742*K742*M742</f>
        <v/>
      </c>
    </row>
    <row r="743" ht="14.4" customHeight="1" s="1">
      <c r="B743" s="16" t="n">
        <v>738</v>
      </c>
      <c r="C743" s="16" t="inlineStr">
        <is>
          <t>现场实施、文档及培训</t>
        </is>
      </c>
      <c r="D743" s="16" t="inlineStr">
        <is>
          <t>监控大屏服务</t>
        </is>
      </c>
      <c r="E743" s="16" t="inlineStr">
        <is>
          <t>会话跟踪</t>
        </is>
      </c>
      <c r="F743" s="16" t="inlineStr">
        <is>
          <t>三级钻取</t>
        </is>
      </c>
      <c r="G743" s="17" t="inlineStr">
        <is>
          <t xml:space="preserve"> 提供作业区→网关→井号三级下钻访问服务</t>
        </is>
      </c>
      <c r="H743" s="18" t="inlineStr">
        <is>
          <t>EI</t>
        </is>
      </c>
      <c r="I743" s="18">
        <f>IF(H743="ILF",10,IF(H743="EIF",7,IF(H743="EI",4,IF(H743="EO",5,IF(H743="EQ",4,"")))))</f>
        <v/>
      </c>
      <c r="J743" s="18" t="inlineStr">
        <is>
          <t>中</t>
        </is>
      </c>
      <c r="K743" s="18">
        <f>IF(J743="高",0.33,IF(J743="中",0.67,IF(J743="低",1,"")))</f>
        <v/>
      </c>
      <c r="L743" s="18" t="inlineStr">
        <is>
          <t>新增</t>
        </is>
      </c>
      <c r="M743" s="18">
        <f>IF(L743="新增",1,IF(L743="修改",0.8,IF(L743="删除",0.2,"")))</f>
        <v/>
      </c>
      <c r="N743" s="18">
        <f>I743*K743*M743</f>
        <v/>
      </c>
    </row>
    <row r="744" ht="14.4" customHeight="1" s="1">
      <c r="B744" s="16" t="n">
        <v>739</v>
      </c>
      <c r="C744" s="16" t="inlineStr">
        <is>
          <t>现场实施、文档及培训</t>
        </is>
      </c>
      <c r="D744" s="16" t="inlineStr">
        <is>
          <t>监控大屏服务</t>
        </is>
      </c>
      <c r="E744" s="16" t="inlineStr">
        <is>
          <t>会话跟踪</t>
        </is>
      </c>
      <c r="F744" s="16" t="inlineStr">
        <is>
          <t>连续失败</t>
        </is>
      </c>
      <c r="G744" s="17" t="inlineStr">
        <is>
          <t xml:space="preserve"> 提供RTU连续3次注册失败触发告警服务</t>
        </is>
      </c>
      <c r="H744" s="18" t="inlineStr">
        <is>
          <t>EI</t>
        </is>
      </c>
      <c r="I744" s="18">
        <f>IF(H744="ILF",10,IF(H744="EIF",7,IF(H744="EI",4,IF(H744="EO",5,IF(H744="EQ",4,"")))))</f>
        <v/>
      </c>
      <c r="J744" s="18" t="inlineStr">
        <is>
          <t>中</t>
        </is>
      </c>
      <c r="K744" s="18">
        <f>IF(J744="高",0.33,IF(J744="中",0.67,IF(J744="低",1,"")))</f>
        <v/>
      </c>
      <c r="L744" s="18" t="inlineStr">
        <is>
          <t>新增</t>
        </is>
      </c>
      <c r="M744" s="18">
        <f>IF(L744="新增",1,IF(L744="修改",0.8,IF(L744="删除",0.2,"")))</f>
        <v/>
      </c>
      <c r="N744" s="18">
        <f>I744*K744*M744</f>
        <v/>
      </c>
    </row>
    <row r="745" ht="14.4" customHeight="1" s="1">
      <c r="B745" s="16" t="n">
        <v>740</v>
      </c>
      <c r="C745" s="16" t="inlineStr">
        <is>
          <t>现场实施、文档及培训</t>
        </is>
      </c>
      <c r="D745" s="16" t="inlineStr">
        <is>
          <t>监控大屏服务</t>
        </is>
      </c>
      <c r="E745" s="16" t="inlineStr">
        <is>
          <t>会话跟踪</t>
        </is>
      </c>
      <c r="F745" s="16" t="inlineStr">
        <is>
          <t>时长统计</t>
        </is>
      </c>
      <c r="G745" s="17" t="inlineStr">
        <is>
          <t xml:space="preserve"> 提供设备在线时长/离线时长/重连次数统计服务</t>
        </is>
      </c>
      <c r="H745" s="18" t="inlineStr">
        <is>
          <t>EI</t>
        </is>
      </c>
      <c r="I745" s="18">
        <f>IF(H745="ILF",10,IF(H745="EIF",7,IF(H745="EI",4,IF(H745="EO",5,IF(H745="EQ",4,"")))))</f>
        <v/>
      </c>
      <c r="J745" s="18" t="inlineStr">
        <is>
          <t>中</t>
        </is>
      </c>
      <c r="K745" s="18">
        <f>IF(J745="高",0.33,IF(J745="中",0.67,IF(J745="低",1,"")))</f>
        <v/>
      </c>
      <c r="L745" s="18" t="inlineStr">
        <is>
          <t>新增</t>
        </is>
      </c>
      <c r="M745" s="18">
        <f>IF(L745="新增",1,IF(L745="修改",0.8,IF(L745="删除",0.2,"")))</f>
        <v/>
      </c>
      <c r="N745" s="18">
        <f>I745*K745*M745</f>
        <v/>
      </c>
    </row>
    <row r="746" ht="14.4" customHeight="1" s="1">
      <c r="B746" s="16" t="n">
        <v>741</v>
      </c>
      <c r="C746" s="16" t="inlineStr">
        <is>
          <t>现场实施、文档及培训</t>
        </is>
      </c>
      <c r="D746" s="16" t="inlineStr">
        <is>
          <t>监控大屏服务</t>
        </is>
      </c>
      <c r="E746" s="16" t="inlineStr">
        <is>
          <t>会话跟踪</t>
        </is>
      </c>
      <c r="F746" s="16" t="inlineStr">
        <is>
          <t>质量评分</t>
        </is>
      </c>
      <c r="G746" s="17" t="inlineStr">
        <is>
          <t xml:space="preserve"> 提供每台RTU通信质量综合评分服务</t>
        </is>
      </c>
      <c r="H746" s="18" t="inlineStr">
        <is>
          <t>EI</t>
        </is>
      </c>
      <c r="I746" s="18">
        <f>IF(H746="ILF",10,IF(H746="EIF",7,IF(H746="EI",4,IF(H746="EO",5,IF(H746="EQ",4,"")))))</f>
        <v/>
      </c>
      <c r="J746" s="18" t="inlineStr">
        <is>
          <t>中</t>
        </is>
      </c>
      <c r="K746" s="18">
        <f>IF(J746="高",0.33,IF(J746="中",0.67,IF(J746="低",1,"")))</f>
        <v/>
      </c>
      <c r="L746" s="18" t="inlineStr">
        <is>
          <t>新增</t>
        </is>
      </c>
      <c r="M746" s="18">
        <f>IF(L746="新增",1,IF(L746="修改",0.8,IF(L746="删除",0.2,"")))</f>
        <v/>
      </c>
      <c r="N746" s="18">
        <f>I746*K746*M746</f>
        <v/>
      </c>
    </row>
    <row r="747" ht="14.4" customHeight="1" s="1">
      <c r="B747" s="16" t="n">
        <v>742</v>
      </c>
      <c r="C747" s="16" t="inlineStr">
        <is>
          <t>现场实施、文档及培训</t>
        </is>
      </c>
      <c r="D747" s="16" t="inlineStr">
        <is>
          <t>监控大屏服务</t>
        </is>
      </c>
      <c r="E747" s="16" t="inlineStr">
        <is>
          <t>会话跟踪</t>
        </is>
      </c>
      <c r="F747" s="16" t="inlineStr">
        <is>
          <t>中断记录</t>
        </is>
      </c>
      <c r="G747" s="17" t="inlineStr">
        <is>
          <t xml:space="preserve"> 提供设备连接中断历史事件记录服务</t>
        </is>
      </c>
      <c r="H747" s="18" t="inlineStr">
        <is>
          <t>EI</t>
        </is>
      </c>
      <c r="I747" s="18">
        <f>IF(H747="ILF",10,IF(H747="EIF",7,IF(H747="EI",4,IF(H747="EO",5,IF(H747="EQ",4,"")))))</f>
        <v/>
      </c>
      <c r="J747" s="18" t="inlineStr">
        <is>
          <t>中</t>
        </is>
      </c>
      <c r="K747" s="18">
        <f>IF(J747="高",0.33,IF(J747="中",0.67,IF(J747="低",1,"")))</f>
        <v/>
      </c>
      <c r="L747" s="18" t="inlineStr">
        <is>
          <t>新增</t>
        </is>
      </c>
      <c r="M747" s="18">
        <f>IF(L747="新增",1,IF(L747="修改",0.8,IF(L747="删除",0.2,"")))</f>
        <v/>
      </c>
      <c r="N747" s="18">
        <f>I747*K747*M747</f>
        <v/>
      </c>
    </row>
    <row r="748" ht="14.4" customHeight="1" s="1">
      <c r="B748" s="16" t="n">
        <v>743</v>
      </c>
      <c r="C748" s="16" t="inlineStr">
        <is>
          <t>现场实施、文档及培训</t>
        </is>
      </c>
      <c r="D748" s="16" t="inlineStr">
        <is>
          <t>监控大屏服务</t>
        </is>
      </c>
      <c r="E748" s="16" t="inlineStr">
        <is>
          <t>会话跟踪</t>
        </is>
      </c>
      <c r="F748" s="16" t="inlineStr">
        <is>
          <t>异常告警</t>
        </is>
      </c>
      <c r="G748" s="17" t="inlineStr">
        <is>
          <t xml:space="preserve"> 提供设备会话异常实时告警服务</t>
        </is>
      </c>
      <c r="H748" s="18" t="inlineStr">
        <is>
          <t>EI</t>
        </is>
      </c>
      <c r="I748" s="18">
        <f>IF(H748="ILF",10,IF(H748="EIF",7,IF(H748="EI",4,IF(H748="EO",5,IF(H748="EQ",4,"")))))</f>
        <v/>
      </c>
      <c r="J748" s="18" t="inlineStr">
        <is>
          <t>中</t>
        </is>
      </c>
      <c r="K748" s="18">
        <f>IF(J748="高",0.33,IF(J748="中",0.67,IF(J748="低",1,"")))</f>
        <v/>
      </c>
      <c r="L748" s="18" t="inlineStr">
        <is>
          <t>新增</t>
        </is>
      </c>
      <c r="M748" s="18">
        <f>IF(L748="新增",1,IF(L748="修改",0.8,IF(L748="删除",0.2,"")))</f>
        <v/>
      </c>
      <c r="N748" s="18">
        <f>I748*K748*M748</f>
        <v/>
      </c>
    </row>
    <row r="749" ht="14.4" customHeight="1" s="1">
      <c r="B749" s="16" t="n">
        <v>744</v>
      </c>
      <c r="C749" s="16" t="inlineStr">
        <is>
          <t>现场实施、文档及培训</t>
        </is>
      </c>
      <c r="D749" s="16" t="inlineStr">
        <is>
          <t>监控大屏服务</t>
        </is>
      </c>
      <c r="E749" s="16" t="inlineStr">
        <is>
          <t>会话跟踪</t>
        </is>
      </c>
      <c r="F749" s="16" t="inlineStr">
        <is>
          <t>会话查询</t>
        </is>
      </c>
      <c r="G749" s="17" t="inlineStr">
        <is>
          <t xml:space="preserve"> 提供设备会话历史事件查询服务</t>
        </is>
      </c>
      <c r="H749" s="18" t="inlineStr">
        <is>
          <t>EI</t>
        </is>
      </c>
      <c r="I749" s="18">
        <f>IF(H749="ILF",10,IF(H749="EIF",7,IF(H749="EI",4,IF(H749="EO",5,IF(H749="EQ",4,"")))))</f>
        <v/>
      </c>
      <c r="J749" s="18" t="inlineStr">
        <is>
          <t>中</t>
        </is>
      </c>
      <c r="K749" s="18">
        <f>IF(J749="高",0.33,IF(J749="中",0.67,IF(J749="低",1,"")))</f>
        <v/>
      </c>
      <c r="L749" s="18" t="inlineStr">
        <is>
          <t>新增</t>
        </is>
      </c>
      <c r="M749" s="18">
        <f>IF(L749="新增",1,IF(L749="修改",0.8,IF(L749="删除",0.2,"")))</f>
        <v/>
      </c>
      <c r="N749" s="18">
        <f>I749*K749*M749</f>
        <v/>
      </c>
    </row>
    <row r="750" ht="14.4" customHeight="1" s="1">
      <c r="B750" s="16" t="n">
        <v>745</v>
      </c>
      <c r="C750" s="16" t="inlineStr">
        <is>
          <t>现场实施、文档及培训</t>
        </is>
      </c>
      <c r="D750" s="16" t="inlineStr">
        <is>
          <t>可视化配置</t>
        </is>
      </c>
      <c r="E750" s="16" t="inlineStr">
        <is>
          <t>拖拽图表</t>
        </is>
      </c>
      <c r="F750" s="16" t="inlineStr">
        <is>
          <t>折线图</t>
        </is>
      </c>
      <c r="G750" s="17" t="inlineStr">
        <is>
          <t xml:space="preserve"> 提供拖拽式折线图数据源和时间范围配置服务</t>
        </is>
      </c>
      <c r="H750" s="18" t="inlineStr">
        <is>
          <t>EI</t>
        </is>
      </c>
      <c r="I750" s="18">
        <f>IF(H750="ILF",10,IF(H750="EIF",7,IF(H750="EI",4,IF(H750="EO",5,IF(H750="EQ",4,"")))))</f>
        <v/>
      </c>
      <c r="J750" s="18" t="inlineStr">
        <is>
          <t>中</t>
        </is>
      </c>
      <c r="K750" s="18">
        <f>IF(J750="高",0.33,IF(J750="中",0.67,IF(J750="低",1,"")))</f>
        <v/>
      </c>
      <c r="L750" s="18" t="inlineStr">
        <is>
          <t>新增</t>
        </is>
      </c>
      <c r="M750" s="18">
        <f>IF(L750="新增",1,IF(L750="修改",0.8,IF(L750="删除",0.2,"")))</f>
        <v/>
      </c>
      <c r="N750" s="18">
        <f>I750*K750*M750</f>
        <v/>
      </c>
    </row>
    <row r="751" ht="14.4" customHeight="1" s="1">
      <c r="B751" s="16" t="n">
        <v>746</v>
      </c>
      <c r="C751" s="16" t="inlineStr">
        <is>
          <t>现场实施、文档及培训</t>
        </is>
      </c>
      <c r="D751" s="16" t="inlineStr">
        <is>
          <t>可视化配置</t>
        </is>
      </c>
      <c r="E751" s="16" t="inlineStr">
        <is>
          <t>拖拽图表</t>
        </is>
      </c>
      <c r="F751" s="16" t="inlineStr">
        <is>
          <t>柱状图</t>
        </is>
      </c>
      <c r="G751" s="17" t="inlineStr">
        <is>
          <t xml:space="preserve"> 提供拖拽式柱状图维度和度量配置服务</t>
        </is>
      </c>
      <c r="H751" s="18" t="inlineStr">
        <is>
          <t>EI</t>
        </is>
      </c>
      <c r="I751" s="18">
        <f>IF(H751="ILF",10,IF(H751="EIF",7,IF(H751="EI",4,IF(H751="EO",5,IF(H751="EQ",4,"")))))</f>
        <v/>
      </c>
      <c r="J751" s="18" t="inlineStr">
        <is>
          <t>中</t>
        </is>
      </c>
      <c r="K751" s="18">
        <f>IF(J751="高",0.33,IF(J751="中",0.67,IF(J751="低",1,"")))</f>
        <v/>
      </c>
      <c r="L751" s="18" t="inlineStr">
        <is>
          <t>新增</t>
        </is>
      </c>
      <c r="M751" s="18">
        <f>IF(L751="新增",1,IF(L751="修改",0.8,IF(L751="删除",0.2,"")))</f>
        <v/>
      </c>
      <c r="N751" s="18">
        <f>I751*K751*M751</f>
        <v/>
      </c>
    </row>
    <row r="752" ht="14.4" customHeight="1" s="1">
      <c r="B752" s="16" t="n">
        <v>747</v>
      </c>
      <c r="C752" s="16" t="inlineStr">
        <is>
          <t>现场实施、文档及培训</t>
        </is>
      </c>
      <c r="D752" s="16" t="inlineStr">
        <is>
          <t>可视化配置</t>
        </is>
      </c>
      <c r="E752" s="16" t="inlineStr">
        <is>
          <t>拖拽图表</t>
        </is>
      </c>
      <c r="F752" s="16" t="inlineStr">
        <is>
          <t>饼图</t>
        </is>
      </c>
      <c r="G752" s="17" t="inlineStr">
        <is>
          <t xml:space="preserve"> 提供拖拽式饼图分类和数值配置服务</t>
        </is>
      </c>
      <c r="H752" s="18" t="inlineStr">
        <is>
          <t>EI</t>
        </is>
      </c>
      <c r="I752" s="18">
        <f>IF(H752="ILF",10,IF(H752="EIF",7,IF(H752="EI",4,IF(H752="EO",5,IF(H752="EQ",4,"")))))</f>
        <v/>
      </c>
      <c r="J752" s="18" t="inlineStr">
        <is>
          <t>中</t>
        </is>
      </c>
      <c r="K752" s="18">
        <f>IF(J752="高",0.33,IF(J752="中",0.67,IF(J752="低",1,"")))</f>
        <v/>
      </c>
      <c r="L752" s="18" t="inlineStr">
        <is>
          <t>新增</t>
        </is>
      </c>
      <c r="M752" s="18">
        <f>IF(L752="新增",1,IF(L752="修改",0.8,IF(L752="删除",0.2,"")))</f>
        <v/>
      </c>
      <c r="N752" s="18">
        <f>I752*K752*M752</f>
        <v/>
      </c>
    </row>
    <row r="753" ht="14.4" customHeight="1" s="1">
      <c r="B753" s="16" t="n">
        <v>748</v>
      </c>
      <c r="C753" s="16" t="inlineStr">
        <is>
          <t>现场实施、文档及培训</t>
        </is>
      </c>
      <c r="D753" s="16" t="inlineStr">
        <is>
          <t>可视化配置</t>
        </is>
      </c>
      <c r="E753" s="16" t="inlineStr">
        <is>
          <t>拖拽图表</t>
        </is>
      </c>
      <c r="F753" s="16" t="inlineStr">
        <is>
          <t>仪表盘</t>
        </is>
      </c>
      <c r="G753" s="17" t="inlineStr">
        <is>
          <t xml:space="preserve"> 提供拖拽式仪表盘目标值和当前值配置服务</t>
        </is>
      </c>
      <c r="H753" s="18" t="inlineStr">
        <is>
          <t>EI</t>
        </is>
      </c>
      <c r="I753" s="18">
        <f>IF(H753="ILF",10,IF(H753="EIF",7,IF(H753="EI",4,IF(H753="EO",5,IF(H753="EQ",4,"")))))</f>
        <v/>
      </c>
      <c r="J753" s="18" t="inlineStr">
        <is>
          <t>中</t>
        </is>
      </c>
      <c r="K753" s="18">
        <f>IF(J753="高",0.33,IF(J753="中",0.67,IF(J753="低",1,"")))</f>
        <v/>
      </c>
      <c r="L753" s="18" t="inlineStr">
        <is>
          <t>新增</t>
        </is>
      </c>
      <c r="M753" s="18">
        <f>IF(L753="新增",1,IF(L753="修改",0.8,IF(L753="删除",0.2,"")))</f>
        <v/>
      </c>
      <c r="N753" s="18">
        <f>I753*K753*M753</f>
        <v/>
      </c>
    </row>
    <row r="754" ht="14.4" customHeight="1" s="1">
      <c r="B754" s="16" t="n">
        <v>749</v>
      </c>
      <c r="C754" s="16" t="inlineStr">
        <is>
          <t>现场实施、文档及培训</t>
        </is>
      </c>
      <c r="D754" s="16" t="inlineStr">
        <is>
          <t>可视化配置</t>
        </is>
      </c>
      <c r="E754" s="16" t="inlineStr">
        <is>
          <t>拖拽图表</t>
        </is>
      </c>
      <c r="F754" s="16" t="inlineStr">
        <is>
          <t>地图</t>
        </is>
      </c>
      <c r="G754" s="17" t="inlineStr">
        <is>
          <t xml:space="preserve"> 提供拖拽式地理地图设备分布展示配置服务</t>
        </is>
      </c>
      <c r="H754" s="18" t="inlineStr">
        <is>
          <t>EI</t>
        </is>
      </c>
      <c r="I754" s="18">
        <f>IF(H754="ILF",10,IF(H754="EIF",7,IF(H754="EI",4,IF(H754="EO",5,IF(H754="EQ",4,"")))))</f>
        <v/>
      </c>
      <c r="J754" s="18" t="inlineStr">
        <is>
          <t>中</t>
        </is>
      </c>
      <c r="K754" s="18">
        <f>IF(J754="高",0.33,IF(J754="中",0.67,IF(J754="低",1,"")))</f>
        <v/>
      </c>
      <c r="L754" s="18" t="inlineStr">
        <is>
          <t>新增</t>
        </is>
      </c>
      <c r="M754" s="18">
        <f>IF(L754="新增",1,IF(L754="修改",0.8,IF(L754="删除",0.2,"")))</f>
        <v/>
      </c>
      <c r="N754" s="18">
        <f>I754*K754*M754</f>
        <v/>
      </c>
    </row>
    <row r="755" ht="14.4" customHeight="1" s="1">
      <c r="B755" s="16" t="n">
        <v>750</v>
      </c>
      <c r="C755" s="16" t="inlineStr">
        <is>
          <t>现场实施、文档及培训</t>
        </is>
      </c>
      <c r="D755" s="16" t="inlineStr">
        <is>
          <t>可视化配置</t>
        </is>
      </c>
      <c r="E755" s="16" t="inlineStr">
        <is>
          <t>拖拽图表</t>
        </is>
      </c>
      <c r="F755" s="16" t="inlineStr">
        <is>
          <t>数据表格</t>
        </is>
      </c>
      <c r="G755" s="17" t="inlineStr">
        <is>
          <t xml:space="preserve"> 提供拖拽式数据表格列和过滤配置服务</t>
        </is>
      </c>
      <c r="H755" s="18" t="inlineStr">
        <is>
          <t>EI</t>
        </is>
      </c>
      <c r="I755" s="18">
        <f>IF(H755="ILF",10,IF(H755="EIF",7,IF(H755="EI",4,IF(H755="EO",5,IF(H755="EQ",4,"")))))</f>
        <v/>
      </c>
      <c r="J755" s="18" t="inlineStr">
        <is>
          <t>中</t>
        </is>
      </c>
      <c r="K755" s="18">
        <f>IF(J755="高",0.33,IF(J755="中",0.67,IF(J755="低",1,"")))</f>
        <v/>
      </c>
      <c r="L755" s="18" t="inlineStr">
        <is>
          <t>新增</t>
        </is>
      </c>
      <c r="M755" s="18">
        <f>IF(L755="新增",1,IF(L755="修改",0.8,IF(L755="删除",0.2,"")))</f>
        <v/>
      </c>
      <c r="N755" s="18">
        <f>I755*K755*M755</f>
        <v/>
      </c>
    </row>
    <row r="756" ht="14.4" customHeight="1" s="1">
      <c r="B756" s="16" t="n">
        <v>751</v>
      </c>
      <c r="C756" s="16" t="inlineStr">
        <is>
          <t>现场实施、文档及培训</t>
        </is>
      </c>
      <c r="D756" s="16" t="inlineStr">
        <is>
          <t>可视化配置</t>
        </is>
      </c>
      <c r="E756" s="16" t="inlineStr">
        <is>
          <t>拖拽图表</t>
        </is>
      </c>
      <c r="F756" s="16" t="inlineStr">
        <is>
          <t>散点图</t>
        </is>
      </c>
      <c r="G756" s="17" t="inlineStr">
        <is>
          <t xml:space="preserve"> 提供拖拽式散点图维度配置服务</t>
        </is>
      </c>
      <c r="H756" s="18" t="inlineStr">
        <is>
          <t>EI</t>
        </is>
      </c>
      <c r="I756" s="18">
        <f>IF(H756="ILF",10,IF(H756="EIF",7,IF(H756="EI",4,IF(H756="EO",5,IF(H756="EQ",4,"")))))</f>
        <v/>
      </c>
      <c r="J756" s="18" t="inlineStr">
        <is>
          <t>中</t>
        </is>
      </c>
      <c r="K756" s="18">
        <f>IF(J756="高",0.33,IF(J756="中",0.67,IF(J756="低",1,"")))</f>
        <v/>
      </c>
      <c r="L756" s="18" t="inlineStr">
        <is>
          <t>新增</t>
        </is>
      </c>
      <c r="M756" s="18">
        <f>IF(L756="新增",1,IF(L756="修改",0.8,IF(L756="删除",0.2,"")))</f>
        <v/>
      </c>
      <c r="N756" s="18">
        <f>I756*K756*M756</f>
        <v/>
      </c>
    </row>
    <row r="757" ht="14.4" customHeight="1" s="1">
      <c r="B757" s="16" t="n">
        <v>752</v>
      </c>
      <c r="C757" s="16" t="inlineStr">
        <is>
          <t>现场实施、文档及培训</t>
        </is>
      </c>
      <c r="D757" s="16" t="inlineStr">
        <is>
          <t>可视化配置</t>
        </is>
      </c>
      <c r="E757" s="16" t="inlineStr">
        <is>
          <t>拖拽图表</t>
        </is>
      </c>
      <c r="F757" s="16" t="inlineStr">
        <is>
          <t>热力图</t>
        </is>
      </c>
      <c r="G757" s="17" t="inlineStr">
        <is>
          <t xml:space="preserve"> 提供拖拽式热力图颜色和维度配置服务</t>
        </is>
      </c>
      <c r="H757" s="18" t="inlineStr">
        <is>
          <t>EI</t>
        </is>
      </c>
      <c r="I757" s="18">
        <f>IF(H757="ILF",10,IF(H757="EIF",7,IF(H757="EI",4,IF(H757="EO",5,IF(H757="EQ",4,"")))))</f>
        <v/>
      </c>
      <c r="J757" s="18" t="inlineStr">
        <is>
          <t>中</t>
        </is>
      </c>
      <c r="K757" s="18">
        <f>IF(J757="高",0.33,IF(J757="中",0.67,IF(J757="低",1,"")))</f>
        <v/>
      </c>
      <c r="L757" s="18" t="inlineStr">
        <is>
          <t>新增</t>
        </is>
      </c>
      <c r="M757" s="18">
        <f>IF(L757="新增",1,IF(L757="修改",0.8,IF(L757="删除",0.2,"")))</f>
        <v/>
      </c>
      <c r="N757" s="18">
        <f>I757*K757*M757</f>
        <v/>
      </c>
    </row>
    <row r="758" ht="14.4" customHeight="1" s="1">
      <c r="B758" s="16" t="n">
        <v>753</v>
      </c>
      <c r="C758" s="16" t="inlineStr">
        <is>
          <t>现场实施、文档及培训</t>
        </is>
      </c>
      <c r="D758" s="16" t="inlineStr">
        <is>
          <t>可视化配置</t>
        </is>
      </c>
      <c r="E758" s="16" t="inlineStr">
        <is>
          <t>拖拽图表</t>
        </is>
      </c>
      <c r="F758" s="16" t="inlineStr">
        <is>
          <t>面积图</t>
        </is>
      </c>
      <c r="G758" s="17" t="inlineStr">
        <is>
          <t xml:space="preserve"> 提供拖拽式面积图维度配置服务</t>
        </is>
      </c>
      <c r="H758" s="18" t="inlineStr">
        <is>
          <t>EI</t>
        </is>
      </c>
      <c r="I758" s="18">
        <f>IF(H758="ILF",10,IF(H758="EIF",7,IF(H758="EI",4,IF(H758="EO",5,IF(H758="EQ",4,"")))))</f>
        <v/>
      </c>
      <c r="J758" s="18" t="inlineStr">
        <is>
          <t>中</t>
        </is>
      </c>
      <c r="K758" s="18">
        <f>IF(J758="高",0.33,IF(J758="中",0.67,IF(J758="低",1,"")))</f>
        <v/>
      </c>
      <c r="L758" s="18" t="inlineStr">
        <is>
          <t>新增</t>
        </is>
      </c>
      <c r="M758" s="18">
        <f>IF(L758="新增",1,IF(L758="修改",0.8,IF(L758="删除",0.2,"")))</f>
        <v/>
      </c>
      <c r="N758" s="18">
        <f>I758*K758*M758</f>
        <v/>
      </c>
    </row>
    <row r="759" ht="14.4" customHeight="1" s="1">
      <c r="B759" s="16" t="n">
        <v>754</v>
      </c>
      <c r="C759" s="16" t="inlineStr">
        <is>
          <t>现场实施、文档及培训</t>
        </is>
      </c>
      <c r="D759" s="16" t="inlineStr">
        <is>
          <t>可视化配置</t>
        </is>
      </c>
      <c r="E759" s="16" t="inlineStr">
        <is>
          <t>拖拽图表</t>
        </is>
      </c>
      <c r="F759" s="16" t="inlineStr">
        <is>
          <t>雷达图</t>
        </is>
      </c>
      <c r="G759" s="17" t="inlineStr">
        <is>
          <t xml:space="preserve"> 提供拖拽式雷达图维度配置服务</t>
        </is>
      </c>
      <c r="H759" s="18" t="inlineStr">
        <is>
          <t>EI</t>
        </is>
      </c>
      <c r="I759" s="18">
        <f>IF(H759="ILF",10,IF(H759="EIF",7,IF(H759="EI",4,IF(H759="EO",5,IF(H759="EQ",4,"")))))</f>
        <v/>
      </c>
      <c r="J759" s="18" t="inlineStr">
        <is>
          <t>中</t>
        </is>
      </c>
      <c r="K759" s="18">
        <f>IF(J759="高",0.33,IF(J759="中",0.67,IF(J759="低",1,"")))</f>
        <v/>
      </c>
      <c r="L759" s="18" t="inlineStr">
        <is>
          <t>新增</t>
        </is>
      </c>
      <c r="M759" s="18">
        <f>IF(L759="新增",1,IF(L759="修改",0.8,IF(L759="删除",0.2,"")))</f>
        <v/>
      </c>
      <c r="N759" s="18">
        <f>I759*K759*M759</f>
        <v/>
      </c>
    </row>
    <row r="760" ht="14.4" customHeight="1" s="1">
      <c r="B760" s="16" t="n">
        <v>755</v>
      </c>
      <c r="C760" s="16" t="inlineStr">
        <is>
          <t>现场实施、文档及培训</t>
        </is>
      </c>
      <c r="D760" s="16" t="inlineStr">
        <is>
          <t>可视化配置</t>
        </is>
      </c>
      <c r="E760" s="16" t="inlineStr">
        <is>
          <t>拖拽图表</t>
        </is>
      </c>
      <c r="F760" s="16" t="inlineStr">
        <is>
          <t>混合查询</t>
        </is>
      </c>
      <c r="G760" s="17" t="inlineStr">
        <is>
          <t xml:space="preserve"> 提供TDengine+达梦数据源混合查询配置服务</t>
        </is>
      </c>
      <c r="H760" s="18" t="inlineStr">
        <is>
          <t>EI</t>
        </is>
      </c>
      <c r="I760" s="18">
        <f>IF(H760="ILF",10,IF(H760="EIF",7,IF(H760="EI",4,IF(H760="EO",5,IF(H760="EQ",4,"")))))</f>
        <v/>
      </c>
      <c r="J760" s="18" t="inlineStr">
        <is>
          <t>中</t>
        </is>
      </c>
      <c r="K760" s="18">
        <f>IF(J760="高",0.33,IF(J760="中",0.67,IF(J760="低",1,"")))</f>
        <v/>
      </c>
      <c r="L760" s="18" t="inlineStr">
        <is>
          <t>新增</t>
        </is>
      </c>
      <c r="M760" s="18">
        <f>IF(L760="新增",1,IF(L760="修改",0.8,IF(L760="删除",0.2,"")))</f>
        <v/>
      </c>
      <c r="N760" s="18">
        <f>I760*K760*M760</f>
        <v/>
      </c>
    </row>
    <row r="761" ht="14.4" customHeight="1" s="1">
      <c r="B761" s="16" t="n">
        <v>756</v>
      </c>
      <c r="C761" s="16" t="inlineStr">
        <is>
          <t>现场实施、文档及培训</t>
        </is>
      </c>
      <c r="D761" s="16" t="inlineStr">
        <is>
          <t>可视化配置</t>
        </is>
      </c>
      <c r="E761" s="16" t="inlineStr">
        <is>
          <t>拖拽图表</t>
        </is>
      </c>
      <c r="F761" s="16" t="inlineStr">
        <is>
          <t>刷新频率</t>
        </is>
      </c>
      <c r="G761" s="17" t="inlineStr">
        <is>
          <t xml:space="preserve"> 提供图表数据自动刷新频率配置服务</t>
        </is>
      </c>
      <c r="H761" s="18" t="inlineStr">
        <is>
          <t>EI</t>
        </is>
      </c>
      <c r="I761" s="18">
        <f>IF(H761="ILF",10,IF(H761="EIF",7,IF(H761="EI",4,IF(H761="EO",5,IF(H761="EQ",4,"")))))</f>
        <v/>
      </c>
      <c r="J761" s="18" t="inlineStr">
        <is>
          <t>中</t>
        </is>
      </c>
      <c r="K761" s="18">
        <f>IF(J761="高",0.33,IF(J761="中",0.67,IF(J761="低",1,"")))</f>
        <v/>
      </c>
      <c r="L761" s="18" t="inlineStr">
        <is>
          <t>新增</t>
        </is>
      </c>
      <c r="M761" s="18">
        <f>IF(L761="新增",1,IF(L761="修改",0.8,IF(L761="删除",0.2,"")))</f>
        <v/>
      </c>
      <c r="N761" s="18">
        <f>I761*K761*M761</f>
        <v/>
      </c>
    </row>
    <row r="762" ht="14.4" customHeight="1" s="1">
      <c r="B762" s="16" t="n">
        <v>757</v>
      </c>
      <c r="C762" s="16" t="inlineStr">
        <is>
          <t>现场实施、文档及培训</t>
        </is>
      </c>
      <c r="D762" s="16" t="inlineStr">
        <is>
          <t>可视化配置</t>
        </is>
      </c>
      <c r="E762" s="16" t="inlineStr">
        <is>
          <t>模板联动</t>
        </is>
      </c>
      <c r="F762" s="16" t="inlineStr">
        <is>
          <t>模板创建</t>
        </is>
      </c>
      <c r="G762" s="17" t="inlineStr">
        <is>
          <t xml:space="preserve"> 提供图表配置模板创建服务</t>
        </is>
      </c>
      <c r="H762" s="18" t="inlineStr">
        <is>
          <t>EI</t>
        </is>
      </c>
      <c r="I762" s="18">
        <f>IF(H762="ILF",10,IF(H762="EIF",7,IF(H762="EI",4,IF(H762="EO",5,IF(H762="EQ",4,"")))))</f>
        <v/>
      </c>
      <c r="J762" s="18" t="inlineStr">
        <is>
          <t>中</t>
        </is>
      </c>
      <c r="K762" s="18">
        <f>IF(J762="高",0.33,IF(J762="中",0.67,IF(J762="低",1,"")))</f>
        <v/>
      </c>
      <c r="L762" s="18" t="inlineStr">
        <is>
          <t>新增</t>
        </is>
      </c>
      <c r="M762" s="18">
        <f>IF(L762="新增",1,IF(L762="修改",0.8,IF(L762="删除",0.2,"")))</f>
        <v/>
      </c>
      <c r="N762" s="18">
        <f>I762*K762*M762</f>
        <v/>
      </c>
    </row>
    <row r="763" ht="14.4" customHeight="1" s="1">
      <c r="B763" s="16" t="n">
        <v>758</v>
      </c>
      <c r="C763" s="16" t="inlineStr">
        <is>
          <t>现场实施、文档及培训</t>
        </is>
      </c>
      <c r="D763" s="16" t="inlineStr">
        <is>
          <t>可视化配置</t>
        </is>
      </c>
      <c r="E763" s="16" t="inlineStr">
        <is>
          <t>模板联动</t>
        </is>
      </c>
      <c r="F763" s="16" t="inlineStr">
        <is>
          <t>模板分享</t>
        </is>
      </c>
      <c r="G763" s="17" t="inlineStr">
        <is>
          <t xml:space="preserve"> 提供图表配置模板分享服务</t>
        </is>
      </c>
      <c r="H763" s="18" t="inlineStr">
        <is>
          <t>EI</t>
        </is>
      </c>
      <c r="I763" s="18">
        <f>IF(H763="ILF",10,IF(H763="EIF",7,IF(H763="EI",4,IF(H763="EO",5,IF(H763="EQ",4,"")))))</f>
        <v/>
      </c>
      <c r="J763" s="18" t="inlineStr">
        <is>
          <t>中</t>
        </is>
      </c>
      <c r="K763" s="18">
        <f>IF(J763="高",0.33,IF(J763="中",0.67,IF(J763="低",1,"")))</f>
        <v/>
      </c>
      <c r="L763" s="18" t="inlineStr">
        <is>
          <t>新增</t>
        </is>
      </c>
      <c r="M763" s="18">
        <f>IF(L763="新增",1,IF(L763="修改",0.8,IF(L763="删除",0.2,"")))</f>
        <v/>
      </c>
      <c r="N763" s="18">
        <f>I763*K763*M763</f>
        <v/>
      </c>
    </row>
    <row r="764" ht="14.4" customHeight="1" s="1">
      <c r="B764" s="16" t="n">
        <v>759</v>
      </c>
      <c r="C764" s="16" t="inlineStr">
        <is>
          <t>现场实施、文档及培训</t>
        </is>
      </c>
      <c r="D764" s="16" t="inlineStr">
        <is>
          <t>可视化配置</t>
        </is>
      </c>
      <c r="E764" s="16" t="inlineStr">
        <is>
          <t>模板联动</t>
        </is>
      </c>
      <c r="F764" s="16" t="inlineStr">
        <is>
          <t>模板复用</t>
        </is>
      </c>
      <c r="G764" s="17" t="inlineStr">
        <is>
          <t xml:space="preserve"> 提供图表配置模板复用到其他设备组服务</t>
        </is>
      </c>
      <c r="H764" s="18" t="inlineStr">
        <is>
          <t>EI</t>
        </is>
      </c>
      <c r="I764" s="18">
        <f>IF(H764="ILF",10,IF(H764="EIF",7,IF(H764="EI",4,IF(H764="EO",5,IF(H764="EQ",4,"")))))</f>
        <v/>
      </c>
      <c r="J764" s="18" t="inlineStr">
        <is>
          <t>中</t>
        </is>
      </c>
      <c r="K764" s="18">
        <f>IF(J764="高",0.33,IF(J764="中",0.67,IF(J764="低",1,"")))</f>
        <v/>
      </c>
      <c r="L764" s="18" t="inlineStr">
        <is>
          <t>新增</t>
        </is>
      </c>
      <c r="M764" s="18">
        <f>IF(L764="新增",1,IF(L764="修改",0.8,IF(L764="删除",0.2,"")))</f>
        <v/>
      </c>
      <c r="N764" s="18">
        <f>I764*K764*M764</f>
        <v/>
      </c>
    </row>
    <row r="765" ht="14.4" customHeight="1" s="1">
      <c r="B765" s="16" t="n">
        <v>760</v>
      </c>
      <c r="C765" s="16" t="inlineStr">
        <is>
          <t>现场实施、文档及培训</t>
        </is>
      </c>
      <c r="D765" s="16" t="inlineStr">
        <is>
          <t>可视化配置</t>
        </is>
      </c>
      <c r="E765" s="16" t="inlineStr">
        <is>
          <t>模板联动</t>
        </is>
      </c>
      <c r="F765" s="16" t="inlineStr">
        <is>
          <t>告警联动</t>
        </is>
      </c>
      <c r="G765" s="17" t="inlineStr">
        <is>
          <t xml:space="preserve"> 提供面板选中异常点一键创建告警规则服务</t>
        </is>
      </c>
      <c r="H765" s="18" t="inlineStr">
        <is>
          <t>EI</t>
        </is>
      </c>
      <c r="I765" s="18">
        <f>IF(H765="ILF",10,IF(H765="EIF",7,IF(H765="EI",4,IF(H765="EO",5,IF(H765="EQ",4,"")))))</f>
        <v/>
      </c>
      <c r="J765" s="18" t="inlineStr">
        <is>
          <t>中</t>
        </is>
      </c>
      <c r="K765" s="18">
        <f>IF(J765="高",0.33,IF(J765="中",0.67,IF(J765="低",1,"")))</f>
        <v/>
      </c>
      <c r="L765" s="18" t="inlineStr">
        <is>
          <t>新增</t>
        </is>
      </c>
      <c r="M765" s="18">
        <f>IF(L765="新增",1,IF(L765="修改",0.8,IF(L765="删除",0.2,"")))</f>
        <v/>
      </c>
      <c r="N765" s="18">
        <f>I765*K765*M765</f>
        <v/>
      </c>
    </row>
    <row r="766" ht="14.4" customHeight="1" s="1">
      <c r="B766" s="16" t="n">
        <v>761</v>
      </c>
      <c r="C766" s="16" t="inlineStr">
        <is>
          <t>现场实施、文档及培训</t>
        </is>
      </c>
      <c r="D766" s="16" t="inlineStr">
        <is>
          <t>可视化配置</t>
        </is>
      </c>
      <c r="E766" s="16" t="inlineStr">
        <is>
          <t>模板联动</t>
        </is>
      </c>
      <c r="F766" s="16" t="inlineStr">
        <is>
          <t>数据源联动</t>
        </is>
      </c>
      <c r="G766" s="17" t="inlineStr">
        <is>
          <t xml:space="preserve"> 提供图表数据源切换联动配置服务</t>
        </is>
      </c>
      <c r="H766" s="18" t="inlineStr">
        <is>
          <t>EI</t>
        </is>
      </c>
      <c r="I766" s="18">
        <f>IF(H766="ILF",10,IF(H766="EIF",7,IF(H766="EI",4,IF(H766="EO",5,IF(H766="EQ",4,"")))))</f>
        <v/>
      </c>
      <c r="J766" s="18" t="inlineStr">
        <is>
          <t>中</t>
        </is>
      </c>
      <c r="K766" s="18">
        <f>IF(J766="高",0.33,IF(J766="中",0.67,IF(J766="低",1,"")))</f>
        <v/>
      </c>
      <c r="L766" s="18" t="inlineStr">
        <is>
          <t>新增</t>
        </is>
      </c>
      <c r="M766" s="18">
        <f>IF(L766="新增",1,IF(L766="修改",0.8,IF(L766="删除",0.2,"")))</f>
        <v/>
      </c>
      <c r="N766" s="18">
        <f>I766*K766*M766</f>
        <v/>
      </c>
    </row>
    <row r="767" ht="14.4" customHeight="1" s="1">
      <c r="B767" s="16" t="n">
        <v>762</v>
      </c>
      <c r="C767" s="16" t="inlineStr">
        <is>
          <t>现场实施、文档及培训</t>
        </is>
      </c>
      <c r="D767" s="16" t="inlineStr">
        <is>
          <t>可视化配置</t>
        </is>
      </c>
      <c r="E767" s="16" t="inlineStr">
        <is>
          <t>模板联动</t>
        </is>
      </c>
      <c r="F767" s="16" t="inlineStr">
        <is>
          <t>下钻联动</t>
        </is>
      </c>
      <c r="G767" s="17" t="inlineStr">
        <is>
          <t xml:space="preserve"> 提供图表下钻层级联动配置服务</t>
        </is>
      </c>
      <c r="H767" s="18" t="inlineStr">
        <is>
          <t>EI</t>
        </is>
      </c>
      <c r="I767" s="18">
        <f>IF(H767="ILF",10,IF(H767="EIF",7,IF(H767="EI",4,IF(H767="EO",5,IF(H767="EQ",4,"")))))</f>
        <v/>
      </c>
      <c r="J767" s="18" t="inlineStr">
        <is>
          <t>中</t>
        </is>
      </c>
      <c r="K767" s="18">
        <f>IF(J767="高",0.33,IF(J767="中",0.67,IF(J767="低",1,"")))</f>
        <v/>
      </c>
      <c r="L767" s="18" t="inlineStr">
        <is>
          <t>新增</t>
        </is>
      </c>
      <c r="M767" s="18">
        <f>IF(L767="新增",1,IF(L767="修改",0.8,IF(L767="删除",0.2,"")))</f>
        <v/>
      </c>
      <c r="N767" s="18">
        <f>I767*K767*M767</f>
        <v/>
      </c>
    </row>
    <row r="768" ht="14.4" customHeight="1" s="1">
      <c r="B768" s="16" t="n">
        <v>763</v>
      </c>
      <c r="C768" s="16" t="inlineStr">
        <is>
          <t>现场实施、文档及培训</t>
        </is>
      </c>
      <c r="D768" s="16" t="inlineStr">
        <is>
          <t>可视化配置</t>
        </is>
      </c>
      <c r="E768" s="16" t="inlineStr">
        <is>
          <t>模板联动</t>
        </is>
      </c>
      <c r="F768" s="16" t="inlineStr">
        <is>
          <t>过滤联动</t>
        </is>
      </c>
      <c r="G768" s="17" t="inlineStr">
        <is>
          <t xml:space="preserve"> 提供图表间过滤条件联动配置服务</t>
        </is>
      </c>
      <c r="H768" s="18" t="inlineStr">
        <is>
          <t>EI</t>
        </is>
      </c>
      <c r="I768" s="18">
        <f>IF(H768="ILF",10,IF(H768="EIF",7,IF(H768="EI",4,IF(H768="EO",5,IF(H768="EQ",4,"")))))</f>
        <v/>
      </c>
      <c r="J768" s="18" t="inlineStr">
        <is>
          <t>中</t>
        </is>
      </c>
      <c r="K768" s="18">
        <f>IF(J768="高",0.33,IF(J768="中",0.67,IF(J768="低",1,"")))</f>
        <v/>
      </c>
      <c r="L768" s="18" t="inlineStr">
        <is>
          <t>新增</t>
        </is>
      </c>
      <c r="M768" s="18">
        <f>IF(L768="新增",1,IF(L768="修改",0.8,IF(L768="删除",0.2,"")))</f>
        <v/>
      </c>
      <c r="N768" s="18">
        <f>I768*K768*M768</f>
        <v/>
      </c>
    </row>
    <row r="769" ht="14.4" customHeight="1" s="1">
      <c r="B769" s="16" t="n">
        <v>764</v>
      </c>
      <c r="C769" s="16" t="inlineStr">
        <is>
          <t>现场实施、文档及培训</t>
        </is>
      </c>
      <c r="D769" s="16" t="inlineStr">
        <is>
          <t>管理驾驶舱</t>
        </is>
      </c>
      <c r="E769" s="16" t="inlineStr">
        <is>
          <t>KPI指标</t>
        </is>
      </c>
      <c r="F769" s="16" t="inlineStr">
        <is>
          <t>设备在线率</t>
        </is>
      </c>
      <c r="G769" s="17" t="inlineStr">
        <is>
          <t xml:space="preserve"> 提供全厂设备在线率≥95%实时展示服务</t>
        </is>
      </c>
      <c r="H769" s="18" t="inlineStr">
        <is>
          <t>EI</t>
        </is>
      </c>
      <c r="I769" s="18">
        <f>IF(H769="ILF",10,IF(H769="EIF",7,IF(H769="EI",4,IF(H769="EO",5,IF(H769="EQ",4,"")))))</f>
        <v/>
      </c>
      <c r="J769" s="18" t="inlineStr">
        <is>
          <t>中</t>
        </is>
      </c>
      <c r="K769" s="18">
        <f>IF(J769="高",0.33,IF(J769="中",0.67,IF(J769="低",1,"")))</f>
        <v/>
      </c>
      <c r="L769" s="18" t="inlineStr">
        <is>
          <t>新增</t>
        </is>
      </c>
      <c r="M769" s="18">
        <f>IF(L769="新增",1,IF(L769="修改",0.8,IF(L769="删除",0.2,"")))</f>
        <v/>
      </c>
      <c r="N769" s="18">
        <f>I769*K769*M769</f>
        <v/>
      </c>
    </row>
    <row r="770" ht="14.4" customHeight="1" s="1">
      <c r="B770" s="16" t="n">
        <v>765</v>
      </c>
      <c r="C770" s="16" t="inlineStr">
        <is>
          <t>现场实施、文档及培训</t>
        </is>
      </c>
      <c r="D770" s="16" t="inlineStr">
        <is>
          <t>管理驾驶舱</t>
        </is>
      </c>
      <c r="E770" s="16" t="inlineStr">
        <is>
          <t>KPI指标</t>
        </is>
      </c>
      <c r="F770" s="16" t="inlineStr">
        <is>
          <t>采集成功率</t>
        </is>
      </c>
      <c r="G770" s="17" t="inlineStr">
        <is>
          <t xml:space="preserve"> 提供全厂采集成功率≥99.9%实时展示服务</t>
        </is>
      </c>
      <c r="H770" s="18" t="inlineStr">
        <is>
          <t>EI</t>
        </is>
      </c>
      <c r="I770" s="18">
        <f>IF(H770="ILF",10,IF(H770="EIF",7,IF(H770="EI",4,IF(H770="EO",5,IF(H770="EQ",4,"")))))</f>
        <v/>
      </c>
      <c r="J770" s="18" t="inlineStr">
        <is>
          <t>中</t>
        </is>
      </c>
      <c r="K770" s="18">
        <f>IF(J770="高",0.33,IF(J770="中",0.67,IF(J770="低",1,"")))</f>
        <v/>
      </c>
      <c r="L770" s="18" t="inlineStr">
        <is>
          <t>新增</t>
        </is>
      </c>
      <c r="M770" s="18">
        <f>IF(L770="新增",1,IF(L770="修改",0.8,IF(L770="删除",0.2,"")))</f>
        <v/>
      </c>
      <c r="N770" s="18">
        <f>I770*K770*M770</f>
        <v/>
      </c>
    </row>
    <row r="771" ht="14.4" customHeight="1" s="1">
      <c r="B771" s="16" t="n">
        <v>766</v>
      </c>
      <c r="C771" s="16" t="inlineStr">
        <is>
          <t>现场实施、文档及培训</t>
        </is>
      </c>
      <c r="D771" s="16" t="inlineStr">
        <is>
          <t>管理驾驶舱</t>
        </is>
      </c>
      <c r="E771" s="16" t="inlineStr">
        <is>
          <t>KPI指标</t>
        </is>
      </c>
      <c r="F771" s="16" t="inlineStr">
        <is>
          <t>告警达标率</t>
        </is>
      </c>
      <c r="G771" s="17" t="inlineStr">
        <is>
          <t xml:space="preserve"> 提供告警响应达标率统计展示服务</t>
        </is>
      </c>
      <c r="H771" s="18" t="inlineStr">
        <is>
          <t>EI</t>
        </is>
      </c>
      <c r="I771" s="18">
        <f>IF(H771="ILF",10,IF(H771="EIF",7,IF(H771="EI",4,IF(H771="EO",5,IF(H771="EQ",4,"")))))</f>
        <v/>
      </c>
      <c r="J771" s="18" t="inlineStr">
        <is>
          <t>中</t>
        </is>
      </c>
      <c r="K771" s="18">
        <f>IF(J771="高",0.33,IF(J771="中",0.67,IF(J771="低",1,"")))</f>
        <v/>
      </c>
      <c r="L771" s="18" t="inlineStr">
        <is>
          <t>新增</t>
        </is>
      </c>
      <c r="M771" s="18">
        <f>IF(L771="新增",1,IF(L771="修改",0.8,IF(L771="删除",0.2,"")))</f>
        <v/>
      </c>
      <c r="N771" s="18">
        <f>I771*K771*M771</f>
        <v/>
      </c>
    </row>
    <row r="772" ht="14.4" customHeight="1" s="1">
      <c r="B772" s="16" t="n">
        <v>767</v>
      </c>
      <c r="C772" s="16" t="inlineStr">
        <is>
          <t>现场实施、文档及培训</t>
        </is>
      </c>
      <c r="D772" s="16" t="inlineStr">
        <is>
          <t>管理驾驶舱</t>
        </is>
      </c>
      <c r="E772" s="16" t="inlineStr">
        <is>
          <t>KPI指标</t>
        </is>
      </c>
      <c r="F772" s="16" t="inlineStr">
        <is>
          <t>数据完整率</t>
        </is>
      </c>
      <c r="G772" s="17" t="inlineStr">
        <is>
          <t xml:space="preserve"> 提供数据完整率≥99.9%实时展示服务</t>
        </is>
      </c>
      <c r="H772" s="18" t="inlineStr">
        <is>
          <t>EI</t>
        </is>
      </c>
      <c r="I772" s="18">
        <f>IF(H772="ILF",10,IF(H772="EIF",7,IF(H772="EI",4,IF(H772="EO",5,IF(H772="EQ",4,"")))))</f>
        <v/>
      </c>
      <c r="J772" s="18" t="inlineStr">
        <is>
          <t>中</t>
        </is>
      </c>
      <c r="K772" s="18">
        <f>IF(J772="高",0.33,IF(J772="中",0.67,IF(J772="低",1,"")))</f>
        <v/>
      </c>
      <c r="L772" s="18" t="inlineStr">
        <is>
          <t>新增</t>
        </is>
      </c>
      <c r="M772" s="18">
        <f>IF(L772="新增",1,IF(L772="修改",0.8,IF(L772="删除",0.2,"")))</f>
        <v/>
      </c>
      <c r="N772" s="18">
        <f>I772*K772*M772</f>
        <v/>
      </c>
    </row>
    <row r="773" ht="14.4" customHeight="1" s="1">
      <c r="B773" s="16" t="n">
        <v>768</v>
      </c>
      <c r="C773" s="16" t="inlineStr">
        <is>
          <t>现场实施、文档及培训</t>
        </is>
      </c>
      <c r="D773" s="16" t="inlineStr">
        <is>
          <t>管理驾驶舱</t>
        </is>
      </c>
      <c r="E773" s="16" t="inlineStr">
        <is>
          <t>KPI指标</t>
        </is>
      </c>
      <c r="F773" s="16" t="inlineStr">
        <is>
          <t>数据完整率</t>
        </is>
      </c>
      <c r="G773" s="17" t="inlineStr">
        <is>
          <t xml:space="preserve"> 提供数据完整率≥99.9%实时展示服务</t>
        </is>
      </c>
      <c r="H773" s="18" t="inlineStr">
        <is>
          <t>EI</t>
        </is>
      </c>
      <c r="I773" s="18">
        <f>IF(H773="ILF",10,IF(H773="EIF",7,IF(H773="EI",4,IF(H773="EO",5,IF(H773="EQ",4,"")))))</f>
        <v/>
      </c>
      <c r="J773" s="18" t="inlineStr">
        <is>
          <t>中</t>
        </is>
      </c>
      <c r="K773" s="18">
        <f>IF(J773="高",0.33,IF(J773="中",0.67,IF(J773="低",1,"")))</f>
        <v/>
      </c>
      <c r="L773" s="18" t="inlineStr">
        <is>
          <t>新增</t>
        </is>
      </c>
      <c r="M773" s="18">
        <f>IF(L773="新增",1,IF(L773="修改",0.8,IF(L773="删除",0.2,"")))</f>
        <v/>
      </c>
      <c r="N773" s="18">
        <f>I773*K773*M773</f>
        <v/>
      </c>
    </row>
    <row r="774" ht="14.4" customHeight="1" s="1">
      <c r="B774" s="16" t="n">
        <v>769</v>
      </c>
      <c r="C774" s="16" t="inlineStr">
        <is>
          <t>现场实施、文档及培训</t>
        </is>
      </c>
      <c r="D774" s="16" t="inlineStr">
        <is>
          <t>管理驾驶舱</t>
        </is>
      </c>
      <c r="E774" s="16" t="inlineStr">
        <is>
          <t>KPI指标</t>
        </is>
      </c>
      <c r="F774" s="16" t="inlineStr">
        <is>
          <t>存储趋势</t>
        </is>
      </c>
      <c r="G774" s="17" t="inlineStr">
        <is>
          <t xml:space="preserve"> 提供各存储介质空间使用趋势展示服务</t>
        </is>
      </c>
      <c r="H774" s="18" t="inlineStr">
        <is>
          <t>EI</t>
        </is>
      </c>
      <c r="I774" s="18">
        <f>IF(H774="ILF",10,IF(H774="EIF",7,IF(H774="EI",4,IF(H774="EO",5,IF(H774="EQ",4,"")))))</f>
        <v/>
      </c>
      <c r="J774" s="18" t="inlineStr">
        <is>
          <t>中</t>
        </is>
      </c>
      <c r="K774" s="18">
        <f>IF(J774="高",0.33,IF(J774="中",0.67,IF(J774="低",1,"")))</f>
        <v/>
      </c>
      <c r="L774" s="18" t="inlineStr">
        <is>
          <t>新增</t>
        </is>
      </c>
      <c r="M774" s="18">
        <f>IF(L774="新增",1,IF(L774="修改",0.8,IF(L774="删除",0.2,"")))</f>
        <v/>
      </c>
      <c r="N774" s="18">
        <f>I774*K774*M774</f>
        <v/>
      </c>
    </row>
    <row r="775" ht="14.4" customHeight="1" s="1">
      <c r="B775" s="16" t="n">
        <v>770</v>
      </c>
      <c r="C775" s="16" t="inlineStr">
        <is>
          <t>现场实施、文档及培训</t>
        </is>
      </c>
      <c r="D775" s="16" t="inlineStr">
        <is>
          <t>管理驾驶舱</t>
        </is>
      </c>
      <c r="E775" s="16" t="inlineStr">
        <is>
          <t>KPI指标</t>
        </is>
      </c>
      <c r="F775" s="16" t="inlineStr">
        <is>
          <t>迁移进度</t>
        </is>
      </c>
      <c r="G775" s="17" t="inlineStr">
        <is>
          <t xml:space="preserve"> 提供网关迁移灰度百分比展示服务</t>
        </is>
      </c>
      <c r="H775" s="18" t="inlineStr">
        <is>
          <t>EI</t>
        </is>
      </c>
      <c r="I775" s="18">
        <f>IF(H775="ILF",10,IF(H775="EIF",7,IF(H775="EI",4,IF(H775="EO",5,IF(H775="EQ",4,"")))))</f>
        <v/>
      </c>
      <c r="J775" s="18" t="inlineStr">
        <is>
          <t>中</t>
        </is>
      </c>
      <c r="K775" s="18">
        <f>IF(J775="高",0.33,IF(J775="中",0.67,IF(J775="低",1,"")))</f>
        <v/>
      </c>
      <c r="L775" s="18" t="inlineStr">
        <is>
          <t>新增</t>
        </is>
      </c>
      <c r="M775" s="18">
        <f>IF(L775="新增",1,IF(L775="修改",0.8,IF(L775="删除",0.2,"")))</f>
        <v/>
      </c>
      <c r="N775" s="18">
        <f>I775*K775*M775</f>
        <v/>
      </c>
    </row>
    <row r="776" ht="14.4" customHeight="1" s="1">
      <c r="B776" s="16" t="n">
        <v>771</v>
      </c>
      <c r="C776" s="16" t="inlineStr">
        <is>
          <t>现场实施、文档及培训</t>
        </is>
      </c>
      <c r="D776" s="16" t="inlineStr">
        <is>
          <t>管理驾驶舱</t>
        </is>
      </c>
      <c r="E776" s="16" t="inlineStr">
        <is>
          <t>KPI指标</t>
        </is>
      </c>
      <c r="F776" s="16" t="inlineStr">
        <is>
          <t>今日采集</t>
        </is>
      </c>
      <c r="G776" s="17" t="inlineStr">
        <is>
          <t xml:space="preserve"> 提供当日数据采集总量实时统计展示服务</t>
        </is>
      </c>
      <c r="H776" s="18" t="inlineStr">
        <is>
          <t>EI</t>
        </is>
      </c>
      <c r="I776" s="18">
        <f>IF(H776="ILF",10,IF(H776="EIF",7,IF(H776="EI",4,IF(H776="EO",5,IF(H776="EQ",4,"")))))</f>
        <v/>
      </c>
      <c r="J776" s="18" t="inlineStr">
        <is>
          <t>中</t>
        </is>
      </c>
      <c r="K776" s="18">
        <f>IF(J776="高",0.33,IF(J776="中",0.67,IF(J776="低",1,"")))</f>
        <v/>
      </c>
      <c r="L776" s="18" t="inlineStr">
        <is>
          <t>新增</t>
        </is>
      </c>
      <c r="M776" s="18">
        <f>IF(L776="新增",1,IF(L776="修改",0.8,IF(L776="删除",0.2,"")))</f>
        <v/>
      </c>
      <c r="N776" s="18">
        <f>I776*K776*M776</f>
        <v/>
      </c>
    </row>
    <row r="777" ht="14.4" customHeight="1" s="1">
      <c r="B777" s="16" t="n">
        <v>772</v>
      </c>
      <c r="C777" s="16" t="inlineStr">
        <is>
          <t>现场实施、文档及培训</t>
        </is>
      </c>
      <c r="D777" s="16" t="inlineStr">
        <is>
          <t>管理驾驶舱</t>
        </is>
      </c>
      <c r="E777" s="16" t="inlineStr">
        <is>
          <t>KPI指标</t>
        </is>
      </c>
      <c r="F777" s="16" t="inlineStr">
        <is>
          <t>今日告警</t>
        </is>
      </c>
      <c r="G777" s="17" t="inlineStr">
        <is>
          <t xml:space="preserve"> 提供当日告警总数和级别分布展示服务</t>
        </is>
      </c>
      <c r="H777" s="18" t="inlineStr">
        <is>
          <t>EI</t>
        </is>
      </c>
      <c r="I777" s="18">
        <f>IF(H777="ILF",10,IF(H777="EIF",7,IF(H777="EI",4,IF(H777="EO",5,IF(H777="EQ",4,"")))))</f>
        <v/>
      </c>
      <c r="J777" s="18" t="inlineStr">
        <is>
          <t>中</t>
        </is>
      </c>
      <c r="K777" s="18">
        <f>IF(J777="高",0.33,IF(J777="中",0.67,IF(J777="低",1,"")))</f>
        <v/>
      </c>
      <c r="L777" s="18" t="inlineStr">
        <is>
          <t>新增</t>
        </is>
      </c>
      <c r="M777" s="18">
        <f>IF(L777="新增",1,IF(L777="修改",0.8,IF(L777="删除",0.2,"")))</f>
        <v/>
      </c>
      <c r="N777" s="18">
        <f>I777*K777*M777</f>
        <v/>
      </c>
    </row>
    <row r="778" ht="14.4" customHeight="1" s="1">
      <c r="B778" s="16" t="n">
        <v>773</v>
      </c>
      <c r="C778" s="16" t="inlineStr">
        <is>
          <t>现场实施、文档及培训</t>
        </is>
      </c>
      <c r="D778" s="16" t="inlineStr">
        <is>
          <t>管理驾驶舱</t>
        </is>
      </c>
      <c r="E778" s="16" t="inlineStr">
        <is>
          <t>KPI指标</t>
        </is>
      </c>
      <c r="F778" s="16" t="inlineStr">
        <is>
          <t>待办工单</t>
        </is>
      </c>
      <c r="G778" s="17" t="inlineStr">
        <is>
          <t xml:space="preserve"> 提供未处置工单数量展示服务</t>
        </is>
      </c>
      <c r="H778" s="18" t="inlineStr">
        <is>
          <t>EI</t>
        </is>
      </c>
      <c r="I778" s="18">
        <f>IF(H778="ILF",10,IF(H778="EIF",7,IF(H778="EI",4,IF(H778="EO",5,IF(H778="EQ",4,"")))))</f>
        <v/>
      </c>
      <c r="J778" s="18" t="inlineStr">
        <is>
          <t>中</t>
        </is>
      </c>
      <c r="K778" s="18">
        <f>IF(J778="高",0.33,IF(J778="中",0.67,IF(J778="低",1,"")))</f>
        <v/>
      </c>
      <c r="L778" s="18" t="inlineStr">
        <is>
          <t>新增</t>
        </is>
      </c>
      <c r="M778" s="18">
        <f>IF(L778="新增",1,IF(L778="修改",0.8,IF(L778="删除",0.2,"")))</f>
        <v/>
      </c>
      <c r="N778" s="18">
        <f>I778*K778*M778</f>
        <v/>
      </c>
    </row>
    <row r="779" ht="14.4" customHeight="1" s="1">
      <c r="B779" s="16" t="n">
        <v>774</v>
      </c>
      <c r="C779" s="16" t="inlineStr">
        <is>
          <t>现场实施、文档及培训</t>
        </is>
      </c>
      <c r="D779" s="16" t="inlineStr">
        <is>
          <t>管理驾驶舱</t>
        </is>
      </c>
      <c r="E779" s="16" t="inlineStr">
        <is>
          <t>KPI指标</t>
        </is>
      </c>
      <c r="F779" s="16" t="inlineStr">
        <is>
          <t>系统健康</t>
        </is>
      </c>
      <c r="G779" s="17" t="inlineStr">
        <is>
          <t xml:space="preserve"> 提供系统整体健康度综合评分展示服务</t>
        </is>
      </c>
      <c r="H779" s="18" t="inlineStr">
        <is>
          <t>EI</t>
        </is>
      </c>
      <c r="I779" s="18">
        <f>IF(H779="ILF",10,IF(H779="EIF",7,IF(H779="EI",4,IF(H779="EO",5,IF(H779="EQ",4,"")))))</f>
        <v/>
      </c>
      <c r="J779" s="18" t="inlineStr">
        <is>
          <t>中</t>
        </is>
      </c>
      <c r="K779" s="18">
        <f>IF(J779="高",0.33,IF(J779="中",0.67,IF(J779="低",1,"")))</f>
        <v/>
      </c>
      <c r="L779" s="18" t="inlineStr">
        <is>
          <t>新增</t>
        </is>
      </c>
      <c r="M779" s="18">
        <f>IF(L779="新增",1,IF(L779="修改",0.8,IF(L779="删除",0.2,"")))</f>
        <v/>
      </c>
      <c r="N779" s="18">
        <f>I779*K779*M779</f>
        <v/>
      </c>
    </row>
    <row r="780" ht="14.4" customHeight="1" s="1">
      <c r="B780" s="16" t="n">
        <v>775</v>
      </c>
      <c r="C780" s="16" t="inlineStr">
        <is>
          <t>现场实施、文档及培训</t>
        </is>
      </c>
      <c r="D780" s="16" t="inlineStr">
        <is>
          <t>管理驾驶舱</t>
        </is>
      </c>
      <c r="E780" s="16" t="inlineStr">
        <is>
          <t>报表</t>
        </is>
      </c>
      <c r="F780" s="16" t="inlineStr">
        <is>
          <t>日报</t>
        </is>
      </c>
      <c r="G780" s="17" t="inlineStr">
        <is>
          <t xml:space="preserve"> 提供运行日报定时自动生成和分发服务</t>
        </is>
      </c>
      <c r="H780" s="18" t="inlineStr">
        <is>
          <t>EI</t>
        </is>
      </c>
      <c r="I780" s="18">
        <f>IF(H780="ILF",10,IF(H780="EIF",7,IF(H780="EI",4,IF(H780="EO",5,IF(H780="EQ",4,"")))))</f>
        <v/>
      </c>
      <c r="J780" s="18" t="inlineStr">
        <is>
          <t>中</t>
        </is>
      </c>
      <c r="K780" s="18">
        <f>IF(J780="高",0.33,IF(J780="中",0.67,IF(J780="低",1,"")))</f>
        <v/>
      </c>
      <c r="L780" s="18" t="inlineStr">
        <is>
          <t>新增</t>
        </is>
      </c>
      <c r="M780" s="18">
        <f>IF(L780="新增",1,IF(L780="修改",0.8,IF(L780="删除",0.2,"")))</f>
        <v/>
      </c>
      <c r="N780" s="18">
        <f>I780*K780*M780</f>
        <v/>
      </c>
    </row>
    <row r="781" ht="14.4" customHeight="1" s="1">
      <c r="B781" s="16" t="n">
        <v>776</v>
      </c>
      <c r="C781" s="16" t="inlineStr">
        <is>
          <t>现场实施、文档及培训</t>
        </is>
      </c>
      <c r="D781" s="16" t="inlineStr">
        <is>
          <t>管理驾驶舱</t>
        </is>
      </c>
      <c r="E781" s="16" t="inlineStr">
        <is>
          <t>报表</t>
        </is>
      </c>
      <c r="F781" s="16" t="inlineStr">
        <is>
          <t>周报</t>
        </is>
      </c>
      <c r="G781" s="17" t="inlineStr">
        <is>
          <t xml:space="preserve"> 提供运行周报定时自动生成和分发服务</t>
        </is>
      </c>
      <c r="H781" s="18" t="inlineStr">
        <is>
          <t>EI</t>
        </is>
      </c>
      <c r="I781" s="18">
        <f>IF(H781="ILF",10,IF(H781="EIF",7,IF(H781="EI",4,IF(H781="EO",5,IF(H781="EQ",4,"")))))</f>
        <v/>
      </c>
      <c r="J781" s="18" t="inlineStr">
        <is>
          <t>高</t>
        </is>
      </c>
      <c r="K781" s="18">
        <f>IF(J781="高",0.33,IF(J781="中",0.67,IF(J781="低",1,"")))</f>
        <v/>
      </c>
      <c r="L781" s="18" t="inlineStr">
        <is>
          <t>新增</t>
        </is>
      </c>
      <c r="M781" s="18">
        <f>IF(L781="新增",1,IF(L781="修改",0.8,IF(L781="删除",0.2,"")))</f>
        <v/>
      </c>
      <c r="N781" s="18">
        <f>I781*K781*M781</f>
        <v/>
      </c>
    </row>
    <row r="782" ht="14.4" customHeight="1" s="1">
      <c r="B782" s="16" t="n">
        <v>777</v>
      </c>
      <c r="C782" s="16" t="inlineStr">
        <is>
          <t>现场实施、文档及培训</t>
        </is>
      </c>
      <c r="D782" s="16" t="inlineStr">
        <is>
          <t>管理驾驶舱</t>
        </is>
      </c>
      <c r="E782" s="16" t="inlineStr">
        <is>
          <t>报表</t>
        </is>
      </c>
      <c r="F782" s="16" t="inlineStr">
        <is>
          <t>月报</t>
        </is>
      </c>
      <c r="G782" s="17" t="inlineStr">
        <is>
          <t xml:space="preserve"> 提供运行月报定时自动生成和分发服务</t>
        </is>
      </c>
      <c r="H782" s="18" t="inlineStr">
        <is>
          <t>EO</t>
        </is>
      </c>
      <c r="I782" s="18">
        <f>IF(H782="ILF",10,IF(H782="EIF",7,IF(H782="EI",4,IF(H782="EO",5,IF(H782="EQ",4,"")))))</f>
        <v/>
      </c>
      <c r="J782" s="18" t="inlineStr">
        <is>
          <t>低</t>
        </is>
      </c>
      <c r="K782" s="18">
        <f>IF(J782="高",0.33,IF(J782="中",0.67,IF(J782="低",1,"")))</f>
        <v/>
      </c>
      <c r="L782" s="18" t="inlineStr">
        <is>
          <t>新增</t>
        </is>
      </c>
      <c r="M782" s="18">
        <f>IF(L782="新增",1,IF(L782="修改",0.8,IF(L782="删除",0.2,"")))</f>
        <v/>
      </c>
      <c r="N782" s="18">
        <f>I782*K782*M782</f>
        <v/>
      </c>
    </row>
    <row r="783" ht="14.4" customHeight="1" s="1">
      <c r="B783" s="16" t="n">
        <v>778</v>
      </c>
      <c r="C783" s="16" t="inlineStr">
        <is>
          <t>现场实施、文档及培训</t>
        </is>
      </c>
      <c r="D783" s="16" t="inlineStr">
        <is>
          <t>管理驾驶舱</t>
        </is>
      </c>
      <c r="E783" s="16" t="inlineStr">
        <is>
          <t>报表</t>
        </is>
      </c>
      <c r="F783" s="16" t="inlineStr">
        <is>
          <t>邮件分发</t>
        </is>
      </c>
      <c r="G783" s="17" t="inlineStr">
        <is>
          <t xml:space="preserve"> 提供报表通过邮件自动分发服务</t>
        </is>
      </c>
      <c r="H783" s="18" t="inlineStr">
        <is>
          <t>EO</t>
        </is>
      </c>
      <c r="I783" s="18">
        <f>IF(H783="ILF",10,IF(H783="EIF",7,IF(H783="EI",4,IF(H783="EO",5,IF(H783="EQ",4,"")))))</f>
        <v/>
      </c>
      <c r="J783" s="18" t="inlineStr">
        <is>
          <t>低</t>
        </is>
      </c>
      <c r="K783" s="18">
        <f>IF(J783="高",0.33,IF(J783="中",0.67,IF(J783="低",1,"")))</f>
        <v/>
      </c>
      <c r="L783" s="18" t="inlineStr">
        <is>
          <t>新增</t>
        </is>
      </c>
      <c r="M783" s="18">
        <f>IF(L783="新增",1,IF(L783="修改",0.8,IF(L783="删除",0.2,"")))</f>
        <v/>
      </c>
      <c r="N783" s="18">
        <f>I783*K783*M783</f>
        <v/>
      </c>
    </row>
    <row r="784" ht="14.4" customHeight="1" s="1">
      <c r="B784" s="16" t="n">
        <v>779</v>
      </c>
      <c r="C784" s="16" t="inlineStr">
        <is>
          <t>现场实施、文档及培训</t>
        </is>
      </c>
      <c r="D784" s="16" t="inlineStr">
        <is>
          <t>管理驾驶舱</t>
        </is>
      </c>
      <c r="E784" s="16" t="inlineStr">
        <is>
          <t>报表</t>
        </is>
      </c>
      <c r="F784" s="16" t="inlineStr">
        <is>
          <t>企微分发</t>
        </is>
      </c>
      <c r="G784" s="17" t="inlineStr">
        <is>
          <t xml:space="preserve"> 提供报表通过企业微信分发服务</t>
        </is>
      </c>
      <c r="H784" s="18" t="inlineStr">
        <is>
          <t>EO</t>
        </is>
      </c>
      <c r="I784" s="18">
        <f>IF(H784="ILF",10,IF(H784="EIF",7,IF(H784="EI",4,IF(H784="EO",5,IF(H784="EQ",4,"")))))</f>
        <v/>
      </c>
      <c r="J784" s="18" t="inlineStr">
        <is>
          <t>中</t>
        </is>
      </c>
      <c r="K784" s="18">
        <f>IF(J784="高",0.33,IF(J784="中",0.67,IF(J784="低",1,"")))</f>
        <v/>
      </c>
      <c r="L784" s="18" t="inlineStr">
        <is>
          <t>新增</t>
        </is>
      </c>
      <c r="M784" s="18">
        <f>IF(L784="新增",1,IF(L784="修改",0.8,IF(L784="删除",0.2,"")))</f>
        <v/>
      </c>
      <c r="N784" s="18">
        <f>I784*K784*M784</f>
        <v/>
      </c>
    </row>
    <row r="785" ht="14.4" customHeight="1" s="1">
      <c r="B785" s="16" t="n">
        <v>780</v>
      </c>
      <c r="C785" s="16" t="inlineStr">
        <is>
          <t>现场实施、文档及培训</t>
        </is>
      </c>
      <c r="D785" s="16" t="inlineStr">
        <is>
          <t>管理驾驶舱</t>
        </is>
      </c>
      <c r="E785" s="16" t="inlineStr">
        <is>
          <t>报表</t>
        </is>
      </c>
      <c r="F785" s="16" t="inlineStr">
        <is>
          <t>模板管理</t>
        </is>
      </c>
      <c r="G785" s="17" t="inlineStr">
        <is>
          <t xml:space="preserve"> 提供报表模板自定义创建和管理服务</t>
        </is>
      </c>
      <c r="H785" s="18" t="inlineStr">
        <is>
          <t>EO</t>
        </is>
      </c>
      <c r="I785" s="18">
        <f>IF(H785="ILF",10,IF(H785="EIF",7,IF(H785="EI",4,IF(H785="EO",5,IF(H785="EQ",4,"")))))</f>
        <v/>
      </c>
      <c r="J785" s="18" t="inlineStr">
        <is>
          <t>中</t>
        </is>
      </c>
      <c r="K785" s="18">
        <f>IF(J785="高",0.33,IF(J785="中",0.67,IF(J785="低",1,"")))</f>
        <v/>
      </c>
      <c r="L785" s="18" t="inlineStr">
        <is>
          <t>新增</t>
        </is>
      </c>
      <c r="M785" s="18">
        <f>IF(L785="新增",1,IF(L785="修改",0.8,IF(L785="删除",0.2,"")))</f>
        <v/>
      </c>
      <c r="N785" s="18">
        <f>I785*K785*M785</f>
        <v/>
      </c>
    </row>
    <row r="786" ht="14.4" customHeight="1" s="1">
      <c r="B786" s="16" t="n">
        <v>781</v>
      </c>
      <c r="C786" s="16" t="inlineStr">
        <is>
          <t>现场实施、文档及培训</t>
        </is>
      </c>
      <c r="D786" s="16" t="inlineStr">
        <is>
          <t>管理驾驶舱</t>
        </is>
      </c>
      <c r="E786" s="16" t="inlineStr">
        <is>
          <t>报表</t>
        </is>
      </c>
      <c r="F786" s="16" t="inlineStr">
        <is>
          <t>订阅管理</t>
        </is>
      </c>
      <c r="G786" s="17" t="inlineStr">
        <is>
          <t xml:space="preserve"> 提供报表订阅用户和频率管理服务</t>
        </is>
      </c>
      <c r="H786" s="18" t="inlineStr">
        <is>
          <t>EO</t>
        </is>
      </c>
      <c r="I786" s="18">
        <f>IF(H786="ILF",10,IF(H786="EIF",7,IF(H786="EI",4,IF(H786="EO",5,IF(H786="EQ",4,"")))))</f>
        <v/>
      </c>
      <c r="J786" s="18" t="inlineStr">
        <is>
          <t>中</t>
        </is>
      </c>
      <c r="K786" s="18">
        <f>IF(J786="高",0.33,IF(J786="中",0.67,IF(J786="低",1,"")))</f>
        <v/>
      </c>
      <c r="L786" s="18" t="inlineStr">
        <is>
          <t>新增</t>
        </is>
      </c>
      <c r="M786" s="18">
        <f>IF(L786="新增",1,IF(L786="修改",0.8,IF(L786="删除",0.2,"")))</f>
        <v/>
      </c>
      <c r="N786" s="18">
        <f>I786*K786*M786</f>
        <v/>
      </c>
    </row>
    <row r="787" ht="14.4" customHeight="1" s="1">
      <c r="B787" s="16" t="n">
        <v>782</v>
      </c>
      <c r="C787" s="16" t="inlineStr">
        <is>
          <t>现场实施、文档及培训</t>
        </is>
      </c>
      <c r="D787" s="16" t="inlineStr">
        <is>
          <t>管理驾驶舱</t>
        </is>
      </c>
      <c r="E787" s="16" t="inlineStr">
        <is>
          <t>报表</t>
        </is>
      </c>
      <c r="F787" s="16" t="inlineStr">
        <is>
          <t>历史查询</t>
        </is>
      </c>
      <c r="G787" s="17" t="inlineStr">
        <is>
          <t xml:space="preserve"> 提供历史报表查询和下载服务</t>
        </is>
      </c>
      <c r="H787" s="18" t="inlineStr">
        <is>
          <t>EO</t>
        </is>
      </c>
      <c r="I787" s="18">
        <f>IF(H787="ILF",10,IF(H787="EIF",7,IF(H787="EI",4,IF(H787="EO",5,IF(H787="EQ",4,"")))))</f>
        <v/>
      </c>
      <c r="J787" s="18" t="inlineStr">
        <is>
          <t>中</t>
        </is>
      </c>
      <c r="K787" s="18">
        <f>IF(J787="高",0.33,IF(J787="中",0.67,IF(J787="低",1,"")))</f>
        <v/>
      </c>
      <c r="L787" s="18" t="inlineStr">
        <is>
          <t>新增</t>
        </is>
      </c>
      <c r="M787" s="18">
        <f>IF(L787="新增",1,IF(L787="修改",0.8,IF(L787="删除",0.2,"")))</f>
        <v/>
      </c>
      <c r="N787" s="18">
        <f>I787*K787*M787</f>
        <v/>
      </c>
    </row>
    <row r="788" ht="14.4" customHeight="1" s="1">
      <c r="B788" s="16" t="n">
        <v>783</v>
      </c>
      <c r="C788" s="16" t="inlineStr">
        <is>
          <t>现场实施、文档及培训</t>
        </is>
      </c>
      <c r="D788" s="16" t="inlineStr">
        <is>
          <t>管理驾驶舱</t>
        </is>
      </c>
      <c r="E788" s="16" t="inlineStr">
        <is>
          <t>下钻</t>
        </is>
      </c>
      <c r="F788" s="16" t="inlineStr">
        <is>
          <t>采油厂下钻</t>
        </is>
      </c>
      <c r="G788" s="17" t="inlineStr">
        <is>
          <t xml:space="preserve"> 提供从全局KPI下钻到采油厂级数据服务</t>
        </is>
      </c>
      <c r="H788" s="18" t="inlineStr">
        <is>
          <t>EO</t>
        </is>
      </c>
      <c r="I788" s="18">
        <f>IF(H788="ILF",10,IF(H788="EIF",7,IF(H788="EI",4,IF(H788="EO",5,IF(H788="EQ",4,"")))))</f>
        <v/>
      </c>
      <c r="J788" s="18" t="inlineStr">
        <is>
          <t>中</t>
        </is>
      </c>
      <c r="K788" s="18">
        <f>IF(J788="高",0.33,IF(J788="中",0.67,IF(J788="低",1,"")))</f>
        <v/>
      </c>
      <c r="L788" s="18" t="inlineStr">
        <is>
          <t>新增</t>
        </is>
      </c>
      <c r="M788" s="18">
        <f>IF(L788="新增",1,IF(L788="修改",0.8,IF(L788="删除",0.2,"")))</f>
        <v/>
      </c>
      <c r="N788" s="18">
        <f>I788*K788*M788</f>
        <v/>
      </c>
    </row>
    <row r="789" ht="14.4" customHeight="1" s="1">
      <c r="B789" s="16" t="n">
        <v>784</v>
      </c>
      <c r="C789" s="16" t="inlineStr">
        <is>
          <t>现场实施、文档及培训</t>
        </is>
      </c>
      <c r="D789" s="16" t="inlineStr">
        <is>
          <t>管理驾驶舱</t>
        </is>
      </c>
      <c r="E789" s="16" t="inlineStr">
        <is>
          <t>下钻</t>
        </is>
      </c>
      <c r="F789" s="16" t="inlineStr">
        <is>
          <t>作业区下钻</t>
        </is>
      </c>
      <c r="G789" s="17" t="inlineStr">
        <is>
          <t xml:space="preserve"> 提供从采油厂下钻到作业区级数据服务</t>
        </is>
      </c>
      <c r="H789" s="18" t="inlineStr">
        <is>
          <t>EO</t>
        </is>
      </c>
      <c r="I789" s="18">
        <f>IF(H789="ILF",10,IF(H789="EIF",7,IF(H789="EI",4,IF(H789="EO",5,IF(H789="EQ",4,"")))))</f>
        <v/>
      </c>
      <c r="J789" s="18" t="inlineStr">
        <is>
          <t>中</t>
        </is>
      </c>
      <c r="K789" s="18">
        <f>IF(J789="高",0.33,IF(J789="中",0.67,IF(J789="低",1,"")))</f>
        <v/>
      </c>
      <c r="L789" s="18" t="inlineStr">
        <is>
          <t>新增</t>
        </is>
      </c>
      <c r="M789" s="18">
        <f>IF(L789="新增",1,IF(L789="修改",0.8,IF(L789="删除",0.2,"")))</f>
        <v/>
      </c>
      <c r="N789" s="18">
        <f>I789*K789*M789</f>
        <v/>
      </c>
    </row>
    <row r="790" ht="14.4" customHeight="1" s="1">
      <c r="B790" s="16" t="n">
        <v>785</v>
      </c>
      <c r="C790" s="16" t="inlineStr">
        <is>
          <t>现场实施、文档及培训</t>
        </is>
      </c>
      <c r="D790" s="16" t="inlineStr">
        <is>
          <t>管理驾驶舱</t>
        </is>
      </c>
      <c r="E790" s="16" t="inlineStr">
        <is>
          <t>下钻</t>
        </is>
      </c>
      <c r="F790" s="16" t="inlineStr">
        <is>
          <t>站库下钻</t>
        </is>
      </c>
      <c r="G790" s="17" t="inlineStr">
        <is>
          <t xml:space="preserve"> 提供从作业区下钻到站库级数据服务</t>
        </is>
      </c>
      <c r="H790" s="18" t="inlineStr">
        <is>
          <t>EQ</t>
        </is>
      </c>
      <c r="I790" s="18">
        <f>IF(H790="ILF",10,IF(H790="EIF",7,IF(H790="EI",4,IF(H790="EO",5,IF(H790="EQ",4,"")))))</f>
        <v/>
      </c>
      <c r="J790" s="18" t="inlineStr">
        <is>
          <t>低</t>
        </is>
      </c>
      <c r="K790" s="18">
        <f>IF(J790="高",0.33,IF(J790="中",0.67,IF(J790="低",1,"")))</f>
        <v/>
      </c>
      <c r="L790" s="18" t="inlineStr">
        <is>
          <t>新增</t>
        </is>
      </c>
      <c r="M790" s="18">
        <f>IF(L790="新增",1,IF(L790="修改",0.8,IF(L790="删除",0.2,"")))</f>
        <v/>
      </c>
      <c r="N790" s="18">
        <f>I790*K790*M790</f>
        <v/>
      </c>
    </row>
    <row r="791" ht="14.4" customHeight="1" s="1">
      <c r="B791" s="16" t="n">
        <v>786</v>
      </c>
      <c r="C791" s="16" t="inlineStr">
        <is>
          <t>现场实施、文档及培训</t>
        </is>
      </c>
      <c r="D791" s="16" t="inlineStr">
        <is>
          <t>管理驾驶舱</t>
        </is>
      </c>
      <c r="E791" s="16" t="inlineStr">
        <is>
          <t>下钻</t>
        </is>
      </c>
      <c r="F791" s="16" t="inlineStr">
        <is>
          <t>设备下钻</t>
        </is>
      </c>
      <c r="G791" s="17" t="inlineStr">
        <is>
          <t xml:space="preserve"> 提供从站库下钻到设备级数据服务</t>
        </is>
      </c>
      <c r="H791" s="18" t="inlineStr">
        <is>
          <t>EQ</t>
        </is>
      </c>
      <c r="I791" s="18">
        <f>IF(H791="ILF",10,IF(H791="EIF",7,IF(H791="EI",4,IF(H791="EO",5,IF(H791="EQ",4,"")))))</f>
        <v/>
      </c>
      <c r="J791" s="18" t="inlineStr">
        <is>
          <t>低</t>
        </is>
      </c>
      <c r="K791" s="18">
        <f>IF(J791="高",0.33,IF(J791="中",0.67,IF(J791="低",1,"")))</f>
        <v/>
      </c>
      <c r="L791" s="18" t="inlineStr">
        <is>
          <t>新增</t>
        </is>
      </c>
      <c r="M791" s="18">
        <f>IF(L791="新增",1,IF(L791="修改",0.8,IF(L791="删除",0.2,"")))</f>
        <v/>
      </c>
      <c r="N791" s="18">
        <f>I791*K791*M791</f>
        <v/>
      </c>
    </row>
    <row r="792" ht="14.4" customHeight="1" s="1">
      <c r="B792" s="16" t="n">
        <v>787</v>
      </c>
      <c r="C792" s="16" t="inlineStr">
        <is>
          <t>现场实施、文档及培训</t>
        </is>
      </c>
      <c r="D792" s="16" t="inlineStr">
        <is>
          <t>管理驾驶舱</t>
        </is>
      </c>
      <c r="E792" s="16" t="inlineStr">
        <is>
          <t>下钻</t>
        </is>
      </c>
      <c r="F792" s="16" t="inlineStr">
        <is>
          <t>时间下钻</t>
        </is>
      </c>
      <c r="G792" s="17" t="inlineStr">
        <is>
          <t xml:space="preserve"> 提供从月下钻到日/小时/分钟级数据服务</t>
        </is>
      </c>
      <c r="H792" s="18" t="inlineStr">
        <is>
          <t>EQ</t>
        </is>
      </c>
      <c r="I792" s="18">
        <f>IF(H792="ILF",10,IF(H792="EIF",7,IF(H792="EI",4,IF(H792="EO",5,IF(H792="EQ",4,"")))))</f>
        <v/>
      </c>
      <c r="J792" s="18" t="inlineStr">
        <is>
          <t>低</t>
        </is>
      </c>
      <c r="K792" s="18">
        <f>IF(J792="高",0.33,IF(J792="中",0.67,IF(J792="低",1,"")))</f>
        <v/>
      </c>
      <c r="L792" s="18" t="inlineStr">
        <is>
          <t>新增</t>
        </is>
      </c>
      <c r="M792" s="18">
        <f>IF(L792="新增",1,IF(L792="修改",0.8,IF(L792="删除",0.2,"")))</f>
        <v/>
      </c>
      <c r="N792" s="18">
        <f>I792*K792*M792</f>
        <v/>
      </c>
    </row>
    <row r="793" ht="14.4" customHeight="1" s="1">
      <c r="B793" s="16" t="n">
        <v>788</v>
      </c>
      <c r="C793" s="16" t="inlineStr">
        <is>
          <t>现场实施、文档及培训</t>
        </is>
      </c>
      <c r="D793" s="16" t="inlineStr">
        <is>
          <t>监控大屏服务</t>
        </is>
      </c>
      <c r="E793" s="16" t="inlineStr">
        <is>
          <t>扩展看板配置</t>
        </is>
      </c>
      <c r="F793" s="16" t="inlineStr">
        <is>
          <t>实时数据看板</t>
        </is>
      </c>
      <c r="G793" s="17" t="inlineStr">
        <is>
          <t xml:space="preserve"> 提供实时数据刷新看板配置服务</t>
        </is>
      </c>
      <c r="H793" s="18" t="inlineStr">
        <is>
          <t>EQ</t>
        </is>
      </c>
      <c r="I793" s="18">
        <f>IF(H793="ILF",10,IF(H793="EIF",7,IF(H793="EI",4,IF(H793="EO",5,IF(H793="EQ",4,"")))))</f>
        <v/>
      </c>
      <c r="J793" s="18" t="inlineStr">
        <is>
          <t>低</t>
        </is>
      </c>
      <c r="K793" s="18">
        <f>IF(J793="高",0.33,IF(J793="中",0.67,IF(J793="低",1,"")))</f>
        <v/>
      </c>
      <c r="L793" s="18" t="inlineStr">
        <is>
          <t>新增</t>
        </is>
      </c>
      <c r="M793" s="18">
        <f>IF(L793="新增",1,IF(L793="修改",0.8,IF(L793="删除",0.2,"")))</f>
        <v/>
      </c>
      <c r="N793" s="18">
        <f>I793*K793*M793</f>
        <v/>
      </c>
    </row>
    <row r="794" ht="14.4" customHeight="1" s="1">
      <c r="B794" s="16" t="n">
        <v>789</v>
      </c>
      <c r="C794" s="16" t="inlineStr">
        <is>
          <t>现场实施、文档及培训</t>
        </is>
      </c>
      <c r="D794" s="16" t="inlineStr">
        <is>
          <t>监控大屏服务</t>
        </is>
      </c>
      <c r="E794" s="16" t="inlineStr">
        <is>
          <t>扩展看板配置</t>
        </is>
      </c>
      <c r="F794" s="16" t="inlineStr">
        <is>
          <t>趋势分析看板</t>
        </is>
      </c>
      <c r="G794" s="17" t="inlineStr">
        <is>
          <t xml:space="preserve"> 提供历史趋势分析看板配置服务</t>
        </is>
      </c>
      <c r="H794" s="18" t="inlineStr">
        <is>
          <t>EQ</t>
        </is>
      </c>
      <c r="I794" s="18">
        <f>IF(H794="ILF",10,IF(H794="EIF",7,IF(H794="EI",4,IF(H794="EO",5,IF(H794="EQ",4,"")))))</f>
        <v/>
      </c>
      <c r="J794" s="18" t="inlineStr">
        <is>
          <t>低</t>
        </is>
      </c>
      <c r="K794" s="18">
        <f>IF(J794="高",0.33,IF(J794="中",0.67,IF(J794="低",1,"")))</f>
        <v/>
      </c>
      <c r="L794" s="18" t="inlineStr">
        <is>
          <t>新增</t>
        </is>
      </c>
      <c r="M794" s="18">
        <f>IF(L794="新增",1,IF(L794="修改",0.8,IF(L794="删除",0.2,"")))</f>
        <v/>
      </c>
      <c r="N794" s="18">
        <f>I794*K794*M794</f>
        <v/>
      </c>
    </row>
    <row r="795" ht="14.4" customHeight="1" s="1">
      <c r="B795" s="16" t="n">
        <v>790</v>
      </c>
      <c r="C795" s="16" t="inlineStr">
        <is>
          <t>现场实施、文档及培训</t>
        </is>
      </c>
      <c r="D795" s="16" t="inlineStr">
        <is>
          <t>监控大屏服务</t>
        </is>
      </c>
      <c r="E795" s="16" t="inlineStr">
        <is>
          <t>扩展看板配置</t>
        </is>
      </c>
      <c r="F795" s="16" t="inlineStr">
        <is>
          <t>异常检测看板</t>
        </is>
      </c>
      <c r="G795" s="17" t="inlineStr">
        <is>
          <t xml:space="preserve"> 提供异常数据检测看板配置服务</t>
        </is>
      </c>
      <c r="H795" s="18" t="inlineStr">
        <is>
          <t>EQ</t>
        </is>
      </c>
      <c r="I795" s="18">
        <f>IF(H795="ILF",10,IF(H795="EIF",7,IF(H795="EI",4,IF(H795="EO",5,IF(H795="EQ",4,"")))))</f>
        <v/>
      </c>
      <c r="J795" s="18" t="inlineStr">
        <is>
          <t>低</t>
        </is>
      </c>
      <c r="K795" s="18">
        <f>IF(J795="高",0.33,IF(J795="中",0.67,IF(J795="低",1,"")))</f>
        <v/>
      </c>
      <c r="L795" s="18" t="inlineStr">
        <is>
          <t>新增</t>
        </is>
      </c>
      <c r="M795" s="18">
        <f>IF(L795="新增",1,IF(L795="修改",0.8,IF(L795="删除",0.2,"")))</f>
        <v/>
      </c>
      <c r="N795" s="18">
        <f>I795*K795*M795</f>
        <v/>
      </c>
    </row>
    <row r="796" ht="14.4" customHeight="1" s="1">
      <c r="B796" s="16" t="n">
        <v>791</v>
      </c>
      <c r="C796" s="16" t="inlineStr">
        <is>
          <t>现场实施、文档及培训</t>
        </is>
      </c>
      <c r="D796" s="16" t="inlineStr">
        <is>
          <t>监控大屏服务</t>
        </is>
      </c>
      <c r="E796" s="16" t="inlineStr">
        <is>
          <t>扩展看板配置</t>
        </is>
      </c>
      <c r="F796" s="16" t="inlineStr">
        <is>
          <t>排行榜看板</t>
        </is>
      </c>
      <c r="G796" s="17" t="inlineStr">
        <is>
          <t xml:space="preserve"> 提供指标排行榜看板配置服务</t>
        </is>
      </c>
      <c r="H796" s="18" t="inlineStr">
        <is>
          <t>EQ</t>
        </is>
      </c>
      <c r="I796" s="18">
        <f>IF(H796="ILF",10,IF(H796="EIF",7,IF(H796="EI",4,IF(H796="EO",5,IF(H796="EQ",4,"")))))</f>
        <v/>
      </c>
      <c r="J796" s="18" t="inlineStr">
        <is>
          <t>中</t>
        </is>
      </c>
      <c r="K796" s="18">
        <f>IF(J796="高",0.33,IF(J796="中",0.67,IF(J796="低",1,"")))</f>
        <v/>
      </c>
      <c r="L796" s="18" t="inlineStr">
        <is>
          <t>新增</t>
        </is>
      </c>
      <c r="M796" s="18">
        <f>IF(L796="新增",1,IF(L796="修改",0.8,IF(L796="删除",0.2,"")))</f>
        <v/>
      </c>
      <c r="N796" s="18">
        <f>I796*K796*M796</f>
        <v/>
      </c>
    </row>
    <row r="797" ht="14.4" customHeight="1" s="1">
      <c r="B797" s="16" t="n">
        <v>792</v>
      </c>
      <c r="C797" s="16" t="inlineStr">
        <is>
          <t>现场实施、文档及培训</t>
        </is>
      </c>
      <c r="D797" s="16" t="inlineStr">
        <is>
          <t>监控大屏服务</t>
        </is>
      </c>
      <c r="E797" s="16" t="inlineStr">
        <is>
          <t>扩展看板配置</t>
        </is>
      </c>
      <c r="F797" s="16" t="inlineStr">
        <is>
          <t>预警看板</t>
        </is>
      </c>
      <c r="G797" s="17" t="inlineStr">
        <is>
          <t xml:space="preserve"> 提供预警状态集中展示看板配置服务</t>
        </is>
      </c>
      <c r="H797" s="18" t="inlineStr">
        <is>
          <t>EQ</t>
        </is>
      </c>
      <c r="I797" s="18">
        <f>IF(H797="ILF",10,IF(H797="EIF",7,IF(H797="EI",4,IF(H797="EO",5,IF(H797="EQ",4,"")))))</f>
        <v/>
      </c>
      <c r="J797" s="18" t="inlineStr">
        <is>
          <t>中</t>
        </is>
      </c>
      <c r="K797" s="18">
        <f>IF(J797="高",0.33,IF(J797="中",0.67,IF(J797="低",1,"")))</f>
        <v/>
      </c>
      <c r="L797" s="18" t="inlineStr">
        <is>
          <t>新增</t>
        </is>
      </c>
      <c r="M797" s="18">
        <f>IF(L797="新增",1,IF(L797="修改",0.8,IF(L797="删除",0.2,"")))</f>
        <v/>
      </c>
      <c r="N797" s="18">
        <f>I797*K797*M797</f>
        <v/>
      </c>
    </row>
    <row r="798" ht="14.4" customHeight="1" s="1">
      <c r="B798" s="16" t="n">
        <v>793</v>
      </c>
      <c r="C798" s="16" t="inlineStr">
        <is>
          <t>现场实施、文档及培训</t>
        </is>
      </c>
      <c r="D798" s="16" t="inlineStr">
        <is>
          <t>监控大屏服务</t>
        </is>
      </c>
      <c r="E798" s="16" t="inlineStr">
        <is>
          <t>扩展看板配置</t>
        </is>
      </c>
      <c r="F798" s="16" t="inlineStr">
        <is>
          <t>运维看板</t>
        </is>
      </c>
      <c r="G798" s="17" t="inlineStr">
        <is>
          <t xml:space="preserve"> 提供系统运维状态看板配置服务</t>
        </is>
      </c>
      <c r="H798" s="18" t="inlineStr">
        <is>
          <t>EQ</t>
        </is>
      </c>
      <c r="I798" s="18">
        <f>IF(H798="ILF",10,IF(H798="EIF",7,IF(H798="EI",4,IF(H798="EO",5,IF(H798="EQ",4,"")))))</f>
        <v/>
      </c>
      <c r="J798" s="18" t="inlineStr">
        <is>
          <t>中</t>
        </is>
      </c>
      <c r="K798" s="18">
        <f>IF(J798="高",0.33,IF(J798="中",0.67,IF(J798="低",1,"")))</f>
        <v/>
      </c>
      <c r="L798" s="18" t="inlineStr">
        <is>
          <t>新增</t>
        </is>
      </c>
      <c r="M798" s="18">
        <f>IF(L798="新增",1,IF(L798="修改",0.8,IF(L798="删除",0.2,"")))</f>
        <v/>
      </c>
      <c r="N798" s="18">
        <f>I798*K798*M798</f>
        <v/>
      </c>
    </row>
    <row r="799" ht="14.4" customHeight="1" s="1">
      <c r="B799" s="16" t="n">
        <v>794</v>
      </c>
      <c r="C799" s="16" t="inlineStr">
        <is>
          <t>现场实施、文档及培训</t>
        </is>
      </c>
      <c r="D799" s="16" t="inlineStr">
        <is>
          <t>监控大屏服务</t>
        </is>
      </c>
      <c r="E799" s="16" t="inlineStr">
        <is>
          <t>扩展看板配置</t>
        </is>
      </c>
      <c r="F799" s="16" t="inlineStr">
        <is>
          <t>安全看板</t>
        </is>
      </c>
      <c r="G799" s="17" t="inlineStr">
        <is>
          <t xml:space="preserve"> 提供安全事件看板配置服务</t>
        </is>
      </c>
      <c r="H799" s="18" t="inlineStr">
        <is>
          <t>EQ</t>
        </is>
      </c>
      <c r="I799" s="18">
        <f>IF(H799="ILF",10,IF(H799="EIF",7,IF(H799="EI",4,IF(H799="EO",5,IF(H799="EQ",4,"")))))</f>
        <v/>
      </c>
      <c r="J799" s="18" t="inlineStr">
        <is>
          <t>中</t>
        </is>
      </c>
      <c r="K799" s="18">
        <f>IF(J799="高",0.33,IF(J799="中",0.67,IF(J799="低",1,"")))</f>
        <v/>
      </c>
      <c r="L799" s="18" t="inlineStr">
        <is>
          <t>新增</t>
        </is>
      </c>
      <c r="M799" s="18">
        <f>IF(L799="新增",1,IF(L799="修改",0.8,IF(L799="删除",0.2,"")))</f>
        <v/>
      </c>
      <c r="N799" s="18">
        <f>I799*K799*M799</f>
        <v/>
      </c>
    </row>
    <row r="800" ht="14.4" customHeight="1" s="1">
      <c r="B800" s="16" t="n">
        <v>795</v>
      </c>
      <c r="C800" s="16" t="inlineStr">
        <is>
          <t>现场实施、文档及培训</t>
        </is>
      </c>
      <c r="D800" s="16" t="inlineStr">
        <is>
          <t>监控大屏服务</t>
        </is>
      </c>
      <c r="E800" s="16" t="inlineStr">
        <is>
          <t>扩展看板配置</t>
        </is>
      </c>
      <c r="F800" s="16" t="inlineStr">
        <is>
          <t>大屏模式</t>
        </is>
      </c>
      <c r="G800" s="17" t="inlineStr">
        <is>
          <t xml:space="preserve"> 提供全屏大屏展示模式配置服务</t>
        </is>
      </c>
      <c r="H800" s="18" t="inlineStr">
        <is>
          <t>EQ</t>
        </is>
      </c>
      <c r="I800" s="18">
        <f>IF(H800="ILF",10,IF(H800="EIF",7,IF(H800="EI",4,IF(H800="EO",5,IF(H800="EQ",4,"")))))</f>
        <v/>
      </c>
      <c r="J800" s="18" t="inlineStr">
        <is>
          <t>中</t>
        </is>
      </c>
      <c r="K800" s="18">
        <f>IF(J800="高",0.33,IF(J800="中",0.67,IF(J800="低",1,"")))</f>
        <v/>
      </c>
      <c r="L800" s="18" t="inlineStr">
        <is>
          <t>新增</t>
        </is>
      </c>
      <c r="M800" s="18">
        <f>IF(L800="新增",1,IF(L800="修改",0.8,IF(L800="删除",0.2,"")))</f>
        <v/>
      </c>
      <c r="N800" s="18">
        <f>I800*K800*M800</f>
        <v/>
      </c>
    </row>
    <row r="801" ht="14.4" customHeight="1" s="1">
      <c r="B801" s="16" t="n">
        <v>796</v>
      </c>
      <c r="C801" s="16" t="inlineStr">
        <is>
          <t>现场实施、文档及培训</t>
        </is>
      </c>
      <c r="D801" s="16" t="inlineStr">
        <is>
          <t>监控大屏服务</t>
        </is>
      </c>
      <c r="E801" s="16" t="inlineStr">
        <is>
          <t>扩展看板配置</t>
        </is>
      </c>
      <c r="F801" s="16" t="inlineStr">
        <is>
          <t>自动轮播</t>
        </is>
      </c>
      <c r="G801" s="17" t="inlineStr">
        <is>
          <t xml:space="preserve"> 提供大屏自动轮播切换配置服务</t>
        </is>
      </c>
      <c r="H801" s="18" t="inlineStr">
        <is>
          <t>EQ</t>
        </is>
      </c>
      <c r="I801" s="18">
        <f>IF(H801="ILF",10,IF(H801="EIF",7,IF(H801="EI",4,IF(H801="EO",5,IF(H801="EQ",4,"")))))</f>
        <v/>
      </c>
      <c r="J801" s="18" t="inlineStr">
        <is>
          <t>中</t>
        </is>
      </c>
      <c r="K801" s="18">
        <f>IF(J801="高",0.33,IF(J801="中",0.67,IF(J801="低",1,"")))</f>
        <v/>
      </c>
      <c r="L801" s="18" t="inlineStr">
        <is>
          <t>新增</t>
        </is>
      </c>
      <c r="M801" s="18">
        <f>IF(L801="新增",1,IF(L801="修改",0.8,IF(L801="删除",0.2,"")))</f>
        <v/>
      </c>
      <c r="N801" s="18">
        <f>I801*K801*M801</f>
        <v/>
      </c>
    </row>
    <row r="802" ht="14.4" customHeight="1" s="1">
      <c r="B802" s="16" t="n">
        <v>797</v>
      </c>
      <c r="C802" s="16" t="inlineStr">
        <is>
          <t>现场实施、文档及培训</t>
        </is>
      </c>
      <c r="D802" s="16" t="inlineStr">
        <is>
          <t>监控大屏服务</t>
        </is>
      </c>
      <c r="E802" s="16" t="inlineStr">
        <is>
          <t>扩展看板配置</t>
        </is>
      </c>
      <c r="F802" s="16" t="inlineStr">
        <is>
          <t>多屏联动</t>
        </is>
      </c>
      <c r="G802" s="17" t="inlineStr">
        <is>
          <t xml:space="preserve"> 提供多屏同步联动展示配置服务</t>
        </is>
      </c>
      <c r="H802" s="18" t="inlineStr">
        <is>
          <t>EQ</t>
        </is>
      </c>
      <c r="I802" s="18">
        <f>IF(H802="ILF",10,IF(H802="EIF",7,IF(H802="EI",4,IF(H802="EO",5,IF(H802="EQ",4,"")))))</f>
        <v/>
      </c>
      <c r="J802" s="18" t="inlineStr">
        <is>
          <t>中</t>
        </is>
      </c>
      <c r="K802" s="18">
        <f>IF(J802="高",0.33,IF(J802="中",0.67,IF(J802="低",1,"")))</f>
        <v/>
      </c>
      <c r="L802" s="18" t="inlineStr">
        <is>
          <t>新增</t>
        </is>
      </c>
      <c r="M802" s="18">
        <f>IF(L802="新增",1,IF(L802="修改",0.8,IF(L802="删除",0.2,"")))</f>
        <v/>
      </c>
      <c r="N802" s="18">
        <f>I802*K802*M802</f>
        <v/>
      </c>
    </row>
    <row r="803" ht="14.4" customHeight="1" s="1">
      <c r="B803" s="16" t="n">
        <v>798</v>
      </c>
      <c r="C803" s="16" t="inlineStr">
        <is>
          <t>现场实施、文档及培训</t>
        </is>
      </c>
      <c r="D803" s="16" t="inlineStr">
        <is>
          <t>监控大屏服务</t>
        </is>
      </c>
      <c r="E803" s="16" t="inlineStr">
        <is>
          <t>扩展看板配置</t>
        </is>
      </c>
      <c r="F803" s="16" t="inlineStr">
        <is>
          <t>移动适配</t>
        </is>
      </c>
      <c r="G803" s="17" t="inlineStr">
        <is>
          <t xml:space="preserve"> 提供手机端自适应展示配置服务</t>
        </is>
      </c>
      <c r="H803" s="18" t="inlineStr">
        <is>
          <t>EQ</t>
        </is>
      </c>
      <c r="I803" s="18">
        <f>IF(H803="ILF",10,IF(H803="EIF",7,IF(H803="EI",4,IF(H803="EO",5,IF(H803="EQ",4,"")))))</f>
        <v/>
      </c>
      <c r="J803" s="18" t="inlineStr">
        <is>
          <t>中</t>
        </is>
      </c>
      <c r="K803" s="18">
        <f>IF(J803="高",0.33,IF(J803="中",0.67,IF(J803="低",1,"")))</f>
        <v/>
      </c>
      <c r="L803" s="18" t="inlineStr">
        <is>
          <t>新增</t>
        </is>
      </c>
      <c r="M803" s="18">
        <f>IF(L803="新增",1,IF(L803="修改",0.8,IF(L803="删除",0.2,"")))</f>
        <v/>
      </c>
      <c r="N803" s="18">
        <f>I803*K803*M803</f>
        <v/>
      </c>
    </row>
    <row r="804" ht="14.4" customHeight="1" s="1">
      <c r="B804" s="16" t="n">
        <v>799</v>
      </c>
      <c r="C804" s="16" t="inlineStr">
        <is>
          <t>现场实施、文档及培训</t>
        </is>
      </c>
      <c r="D804" s="16" t="inlineStr">
        <is>
          <t>监控大屏服务</t>
        </is>
      </c>
      <c r="E804" s="16" t="inlineStr">
        <is>
          <t>扩展看板配置</t>
        </is>
      </c>
      <c r="F804" s="16" t="inlineStr">
        <is>
          <t>数据预警</t>
        </is>
      </c>
      <c r="G804" s="17" t="inlineStr">
        <is>
          <t xml:space="preserve"> 提供数据预警条件配置服务</t>
        </is>
      </c>
      <c r="H804" s="18" t="inlineStr">
        <is>
          <t>EQ</t>
        </is>
      </c>
      <c r="I804" s="18">
        <f>IF(H804="ILF",10,IF(H804="EIF",7,IF(H804="EI",4,IF(H804="EO",5,IF(H804="EQ",4,"")))))</f>
        <v/>
      </c>
      <c r="J804" s="18" t="inlineStr">
        <is>
          <t>中</t>
        </is>
      </c>
      <c r="K804" s="18">
        <f>IF(J804="高",0.33,IF(J804="中",0.67,IF(J804="低",1,"")))</f>
        <v/>
      </c>
      <c r="L804" s="18" t="inlineStr">
        <is>
          <t>新增</t>
        </is>
      </c>
      <c r="M804" s="18">
        <f>IF(L804="新增",1,IF(L804="修改",0.8,IF(L804="删除",0.2,"")))</f>
        <v/>
      </c>
      <c r="N804" s="18">
        <f>I804*K804*M804</f>
        <v/>
      </c>
    </row>
    <row r="805" ht="14.4" customHeight="1" s="1">
      <c r="B805" s="16" t="n">
        <v>800</v>
      </c>
      <c r="C805" s="16" t="inlineStr">
        <is>
          <t>现场实施、文档及培训</t>
        </is>
      </c>
      <c r="D805" s="16" t="inlineStr">
        <is>
          <t>监控大屏服务</t>
        </is>
      </c>
      <c r="E805" s="16" t="inlineStr">
        <is>
          <t>扩展看板配置</t>
        </is>
      </c>
      <c r="F805" s="16" t="inlineStr">
        <is>
          <t>阈值预警</t>
        </is>
      </c>
      <c r="G805" s="17" t="inlineStr">
        <is>
          <t xml:space="preserve"> 提供指标阈值预警配置服务</t>
        </is>
      </c>
      <c r="H805" s="18" t="inlineStr">
        <is>
          <t>EQ</t>
        </is>
      </c>
      <c r="I805" s="18">
        <f>IF(H805="ILF",10,IF(H805="EIF",7,IF(H805="EI",4,IF(H805="EO",5,IF(H805="EQ",4,"")))))</f>
        <v/>
      </c>
      <c r="J805" s="18" t="inlineStr">
        <is>
          <t>中</t>
        </is>
      </c>
      <c r="K805" s="18">
        <f>IF(J805="高",0.33,IF(J805="中",0.67,IF(J805="低",1,"")))</f>
        <v/>
      </c>
      <c r="L805" s="18" t="inlineStr">
        <is>
          <t>新增</t>
        </is>
      </c>
      <c r="M805" s="18">
        <f>IF(L805="新增",1,IF(L805="修改",0.8,IF(L805="删除",0.2,"")))</f>
        <v/>
      </c>
      <c r="N805" s="18">
        <f>I805*K805*M805</f>
        <v/>
      </c>
    </row>
    <row r="806" ht="14.4" customHeight="1" s="1">
      <c r="B806" s="16" t="n">
        <v>801</v>
      </c>
      <c r="C806" s="16" t="inlineStr">
        <is>
          <t>项目集成验证及信创全栈适配</t>
        </is>
      </c>
      <c r="D806" s="16" t="inlineStr">
        <is>
          <t>虚拟设备模拟</t>
        </is>
      </c>
      <c r="E806" s="16" t="inlineStr">
        <is>
          <t>场景配置</t>
        </is>
      </c>
      <c r="F806" s="16" t="inlineStr">
        <is>
          <t>设备故障注入</t>
        </is>
      </c>
      <c r="G806" s="17" t="inlineStr">
        <is>
          <t xml:space="preserve"> 提供模拟设备故障场景服务</t>
        </is>
      </c>
      <c r="H806" s="18" t="inlineStr">
        <is>
          <t>ILF</t>
        </is>
      </c>
      <c r="I806" s="18">
        <f>IF(H806="ILF",10,IF(H806="EIF",7,IF(H806="EI",4,IF(H806="EO",5,IF(H806="EQ",4,"")))))</f>
        <v/>
      </c>
      <c r="J806" s="18" t="inlineStr">
        <is>
          <t>高</t>
        </is>
      </c>
      <c r="K806" s="18">
        <f>IF(J806="高",0.33,IF(J806="中",0.67,IF(J806="低",1,"")))</f>
        <v/>
      </c>
      <c r="L806" s="18" t="inlineStr">
        <is>
          <t>新增</t>
        </is>
      </c>
      <c r="M806" s="18">
        <f>IF(L806="新增",1,IF(L806="修改",0.8,IF(L806="删除",0.2,"")))</f>
        <v/>
      </c>
      <c r="N806" s="18">
        <f>I806*K806*M806</f>
        <v/>
      </c>
    </row>
    <row r="807" ht="14.4" customHeight="1" s="1">
      <c r="B807" s="16" t="n">
        <v>802</v>
      </c>
      <c r="C807" s="16" t="inlineStr">
        <is>
          <t>项目集成验证及信创全栈适配</t>
        </is>
      </c>
      <c r="D807" s="16" t="inlineStr">
        <is>
          <t>虚拟设备模拟</t>
        </is>
      </c>
      <c r="E807" s="16" t="inlineStr">
        <is>
          <t>场景配置</t>
        </is>
      </c>
      <c r="F807" s="16" t="inlineStr">
        <is>
          <t>通信中断模拟</t>
        </is>
      </c>
      <c r="G807" s="17" t="inlineStr">
        <is>
          <t xml:space="preserve"> 提供模拟通信中断场景服务</t>
        </is>
      </c>
      <c r="H807" s="18" t="inlineStr">
        <is>
          <t>ILF</t>
        </is>
      </c>
      <c r="I807" s="18">
        <f>IF(H807="ILF",10,IF(H807="EIF",7,IF(H807="EI",4,IF(H807="EO",5,IF(H807="EQ",4,"")))))</f>
        <v/>
      </c>
      <c r="J807" s="18" t="inlineStr">
        <is>
          <t>高</t>
        </is>
      </c>
      <c r="K807" s="18">
        <f>IF(J807="高",0.33,IF(J807="中",0.67,IF(J807="低",1,"")))</f>
        <v/>
      </c>
      <c r="L807" s="18" t="inlineStr">
        <is>
          <t>新增</t>
        </is>
      </c>
      <c r="M807" s="18">
        <f>IF(L807="新增",1,IF(L807="修改",0.8,IF(L807="删除",0.2,"")))</f>
        <v/>
      </c>
      <c r="N807" s="18">
        <f>I807*K807*M807</f>
        <v/>
      </c>
    </row>
    <row r="808" ht="14.4" customHeight="1" s="1">
      <c r="B808" s="16" t="n">
        <v>803</v>
      </c>
      <c r="C808" s="16" t="inlineStr">
        <is>
          <t>项目集成验证及信创全栈适配</t>
        </is>
      </c>
      <c r="D808" s="16" t="inlineStr">
        <is>
          <t>虚拟设备模拟</t>
        </is>
      </c>
      <c r="E808" s="16" t="inlineStr">
        <is>
          <t>数据生成</t>
        </is>
      </c>
      <c r="F808" s="16" t="inlineStr">
        <is>
          <t>脉冲数据</t>
        </is>
      </c>
      <c r="G808" s="17" t="inlineStr">
        <is>
          <t xml:space="preserve"> 提供模拟瞬时冲击事件脉冲数据生成服务</t>
        </is>
      </c>
      <c r="H808" s="18" t="inlineStr">
        <is>
          <t>ILF</t>
        </is>
      </c>
      <c r="I808" s="18">
        <f>IF(H808="ILF",10,IF(H808="EIF",7,IF(H808="EI",4,IF(H808="EO",5,IF(H808="EQ",4,"")))))</f>
        <v/>
      </c>
      <c r="J808" s="18" t="inlineStr">
        <is>
          <t>高</t>
        </is>
      </c>
      <c r="K808" s="18">
        <f>IF(J808="高",0.33,IF(J808="中",0.67,IF(J808="低",1,"")))</f>
        <v/>
      </c>
      <c r="L808" s="18" t="inlineStr">
        <is>
          <t>新增</t>
        </is>
      </c>
      <c r="M808" s="18">
        <f>IF(L808="新增",1,IF(L808="修改",0.8,IF(L808="删除",0.2,"")))</f>
        <v/>
      </c>
      <c r="N808" s="18">
        <f>I808*K808*M808</f>
        <v/>
      </c>
    </row>
    <row r="809" ht="14.4" customHeight="1" s="1">
      <c r="B809" s="16" t="n">
        <v>804</v>
      </c>
      <c r="C809" s="16" t="inlineStr">
        <is>
          <t>项目集成验证及信创全栈适配</t>
        </is>
      </c>
      <c r="D809" s="16" t="inlineStr">
        <is>
          <t>虚拟设备模拟</t>
        </is>
      </c>
      <c r="E809" s="16" t="inlineStr">
        <is>
          <t>场景编排</t>
        </is>
      </c>
      <c r="F809" s="16" t="inlineStr">
        <is>
          <t>长稳测试</t>
        </is>
      </c>
      <c r="G809" s="17" t="inlineStr">
        <is>
          <t xml:space="preserve"> 提供72小时长稳测试场景编排服务</t>
        </is>
      </c>
      <c r="H809" s="18" t="inlineStr">
        <is>
          <t>ILF</t>
        </is>
      </c>
      <c r="I809" s="18">
        <f>IF(H809="ILF",10,IF(H809="EIF",7,IF(H809="EI",4,IF(H809="EO",5,IF(H809="EQ",4,"")))))</f>
        <v/>
      </c>
      <c r="J809" s="18" t="inlineStr">
        <is>
          <t>高</t>
        </is>
      </c>
      <c r="K809" s="18">
        <f>IF(J809="高",0.33,IF(J809="中",0.67,IF(J809="低",1,"")))</f>
        <v/>
      </c>
      <c r="L809" s="18" t="inlineStr">
        <is>
          <t>新增</t>
        </is>
      </c>
      <c r="M809" s="18">
        <f>IF(L809="新增",1,IF(L809="修改",0.8,IF(L809="删除",0.2,"")))</f>
        <v/>
      </c>
      <c r="N809" s="18">
        <f>I809*K809*M809</f>
        <v/>
      </c>
    </row>
    <row r="810" ht="14.4" customHeight="1" s="1">
      <c r="B810" s="16" t="n">
        <v>805</v>
      </c>
      <c r="C810" s="16" t="inlineStr">
        <is>
          <t>项目集成验证及信创全栈适配</t>
        </is>
      </c>
      <c r="D810" s="16" t="inlineStr">
        <is>
          <t>虚拟设备模拟</t>
        </is>
      </c>
      <c r="E810" s="16" t="inlineStr">
        <is>
          <t>场景编排</t>
        </is>
      </c>
      <c r="F810" s="16" t="inlineStr">
        <is>
          <t>自动执行</t>
        </is>
      </c>
      <c r="G810" s="17" t="inlineStr">
        <is>
          <t xml:space="preserve"> 提供测试场景自动调度执行服务</t>
        </is>
      </c>
      <c r="H810" s="18" t="inlineStr">
        <is>
          <t>ILF</t>
        </is>
      </c>
      <c r="I810" s="18">
        <f>IF(H810="ILF",10,IF(H810="EIF",7,IF(H810="EI",4,IF(H810="EO",5,IF(H810="EQ",4,"")))))</f>
        <v/>
      </c>
      <c r="J810" s="18" t="inlineStr">
        <is>
          <t>高</t>
        </is>
      </c>
      <c r="K810" s="18">
        <f>IF(J810="高",0.33,IF(J810="中",0.67,IF(J810="低",1,"")))</f>
        <v/>
      </c>
      <c r="L810" s="18" t="inlineStr">
        <is>
          <t>新增</t>
        </is>
      </c>
      <c r="M810" s="18">
        <f>IF(L810="新增",1,IF(L810="修改",0.8,IF(L810="删除",0.2,"")))</f>
        <v/>
      </c>
      <c r="N810" s="18">
        <f>I810*K810*M810</f>
        <v/>
      </c>
    </row>
    <row r="811" ht="14.4" customHeight="1" s="1">
      <c r="B811" s="16" t="n">
        <v>806</v>
      </c>
      <c r="C811" s="16" t="inlineStr">
        <is>
          <t>项目集成验证及信创全栈适配</t>
        </is>
      </c>
      <c r="D811" s="16" t="inlineStr">
        <is>
          <t>虚拟设备模拟</t>
        </is>
      </c>
      <c r="E811" s="16" t="inlineStr">
        <is>
          <t>场景编排</t>
        </is>
      </c>
      <c r="F811" s="16" t="inlineStr">
        <is>
          <t>参数配置</t>
        </is>
      </c>
      <c r="G811" s="17" t="inlineStr">
        <is>
          <t xml:space="preserve"> 提供测试场景参数灵活配置服务</t>
        </is>
      </c>
      <c r="H811" s="18" t="inlineStr">
        <is>
          <t>ILF</t>
        </is>
      </c>
      <c r="I811" s="18">
        <f>IF(H811="ILF",10,IF(H811="EIF",7,IF(H811="EI",4,IF(H811="EO",5,IF(H811="EQ",4,"")))))</f>
        <v/>
      </c>
      <c r="J811" s="18" t="inlineStr">
        <is>
          <t>高</t>
        </is>
      </c>
      <c r="K811" s="18">
        <f>IF(J811="高",0.33,IF(J811="中",0.67,IF(J811="低",1,"")))</f>
        <v/>
      </c>
      <c r="L811" s="18" t="inlineStr">
        <is>
          <t>新增</t>
        </is>
      </c>
      <c r="M811" s="18">
        <f>IF(L811="新增",1,IF(L811="修改",0.8,IF(L811="删除",0.2,"")))</f>
        <v/>
      </c>
      <c r="N811" s="18">
        <f>I811*K811*M811</f>
        <v/>
      </c>
    </row>
    <row r="812" ht="14.4" customHeight="1" s="1">
      <c r="B812" s="16" t="n">
        <v>807</v>
      </c>
      <c r="C812" s="16" t="inlineStr">
        <is>
          <t>项目集成验证及信创全栈适配</t>
        </is>
      </c>
      <c r="D812" s="16" t="inlineStr">
        <is>
          <t>虚拟设备模拟</t>
        </is>
      </c>
      <c r="E812" s="16" t="inlineStr">
        <is>
          <t>场景编排</t>
        </is>
      </c>
      <c r="F812" s="16" t="inlineStr">
        <is>
          <t>过程监控</t>
        </is>
      </c>
      <c r="G812" s="17" t="inlineStr">
        <is>
          <t xml:space="preserve"> 提供测试场景执行状态实时监控服务</t>
        </is>
      </c>
      <c r="H812" s="18" t="inlineStr">
        <is>
          <t>ILF</t>
        </is>
      </c>
      <c r="I812" s="18">
        <f>IF(H812="ILF",10,IF(H812="EIF",7,IF(H812="EI",4,IF(H812="EO",5,IF(H812="EQ",4,"")))))</f>
        <v/>
      </c>
      <c r="J812" s="18" t="inlineStr">
        <is>
          <t>高</t>
        </is>
      </c>
      <c r="K812" s="18">
        <f>IF(J812="高",0.33,IF(J812="中",0.67,IF(J812="低",1,"")))</f>
        <v/>
      </c>
      <c r="L812" s="18" t="inlineStr">
        <is>
          <t>新增</t>
        </is>
      </c>
      <c r="M812" s="18">
        <f>IF(L812="新增",1,IF(L812="修改",0.8,IF(L812="删除",0.2,"")))</f>
        <v/>
      </c>
      <c r="N812" s="18">
        <f>I812*K812*M812</f>
        <v/>
      </c>
    </row>
    <row r="813" ht="14.4" customHeight="1" s="1">
      <c r="B813" s="16" t="n">
        <v>808</v>
      </c>
      <c r="C813" s="16" t="inlineStr">
        <is>
          <t>项目集成验证及信创全栈适配</t>
        </is>
      </c>
      <c r="D813" s="16" t="inlineStr">
        <is>
          <t>性能验证</t>
        </is>
      </c>
      <c r="E813" s="16" t="inlineStr">
        <is>
          <t>并发吞吐</t>
        </is>
      </c>
      <c r="F813" s="16" t="inlineStr">
        <is>
          <t>TDengine写入</t>
        </is>
      </c>
      <c r="G813" s="17" t="inlineStr">
        <is>
          <t xml:space="preserve"> 提供验证每秒写入点数/延迟p99/磁盘IOPS服务</t>
        </is>
      </c>
      <c r="H813" s="18" t="inlineStr">
        <is>
          <t>ILF</t>
        </is>
      </c>
      <c r="I813" s="18">
        <f>IF(H813="ILF",10,IF(H813="EIF",7,IF(H813="EI",4,IF(H813="EO",5,IF(H813="EQ",4,"")))))</f>
        <v/>
      </c>
      <c r="J813" s="18" t="inlineStr">
        <is>
          <t>高</t>
        </is>
      </c>
      <c r="K813" s="18">
        <f>IF(J813="高",0.33,IF(J813="中",0.67,IF(J813="低",1,"")))</f>
        <v/>
      </c>
      <c r="L813" s="18" t="inlineStr">
        <is>
          <t>修改</t>
        </is>
      </c>
      <c r="M813" s="18">
        <f>IF(L813="新增",1,IF(L813="修改",0.8,IF(L813="删除",0.2,"")))</f>
        <v/>
      </c>
      <c r="N813" s="18">
        <f>I813*K813*M813</f>
        <v/>
      </c>
    </row>
    <row r="814" ht="14.4" customHeight="1" s="1">
      <c r="B814" s="16" t="n">
        <v>809</v>
      </c>
      <c r="C814" s="16" t="inlineStr">
        <is>
          <t>项目集成验证及信创全栈适配</t>
        </is>
      </c>
      <c r="D814" s="16" t="inlineStr">
        <is>
          <t>性能验证</t>
        </is>
      </c>
      <c r="E814" s="16" t="inlineStr">
        <is>
          <t>并发吞吐</t>
        </is>
      </c>
      <c r="F814" s="16" t="inlineStr">
        <is>
          <t>流式计算</t>
        </is>
      </c>
      <c r="G814" s="17" t="inlineStr">
        <is>
          <t xml:space="preserve"> 提供验证流式计算引擎处理耗时&lt;1ms服务</t>
        </is>
      </c>
      <c r="H814" s="18" t="inlineStr">
        <is>
          <t>EIF</t>
        </is>
      </c>
      <c r="I814" s="18">
        <f>IF(H814="ILF",10,IF(H814="EIF",7,IF(H814="EI",4,IF(H814="EO",5,IF(H814="EQ",4,"")))))</f>
        <v/>
      </c>
      <c r="J814" s="18" t="inlineStr">
        <is>
          <t>中</t>
        </is>
      </c>
      <c r="K814" s="18">
        <f>IF(J814="高",0.33,IF(J814="中",0.67,IF(J814="低",1,"")))</f>
        <v/>
      </c>
      <c r="L814" s="18" t="inlineStr">
        <is>
          <t>新增</t>
        </is>
      </c>
      <c r="M814" s="18">
        <f>IF(L814="新增",1,IF(L814="修改",0.8,IF(L814="删除",0.2,"")))</f>
        <v/>
      </c>
      <c r="N814" s="18">
        <f>I814*K814*M814</f>
        <v/>
      </c>
    </row>
    <row r="815" ht="14.4" customHeight="1" s="1">
      <c r="B815" s="16" t="n">
        <v>810</v>
      </c>
      <c r="C815" s="16" t="inlineStr">
        <is>
          <t>项目集成验证及信创全栈适配</t>
        </is>
      </c>
      <c r="D815" s="16" t="inlineStr">
        <is>
          <t>性能验证</t>
        </is>
      </c>
      <c r="E815" s="16" t="inlineStr">
        <is>
          <t>并发吞吐</t>
        </is>
      </c>
      <c r="F815" s="16" t="inlineStr">
        <is>
          <t>告警命中率</t>
        </is>
      </c>
      <c r="G815" s="17" t="inlineStr">
        <is>
          <t xml:space="preserve"> 提供验证15种预置算法命中率服务</t>
        </is>
      </c>
      <c r="H815" s="18" t="inlineStr">
        <is>
          <t>EI</t>
        </is>
      </c>
      <c r="I815" s="18">
        <f>IF(H815="ILF",10,IF(H815="EIF",7,IF(H815="EI",4,IF(H815="EO",5,IF(H815="EQ",4,"")))))</f>
        <v/>
      </c>
      <c r="J815" s="18" t="inlineStr">
        <is>
          <t>中</t>
        </is>
      </c>
      <c r="K815" s="18">
        <f>IF(J815="高",0.33,IF(J815="中",0.67,IF(J815="低",1,"")))</f>
        <v/>
      </c>
      <c r="L815" s="18" t="inlineStr">
        <is>
          <t>新增</t>
        </is>
      </c>
      <c r="M815" s="18">
        <f>IF(L815="新增",1,IF(L815="修改",0.8,IF(L815="删除",0.2,"")))</f>
        <v/>
      </c>
      <c r="N815" s="18">
        <f>I815*K815*M815</f>
        <v/>
      </c>
    </row>
    <row r="816" ht="14.4" customHeight="1" s="1">
      <c r="B816" s="16" t="n">
        <v>811</v>
      </c>
      <c r="C816" s="16" t="inlineStr">
        <is>
          <t>项目集成验证及信创全栈适配</t>
        </is>
      </c>
      <c r="D816" s="16" t="inlineStr">
        <is>
          <t>性能验证</t>
        </is>
      </c>
      <c r="E816" s="16" t="inlineStr">
        <is>
          <t>并发吞吐</t>
        </is>
      </c>
      <c r="F816" s="16" t="inlineStr">
        <is>
          <t>MQTT推送</t>
        </is>
      </c>
      <c r="G816" s="17" t="inlineStr">
        <is>
          <t xml:space="preserve"> 提供验证MQTT推送吞吐量和延迟服务</t>
        </is>
      </c>
      <c r="H816" s="18" t="inlineStr">
        <is>
          <t>EI</t>
        </is>
      </c>
      <c r="I816" s="18">
        <f>IF(H816="ILF",10,IF(H816="EIF",7,IF(H816="EI",4,IF(H816="EO",5,IF(H816="EQ",4,"")))))</f>
        <v/>
      </c>
      <c r="J816" s="18" t="inlineStr">
        <is>
          <t>中</t>
        </is>
      </c>
      <c r="K816" s="18">
        <f>IF(J816="高",0.33,IF(J816="中",0.67,IF(J816="低",1,"")))</f>
        <v/>
      </c>
      <c r="L816" s="18" t="inlineStr">
        <is>
          <t>新增</t>
        </is>
      </c>
      <c r="M816" s="18">
        <f>IF(L816="新增",1,IF(L816="修改",0.8,IF(L816="删除",0.2,"")))</f>
        <v/>
      </c>
      <c r="N816" s="18">
        <f>I816*K816*M816</f>
        <v/>
      </c>
    </row>
    <row r="817" ht="14.4" customHeight="1" s="1">
      <c r="B817" s="16" t="n">
        <v>812</v>
      </c>
      <c r="C817" s="16" t="inlineStr">
        <is>
          <t>项目集成验证及信创全栈适配</t>
        </is>
      </c>
      <c r="D817" s="16" t="inlineStr">
        <is>
          <t>性能验证</t>
        </is>
      </c>
      <c r="E817" s="16" t="inlineStr">
        <is>
          <t>并发吞吐</t>
        </is>
      </c>
      <c r="F817" s="16" t="inlineStr">
        <is>
          <t>订阅延迟</t>
        </is>
      </c>
      <c r="G817" s="17" t="inlineStr">
        <is>
          <t xml:space="preserve"> 提供验证TDengine数据订阅延迟服务</t>
        </is>
      </c>
      <c r="H817" s="18" t="inlineStr">
        <is>
          <t>EI</t>
        </is>
      </c>
      <c r="I817" s="18">
        <f>IF(H817="ILF",10,IF(H817="EIF",7,IF(H817="EI",4,IF(H817="EO",5,IF(H817="EQ",4,"")))))</f>
        <v/>
      </c>
      <c r="J817" s="18" t="inlineStr">
        <is>
          <t>中</t>
        </is>
      </c>
      <c r="K817" s="18">
        <f>IF(J817="高",0.33,IF(J817="中",0.67,IF(J817="低",1,"")))</f>
        <v/>
      </c>
      <c r="L817" s="18" t="inlineStr">
        <is>
          <t>新增</t>
        </is>
      </c>
      <c r="M817" s="18">
        <f>IF(L817="新增",1,IF(L817="修改",0.8,IF(L817="删除",0.2,"")))</f>
        <v/>
      </c>
      <c r="N817" s="18">
        <f>I817*K817*M817</f>
        <v/>
      </c>
    </row>
    <row r="818" ht="14.4" customHeight="1" s="1">
      <c r="B818" s="16" t="n">
        <v>813</v>
      </c>
      <c r="C818" s="16" t="inlineStr">
        <is>
          <t>项目集成验证及信创全栈适配</t>
        </is>
      </c>
      <c r="D818" s="16" t="inlineStr">
        <is>
          <t>性能验证</t>
        </is>
      </c>
      <c r="E818" s="16" t="inlineStr">
        <is>
          <t>并发吞吐</t>
        </is>
      </c>
      <c r="F818" s="16" t="inlineStr">
        <is>
          <t>并发连接</t>
        </is>
      </c>
      <c r="G818" s="17" t="inlineStr">
        <is>
          <t xml:space="preserve"> 提供验证系统最大并发连接数服务</t>
        </is>
      </c>
      <c r="H818" s="18" t="inlineStr">
        <is>
          <t>EI</t>
        </is>
      </c>
      <c r="I818" s="18">
        <f>IF(H818="ILF",10,IF(H818="EIF",7,IF(H818="EI",4,IF(H818="EO",5,IF(H818="EQ",4,"")))))</f>
        <v/>
      </c>
      <c r="J818" s="18" t="inlineStr">
        <is>
          <t>中</t>
        </is>
      </c>
      <c r="K818" s="18">
        <f>IF(J818="高",0.33,IF(J818="中",0.67,IF(J818="低",1,"")))</f>
        <v/>
      </c>
      <c r="L818" s="18" t="inlineStr">
        <is>
          <t>新增</t>
        </is>
      </c>
      <c r="M818" s="18">
        <f>IF(L818="新增",1,IF(L818="修改",0.8,IF(L818="删除",0.2,"")))</f>
        <v/>
      </c>
      <c r="N818" s="18">
        <f>I818*K818*M818</f>
        <v/>
      </c>
    </row>
    <row r="819" ht="14.4" customHeight="1" s="1">
      <c r="B819" s="16" t="n">
        <v>814</v>
      </c>
      <c r="C819" s="16" t="inlineStr">
        <is>
          <t>项目集成验证及信创全栈适配</t>
        </is>
      </c>
      <c r="D819" s="16" t="inlineStr">
        <is>
          <t>性能验证</t>
        </is>
      </c>
      <c r="E819" s="16" t="inlineStr">
        <is>
          <t>长稳</t>
        </is>
      </c>
      <c r="F819" s="16" t="inlineStr">
        <is>
          <t>72小时运行</t>
        </is>
      </c>
      <c r="G819" s="17" t="inlineStr">
        <is>
          <t xml:space="preserve"> 提供连续72小时模拟生产负载稳定性测试服务</t>
        </is>
      </c>
      <c r="H819" s="18" t="inlineStr">
        <is>
          <t>EI</t>
        </is>
      </c>
      <c r="I819" s="18">
        <f>IF(H819="ILF",10,IF(H819="EIF",7,IF(H819="EI",4,IF(H819="EO",5,IF(H819="EQ",4,"")))))</f>
        <v/>
      </c>
      <c r="J819" s="18" t="inlineStr">
        <is>
          <t>中</t>
        </is>
      </c>
      <c r="K819" s="18">
        <f>IF(J819="高",0.33,IF(J819="中",0.67,IF(J819="低",1,"")))</f>
        <v/>
      </c>
      <c r="L819" s="18" t="inlineStr">
        <is>
          <t>新增</t>
        </is>
      </c>
      <c r="M819" s="18">
        <f>IF(L819="新增",1,IF(L819="修改",0.8,IF(L819="删除",0.2,"")))</f>
        <v/>
      </c>
      <c r="N819" s="18">
        <f>I819*K819*M819</f>
        <v/>
      </c>
    </row>
    <row r="820" ht="14.4" customHeight="1" s="1">
      <c r="B820" s="16" t="n">
        <v>815</v>
      </c>
      <c r="C820" s="16" t="inlineStr">
        <is>
          <t>项目集成验证及信创全栈适配</t>
        </is>
      </c>
      <c r="D820" s="16" t="inlineStr">
        <is>
          <t>性能验证</t>
        </is>
      </c>
      <c r="E820" s="16" t="inlineStr">
        <is>
          <t>长稳</t>
        </is>
      </c>
      <c r="F820" s="16" t="inlineStr">
        <is>
          <t>CPU监控</t>
        </is>
      </c>
      <c r="G820" s="17" t="inlineStr">
        <is>
          <t xml:space="preserve"> 提供72小时长稳中CPU使用率监控服务</t>
        </is>
      </c>
      <c r="H820" s="18" t="inlineStr">
        <is>
          <t>EI</t>
        </is>
      </c>
      <c r="I820" s="18">
        <f>IF(H820="ILF",10,IF(H820="EIF",7,IF(H820="EI",4,IF(H820="EO",5,IF(H820="EQ",4,"")))))</f>
        <v/>
      </c>
      <c r="J820" s="18" t="inlineStr">
        <is>
          <t>中</t>
        </is>
      </c>
      <c r="K820" s="18">
        <f>IF(J820="高",0.33,IF(J820="中",0.67,IF(J820="低",1,"")))</f>
        <v/>
      </c>
      <c r="L820" s="18" t="inlineStr">
        <is>
          <t>新增</t>
        </is>
      </c>
      <c r="M820" s="18">
        <f>IF(L820="新增",1,IF(L820="修改",0.8,IF(L820="删除",0.2,"")))</f>
        <v/>
      </c>
      <c r="N820" s="18">
        <f>I820*K820*M820</f>
        <v/>
      </c>
    </row>
    <row r="821" ht="14.4" customHeight="1" s="1">
      <c r="B821" s="16" t="n">
        <v>816</v>
      </c>
      <c r="C821" s="16" t="inlineStr">
        <is>
          <t>项目集成验证及信创全栈适配</t>
        </is>
      </c>
      <c r="D821" s="16" t="inlineStr">
        <is>
          <t>性能验证</t>
        </is>
      </c>
      <c r="E821" s="16" t="inlineStr">
        <is>
          <t>长稳</t>
        </is>
      </c>
      <c r="F821" s="16" t="inlineStr">
        <is>
          <t>内存监控</t>
        </is>
      </c>
      <c r="G821" s="17" t="inlineStr">
        <is>
          <t xml:space="preserve"> 提供72小时长稳中内存占用和泄漏检测服务</t>
        </is>
      </c>
      <c r="H821" s="18" t="inlineStr">
        <is>
          <t>EI</t>
        </is>
      </c>
      <c r="I821" s="18">
        <f>IF(H821="ILF",10,IF(H821="EIF",7,IF(H821="EI",4,IF(H821="EO",5,IF(H821="EQ",4,"")))))</f>
        <v/>
      </c>
      <c r="J821" s="18" t="inlineStr">
        <is>
          <t>中</t>
        </is>
      </c>
      <c r="K821" s="18">
        <f>IF(J821="高",0.33,IF(J821="中",0.67,IF(J821="低",1,"")))</f>
        <v/>
      </c>
      <c r="L821" s="18" t="inlineStr">
        <is>
          <t>新增</t>
        </is>
      </c>
      <c r="M821" s="18">
        <f>IF(L821="新增",1,IF(L821="修改",0.8,IF(L821="删除",0.2,"")))</f>
        <v/>
      </c>
      <c r="N821" s="18">
        <f>I821*K821*M821</f>
        <v/>
      </c>
    </row>
    <row r="822" ht="14.4" customHeight="1" s="1">
      <c r="B822" s="16" t="n">
        <v>817</v>
      </c>
      <c r="C822" s="16" t="inlineStr">
        <is>
          <t>项目集成验证及信创全栈适配</t>
        </is>
      </c>
      <c r="D822" s="16" t="inlineStr">
        <is>
          <t>性能验证</t>
        </is>
      </c>
      <c r="E822" s="16" t="inlineStr">
        <is>
          <t>长稳</t>
        </is>
      </c>
      <c r="F822" s="16" t="inlineStr">
        <is>
          <t>磁盘监控</t>
        </is>
      </c>
      <c r="G822" s="17" t="inlineStr">
        <is>
          <t xml:space="preserve"> 提供72小时长稳中磁盘IOPS监控服务</t>
        </is>
      </c>
      <c r="H822" s="18" t="inlineStr">
        <is>
          <t>EI</t>
        </is>
      </c>
      <c r="I822" s="18">
        <f>IF(H822="ILF",10,IF(H822="EIF",7,IF(H822="EI",4,IF(H822="EO",5,IF(H822="EQ",4,"")))))</f>
        <v/>
      </c>
      <c r="J822" s="18" t="inlineStr">
        <is>
          <t>中</t>
        </is>
      </c>
      <c r="K822" s="18">
        <f>IF(J822="高",0.33,IF(J822="中",0.67,IF(J822="低",1,"")))</f>
        <v/>
      </c>
      <c r="L822" s="18" t="inlineStr">
        <is>
          <t>新增</t>
        </is>
      </c>
      <c r="M822" s="18">
        <f>IF(L822="新增",1,IF(L822="修改",0.8,IF(L822="删除",0.2,"")))</f>
        <v/>
      </c>
      <c r="N822" s="18">
        <f>I822*K822*M822</f>
        <v/>
      </c>
    </row>
    <row r="823" ht="14.4" customHeight="1" s="1">
      <c r="B823" s="16" t="n">
        <v>818</v>
      </c>
      <c r="C823" s="16" t="inlineStr">
        <is>
          <t>项目集成验证及信创全栈适配</t>
        </is>
      </c>
      <c r="D823" s="16" t="inlineStr">
        <is>
          <t>性能验证</t>
        </is>
      </c>
      <c r="E823" s="16" t="inlineStr">
        <is>
          <t>长稳</t>
        </is>
      </c>
      <c r="F823" s="16" t="inlineStr">
        <is>
          <t>网络监控</t>
        </is>
      </c>
      <c r="G823" s="17" t="inlineStr">
        <is>
          <t xml:space="preserve"> 提供72小时长稳中带宽占用监控服务</t>
        </is>
      </c>
      <c r="H823" s="18" t="inlineStr">
        <is>
          <t>EI</t>
        </is>
      </c>
      <c r="I823" s="18">
        <f>IF(H823="ILF",10,IF(H823="EIF",7,IF(H823="EI",4,IF(H823="EO",5,IF(H823="EQ",4,"")))))</f>
        <v/>
      </c>
      <c r="J823" s="18" t="inlineStr">
        <is>
          <t>中</t>
        </is>
      </c>
      <c r="K823" s="18">
        <f>IF(J823="高",0.33,IF(J823="中",0.67,IF(J823="低",1,"")))</f>
        <v/>
      </c>
      <c r="L823" s="18" t="inlineStr">
        <is>
          <t>新增</t>
        </is>
      </c>
      <c r="M823" s="18">
        <f>IF(L823="新增",1,IF(L823="修改",0.8,IF(L823="删除",0.2,"")))</f>
        <v/>
      </c>
      <c r="N823" s="18">
        <f>I823*K823*M823</f>
        <v/>
      </c>
    </row>
    <row r="824" ht="14.4" customHeight="1" s="1">
      <c r="B824" s="16" t="n">
        <v>819</v>
      </c>
      <c r="C824" s="16" t="inlineStr">
        <is>
          <t>项目集成验证及信创全栈适配</t>
        </is>
      </c>
      <c r="D824" s="16" t="inlineStr">
        <is>
          <t>性能验证</t>
        </is>
      </c>
      <c r="E824" s="16" t="inlineStr">
        <is>
          <t>长稳</t>
        </is>
      </c>
      <c r="F824" s="16" t="inlineStr">
        <is>
          <t>连接数监控</t>
        </is>
      </c>
      <c r="G824" s="17" t="inlineStr">
        <is>
          <t xml:space="preserve"> 提供72小时连接数变化趋势监控服务</t>
        </is>
      </c>
      <c r="H824" s="18" t="inlineStr">
        <is>
          <t>EI</t>
        </is>
      </c>
      <c r="I824" s="18">
        <f>IF(H824="ILF",10,IF(H824="EIF",7,IF(H824="EI",4,IF(H824="EO",5,IF(H824="EQ",4,"")))))</f>
        <v/>
      </c>
      <c r="J824" s="18" t="inlineStr">
        <is>
          <t>中</t>
        </is>
      </c>
      <c r="K824" s="18">
        <f>IF(J824="高",0.33,IF(J824="中",0.67,IF(J824="低",1,"")))</f>
        <v/>
      </c>
      <c r="L824" s="18" t="inlineStr">
        <is>
          <t>新增</t>
        </is>
      </c>
      <c r="M824" s="18">
        <f>IF(L824="新增",1,IF(L824="修改",0.8,IF(L824="删除",0.2,"")))</f>
        <v/>
      </c>
      <c r="N824" s="18">
        <f>I824*K824*M824</f>
        <v/>
      </c>
    </row>
    <row r="825" ht="14.4" customHeight="1" s="1">
      <c r="B825" s="16" t="n">
        <v>820</v>
      </c>
      <c r="C825" s="16" t="inlineStr">
        <is>
          <t>项目集成验证及信创全栈适配</t>
        </is>
      </c>
      <c r="D825" s="16" t="inlineStr">
        <is>
          <t>性能验证</t>
        </is>
      </c>
      <c r="E825" s="16" t="inlineStr">
        <is>
          <t>长稳</t>
        </is>
      </c>
      <c r="F825" s="16" t="inlineStr">
        <is>
          <t>响应趋势</t>
        </is>
      </c>
      <c r="G825" s="17" t="inlineStr">
        <is>
          <t xml:space="preserve"> 提供72小时响应时间变化趋势分析服务</t>
        </is>
      </c>
      <c r="H825" s="18" t="inlineStr">
        <is>
          <t>EI</t>
        </is>
      </c>
      <c r="I825" s="18">
        <f>IF(H825="ILF",10,IF(H825="EIF",7,IF(H825="EI",4,IF(H825="EO",5,IF(H825="EQ",4,"")))))</f>
        <v/>
      </c>
      <c r="J825" s="18" t="inlineStr">
        <is>
          <t>中</t>
        </is>
      </c>
      <c r="K825" s="18">
        <f>IF(J825="高",0.33,IF(J825="中",0.67,IF(J825="低",1,"")))</f>
        <v/>
      </c>
      <c r="L825" s="18" t="inlineStr">
        <is>
          <t>新增</t>
        </is>
      </c>
      <c r="M825" s="18">
        <f>IF(L825="新增",1,IF(L825="修改",0.8,IF(L825="删除",0.2,"")))</f>
        <v/>
      </c>
      <c r="N825" s="18">
        <f>I825*K825*M825</f>
        <v/>
      </c>
    </row>
    <row r="826" ht="14.4" customHeight="1" s="1">
      <c r="B826" s="16" t="n">
        <v>821</v>
      </c>
      <c r="C826" s="16" t="inlineStr">
        <is>
          <t>项目集成验证及信创全栈适配</t>
        </is>
      </c>
      <c r="D826" s="16" t="inlineStr">
        <is>
          <t>性能验证</t>
        </is>
      </c>
      <c r="E826" s="16" t="inlineStr">
        <is>
          <t>长稳</t>
        </is>
      </c>
      <c r="F826" s="16" t="inlineStr">
        <is>
          <t>错误率</t>
        </is>
      </c>
      <c r="G826" s="17" t="inlineStr">
        <is>
          <t xml:space="preserve"> 提供72小时各类型错误率统计服务</t>
        </is>
      </c>
      <c r="H826" s="18" t="inlineStr">
        <is>
          <t>EI</t>
        </is>
      </c>
      <c r="I826" s="18">
        <f>IF(H826="ILF",10,IF(H826="EIF",7,IF(H826="EI",4,IF(H826="EO",5,IF(H826="EQ",4,"")))))</f>
        <v/>
      </c>
      <c r="J826" s="18" t="inlineStr">
        <is>
          <t>高</t>
        </is>
      </c>
      <c r="K826" s="18">
        <f>IF(J826="高",0.33,IF(J826="中",0.67,IF(J826="低",1,"")))</f>
        <v/>
      </c>
      <c r="L826" s="18" t="inlineStr">
        <is>
          <t>新增</t>
        </is>
      </c>
      <c r="M826" s="18">
        <f>IF(L826="新增",1,IF(L826="修改",0.8,IF(L826="删除",0.2,"")))</f>
        <v/>
      </c>
      <c r="N826" s="18">
        <f>I826*K826*M826</f>
        <v/>
      </c>
    </row>
    <row r="827" ht="14.4" customHeight="1" s="1">
      <c r="B827" s="16" t="n">
        <v>822</v>
      </c>
      <c r="C827" s="16" t="inlineStr">
        <is>
          <t>项目集成验证及信创全栈适配</t>
        </is>
      </c>
      <c r="D827" s="16" t="inlineStr">
        <is>
          <t>故障验证</t>
        </is>
      </c>
      <c r="E827" s="16" t="inlineStr">
        <is>
          <t>网络故障</t>
        </is>
      </c>
      <c r="F827" s="16" t="inlineStr">
        <is>
          <t>断开模拟</t>
        </is>
      </c>
      <c r="G827" s="17" t="inlineStr">
        <is>
          <t xml:space="preserve"> 提供随机断开设备连接验证重连能力服务</t>
        </is>
      </c>
      <c r="H827" s="18" t="inlineStr">
        <is>
          <t>EI</t>
        </is>
      </c>
      <c r="I827" s="18">
        <f>IF(H827="ILF",10,IF(H827="EIF",7,IF(H827="EI",4,IF(H827="EO",5,IF(H827="EQ",4,"")))))</f>
        <v/>
      </c>
      <c r="J827" s="18" t="inlineStr">
        <is>
          <t>高</t>
        </is>
      </c>
      <c r="K827" s="18">
        <f>IF(J827="高",0.33,IF(J827="中",0.67,IF(J827="低",1,"")))</f>
        <v/>
      </c>
      <c r="L827" s="18" t="inlineStr">
        <is>
          <t>新增</t>
        </is>
      </c>
      <c r="M827" s="18">
        <f>IF(L827="新增",1,IF(L827="修改",0.8,IF(L827="删除",0.2,"")))</f>
        <v/>
      </c>
      <c r="N827" s="18">
        <f>I827*K827*M827</f>
        <v/>
      </c>
    </row>
    <row r="828" ht="14.4" customHeight="1" s="1">
      <c r="B828" s="16" t="n">
        <v>823</v>
      </c>
      <c r="C828" s="16" t="inlineStr">
        <is>
          <t>项目集成验证及信创全栈适配</t>
        </is>
      </c>
      <c r="D828" s="16" t="inlineStr">
        <is>
          <t>故障验证</t>
        </is>
      </c>
      <c r="E828" s="16" t="inlineStr">
        <is>
          <t>网络故障</t>
        </is>
      </c>
      <c r="F828" s="16" t="inlineStr">
        <is>
          <t>超时模拟</t>
        </is>
      </c>
      <c r="G828" s="17" t="inlineStr">
        <is>
          <t xml:space="preserve"> 提供模拟网关响应超时验证重试机制服务</t>
        </is>
      </c>
      <c r="H828" s="18" t="inlineStr">
        <is>
          <t>EI</t>
        </is>
      </c>
      <c r="I828" s="18">
        <f>IF(H828="ILF",10,IF(H828="EIF",7,IF(H828="EI",4,IF(H828="EO",5,IF(H828="EQ",4,"")))))</f>
        <v/>
      </c>
      <c r="J828" s="18" t="inlineStr">
        <is>
          <t>高</t>
        </is>
      </c>
      <c r="K828" s="18">
        <f>IF(J828="高",0.33,IF(J828="中",0.67,IF(J828="低",1,"")))</f>
        <v/>
      </c>
      <c r="L828" s="18" t="inlineStr">
        <is>
          <t>新增</t>
        </is>
      </c>
      <c r="M828" s="18">
        <f>IF(L828="新增",1,IF(L828="修改",0.8,IF(L828="删除",0.2,"")))</f>
        <v/>
      </c>
      <c r="N828" s="18">
        <f>I828*K828*M828</f>
        <v/>
      </c>
    </row>
    <row r="829" ht="14.4" customHeight="1" s="1">
      <c r="B829" s="16" t="n">
        <v>824</v>
      </c>
      <c r="C829" s="16" t="inlineStr">
        <is>
          <t>项目集成验证及信创全栈适配</t>
        </is>
      </c>
      <c r="D829" s="16" t="inlineStr">
        <is>
          <t>故障验证</t>
        </is>
      </c>
      <c r="E829" s="16" t="inlineStr">
        <is>
          <t>网络故障</t>
        </is>
      </c>
      <c r="F829" s="16" t="inlineStr">
        <is>
          <t>分区模拟</t>
        </is>
      </c>
      <c r="G829" s="17" t="inlineStr">
        <is>
          <t xml:space="preserve"> 提供模拟生产网和办公网中断服务</t>
        </is>
      </c>
      <c r="H829" s="18" t="inlineStr">
        <is>
          <t>EI</t>
        </is>
      </c>
      <c r="I829" s="18">
        <f>IF(H829="ILF",10,IF(H829="EIF",7,IF(H829="EI",4,IF(H829="EO",5,IF(H829="EQ",4,"")))))</f>
        <v/>
      </c>
      <c r="J829" s="18" t="inlineStr">
        <is>
          <t>高</t>
        </is>
      </c>
      <c r="K829" s="18">
        <f>IF(J829="高",0.33,IF(J829="中",0.67,IF(J829="低",1,"")))</f>
        <v/>
      </c>
      <c r="L829" s="18" t="inlineStr">
        <is>
          <t>新增</t>
        </is>
      </c>
      <c r="M829" s="18">
        <f>IF(L829="新增",1,IF(L829="修改",0.8,IF(L829="删除",0.2,"")))</f>
        <v/>
      </c>
      <c r="N829" s="18">
        <f>I829*K829*M829</f>
        <v/>
      </c>
    </row>
    <row r="830" ht="14.4" customHeight="1" s="1">
      <c r="B830" s="16" t="n">
        <v>825</v>
      </c>
      <c r="C830" s="16" t="inlineStr">
        <is>
          <t>项目集成验证及信创全栈适配</t>
        </is>
      </c>
      <c r="D830" s="16" t="inlineStr">
        <is>
          <t>故障验证</t>
        </is>
      </c>
      <c r="E830" s="16" t="inlineStr">
        <is>
          <t>网络故障</t>
        </is>
      </c>
      <c r="F830" s="16" t="inlineStr">
        <is>
          <t>带宽限速</t>
        </is>
      </c>
      <c r="G830" s="17" t="inlineStr">
        <is>
          <t xml:space="preserve"> 提供模拟网络带宽受限场景服务</t>
        </is>
      </c>
      <c r="H830" s="18" t="inlineStr">
        <is>
          <t>EI</t>
        </is>
      </c>
      <c r="I830" s="18">
        <f>IF(H830="ILF",10,IF(H830="EIF",7,IF(H830="EI",4,IF(H830="EO",5,IF(H830="EQ",4,"")))))</f>
        <v/>
      </c>
      <c r="J830" s="18" t="inlineStr">
        <is>
          <t>高</t>
        </is>
      </c>
      <c r="K830" s="18">
        <f>IF(J830="高",0.33,IF(J830="中",0.67,IF(J830="低",1,"")))</f>
        <v/>
      </c>
      <c r="L830" s="18" t="inlineStr">
        <is>
          <t>新增</t>
        </is>
      </c>
      <c r="M830" s="18">
        <f>IF(L830="新增",1,IF(L830="修改",0.8,IF(L830="删除",0.2,"")))</f>
        <v/>
      </c>
      <c r="N830" s="18">
        <f>I830*K830*M830</f>
        <v/>
      </c>
    </row>
    <row r="831" ht="14.4" customHeight="1" s="1">
      <c r="B831" s="16" t="n">
        <v>826</v>
      </c>
      <c r="C831" s="16" t="inlineStr">
        <is>
          <t>项目集成验证及信创全栈适配</t>
        </is>
      </c>
      <c r="D831" s="16" t="inlineStr">
        <is>
          <t>故障验证</t>
        </is>
      </c>
      <c r="E831" s="16" t="inlineStr">
        <is>
          <t>网络故障</t>
        </is>
      </c>
      <c r="F831" s="16" t="inlineStr">
        <is>
          <t>DNS故障</t>
        </is>
      </c>
      <c r="G831" s="17" t="inlineStr">
        <is>
          <t xml:space="preserve"> 提供模拟DNS解析失败场景服务</t>
        </is>
      </c>
      <c r="H831" s="18" t="inlineStr">
        <is>
          <t>EI</t>
        </is>
      </c>
      <c r="I831" s="18">
        <f>IF(H831="ILF",10,IF(H831="EIF",7,IF(H831="EI",4,IF(H831="EO",5,IF(H831="EQ",4,"")))))</f>
        <v/>
      </c>
      <c r="J831" s="18" t="inlineStr">
        <is>
          <t>高</t>
        </is>
      </c>
      <c r="K831" s="18">
        <f>IF(J831="高",0.33,IF(J831="中",0.67,IF(J831="低",1,"")))</f>
        <v/>
      </c>
      <c r="L831" s="18" t="inlineStr">
        <is>
          <t>新增</t>
        </is>
      </c>
      <c r="M831" s="18">
        <f>IF(L831="新增",1,IF(L831="修改",0.8,IF(L831="删除",0.2,"")))</f>
        <v/>
      </c>
      <c r="N831" s="18">
        <f>I831*K831*M831</f>
        <v/>
      </c>
    </row>
    <row r="832" ht="14.4" customHeight="1" s="1">
      <c r="B832" s="16" t="n">
        <v>827</v>
      </c>
      <c r="C832" s="16" t="inlineStr">
        <is>
          <t>项目集成验证及信创全栈适配</t>
        </is>
      </c>
      <c r="D832" s="16" t="inlineStr">
        <is>
          <t>故障验证</t>
        </is>
      </c>
      <c r="E832" s="16" t="inlineStr">
        <is>
          <t>网络故障</t>
        </is>
      </c>
      <c r="F832" s="16" t="inlineStr">
        <is>
          <t>路由中断</t>
        </is>
      </c>
      <c r="G832" s="17" t="inlineStr">
        <is>
          <t xml:space="preserve"> 提供模拟路由中断场景服务</t>
        </is>
      </c>
      <c r="H832" s="18" t="inlineStr">
        <is>
          <t>EI</t>
        </is>
      </c>
      <c r="I832" s="18">
        <f>IF(H832="ILF",10,IF(H832="EIF",7,IF(H832="EI",4,IF(H832="EO",5,IF(H832="EQ",4,"")))))</f>
        <v/>
      </c>
      <c r="J832" s="18" t="inlineStr">
        <is>
          <t>高</t>
        </is>
      </c>
      <c r="K832" s="18">
        <f>IF(J832="高",0.33,IF(J832="中",0.67,IF(J832="低",1,"")))</f>
        <v/>
      </c>
      <c r="L832" s="18" t="inlineStr">
        <is>
          <t>新增</t>
        </is>
      </c>
      <c r="M832" s="18">
        <f>IF(L832="新增",1,IF(L832="修改",0.8,IF(L832="删除",0.2,"")))</f>
        <v/>
      </c>
      <c r="N832" s="18">
        <f>I832*K832*M832</f>
        <v/>
      </c>
    </row>
    <row r="833" ht="14.4" customHeight="1" s="1">
      <c r="B833" s="16" t="n">
        <v>828</v>
      </c>
      <c r="C833" s="16" t="inlineStr">
        <is>
          <t>项目集成验证及信创全栈适配</t>
        </is>
      </c>
      <c r="D833" s="16" t="inlineStr">
        <is>
          <t>故障验证</t>
        </is>
      </c>
      <c r="E833" s="16" t="inlineStr">
        <is>
          <t>网络故障</t>
        </is>
      </c>
      <c r="F833" s="16" t="inlineStr">
        <is>
          <t>防火墙阻断</t>
        </is>
      </c>
      <c r="G833" s="17" t="inlineStr">
        <is>
          <t xml:space="preserve"> 提供模拟防火墙策略阻断场景服务</t>
        </is>
      </c>
      <c r="H833" s="18" t="inlineStr">
        <is>
          <t>EI</t>
        </is>
      </c>
      <c r="I833" s="18">
        <f>IF(H833="ILF",10,IF(H833="EIF",7,IF(H833="EI",4,IF(H833="EO",5,IF(H833="EQ",4,"")))))</f>
        <v/>
      </c>
      <c r="J833" s="18" t="inlineStr">
        <is>
          <t>高</t>
        </is>
      </c>
      <c r="K833" s="18">
        <f>IF(J833="高",0.33,IF(J833="中",0.67,IF(J833="低",1,"")))</f>
        <v/>
      </c>
      <c r="L833" s="18" t="inlineStr">
        <is>
          <t>新增</t>
        </is>
      </c>
      <c r="M833" s="18">
        <f>IF(L833="新增",1,IF(L833="修改",0.8,IF(L833="删除",0.2,"")))</f>
        <v/>
      </c>
      <c r="N833" s="18">
        <f>I833*K833*M833</f>
        <v/>
      </c>
    </row>
    <row r="834" ht="14.4" customHeight="1" s="1">
      <c r="B834" s="16" t="n">
        <v>829</v>
      </c>
      <c r="C834" s="16" t="inlineStr">
        <is>
          <t>项目集成验证及信创全栈适配</t>
        </is>
      </c>
      <c r="D834" s="16" t="inlineStr">
        <is>
          <t>故障验证</t>
        </is>
      </c>
      <c r="E834" s="16" t="inlineStr">
        <is>
          <t>网络故障</t>
        </is>
      </c>
      <c r="F834" s="16" t="inlineStr">
        <is>
          <t>代理故障</t>
        </is>
      </c>
      <c r="G834" s="17" t="inlineStr">
        <is>
          <t xml:space="preserve"> 提供模拟DMZ代理服务故障场景服务</t>
        </is>
      </c>
      <c r="H834" s="18" t="inlineStr">
        <is>
          <t>EI</t>
        </is>
      </c>
      <c r="I834" s="18">
        <f>IF(H834="ILF",10,IF(H834="EIF",7,IF(H834="EI",4,IF(H834="EO",5,IF(H834="EQ",4,"")))))</f>
        <v/>
      </c>
      <c r="J834" s="18" t="inlineStr">
        <is>
          <t>高</t>
        </is>
      </c>
      <c r="K834" s="18">
        <f>IF(J834="高",0.33,IF(J834="中",0.67,IF(J834="低",1,"")))</f>
        <v/>
      </c>
      <c r="L834" s="18" t="inlineStr">
        <is>
          <t>新增</t>
        </is>
      </c>
      <c r="M834" s="18">
        <f>IF(L834="新增",1,IF(L834="修改",0.8,IF(L834="删除",0.2,"")))</f>
        <v/>
      </c>
      <c r="N834" s="18">
        <f>I834*K834*M834</f>
        <v/>
      </c>
    </row>
    <row r="835" ht="14.4" customHeight="1" s="1">
      <c r="B835" s="16" t="n">
        <v>830</v>
      </c>
      <c r="C835" s="16" t="inlineStr">
        <is>
          <t>项目集成验证及信创全栈适配</t>
        </is>
      </c>
      <c r="D835" s="16" t="inlineStr">
        <is>
          <t>故障验证</t>
        </is>
      </c>
      <c r="E835" s="16" t="inlineStr">
        <is>
          <t>数据故障</t>
        </is>
      </c>
      <c r="F835" s="16" t="inlineStr">
        <is>
          <t>异常报文</t>
        </is>
      </c>
      <c r="G835" s="17" t="inlineStr">
        <is>
          <t xml:space="preserve"> 提供写入格式错误Modbus报文验证容错服务</t>
        </is>
      </c>
      <c r="H835" s="18" t="inlineStr">
        <is>
          <t>EI</t>
        </is>
      </c>
      <c r="I835" s="18">
        <f>IF(H835="ILF",10,IF(H835="EIF",7,IF(H835="EI",4,IF(H835="EO",5,IF(H835="EQ",4,"")))))</f>
        <v/>
      </c>
      <c r="J835" s="18" t="inlineStr">
        <is>
          <t>高</t>
        </is>
      </c>
      <c r="K835" s="18">
        <f>IF(J835="高",0.33,IF(J835="中",0.67,IF(J835="低",1,"")))</f>
        <v/>
      </c>
      <c r="L835" s="18" t="inlineStr">
        <is>
          <t>新增</t>
        </is>
      </c>
      <c r="M835" s="18">
        <f>IF(L835="新增",1,IF(L835="修改",0.8,IF(L835="删除",0.2,"")))</f>
        <v/>
      </c>
      <c r="N835" s="18">
        <f>I835*K835*M835</f>
        <v/>
      </c>
    </row>
    <row r="836" ht="14.4" customHeight="1" s="1">
      <c r="B836" s="16" t="n">
        <v>831</v>
      </c>
      <c r="C836" s="16" t="inlineStr">
        <is>
          <t>项目集成验证及信创全栈适配</t>
        </is>
      </c>
      <c r="D836" s="16" t="inlineStr">
        <is>
          <t>故障验证</t>
        </is>
      </c>
      <c r="E836" s="16" t="inlineStr">
        <is>
          <t>数据故障</t>
        </is>
      </c>
      <c r="F836" s="16" t="inlineStr">
        <is>
          <t>格式错误</t>
        </is>
      </c>
      <c r="G836" s="17" t="inlineStr">
        <is>
          <t xml:space="preserve"> 提供模拟数据格式错误场景服务</t>
        </is>
      </c>
      <c r="H836" s="18" t="inlineStr">
        <is>
          <t>EI</t>
        </is>
      </c>
      <c r="I836" s="18">
        <f>IF(H836="ILF",10,IF(H836="EIF",7,IF(H836="EI",4,IF(H836="EO",5,IF(H836="EQ",4,"")))))</f>
        <v/>
      </c>
      <c r="J836" s="18" t="inlineStr">
        <is>
          <t>高</t>
        </is>
      </c>
      <c r="K836" s="18">
        <f>IF(J836="高",0.33,IF(J836="中",0.67,IF(J836="低",1,"")))</f>
        <v/>
      </c>
      <c r="L836" s="18" t="inlineStr">
        <is>
          <t>新增</t>
        </is>
      </c>
      <c r="M836" s="18">
        <f>IF(L836="新增",1,IF(L836="修改",0.8,IF(L836="删除",0.2,"")))</f>
        <v/>
      </c>
      <c r="N836" s="18">
        <f>I836*K836*M836</f>
        <v/>
      </c>
    </row>
    <row r="837" ht="14.4" customHeight="1" s="1">
      <c r="B837" s="16" t="n">
        <v>832</v>
      </c>
      <c r="C837" s="16" t="inlineStr">
        <is>
          <t>项目集成验证及信创全栈适配</t>
        </is>
      </c>
      <c r="D837" s="16" t="inlineStr">
        <is>
          <t>故障验证</t>
        </is>
      </c>
      <c r="E837" s="16" t="inlineStr">
        <is>
          <t>数据故障</t>
        </is>
      </c>
      <c r="F837" s="16" t="inlineStr">
        <is>
          <t>值越界</t>
        </is>
      </c>
      <c r="G837" s="17" t="inlineStr">
        <is>
          <t xml:space="preserve"> 提供模拟数据值超量程场景服务</t>
        </is>
      </c>
      <c r="H837" s="18" t="inlineStr">
        <is>
          <t>EI</t>
        </is>
      </c>
      <c r="I837" s="18">
        <f>IF(H837="ILF",10,IF(H837="EIF",7,IF(H837="EI",4,IF(H837="EO",5,IF(H837="EQ",4,"")))))</f>
        <v/>
      </c>
      <c r="J837" s="18" t="inlineStr">
        <is>
          <t>高</t>
        </is>
      </c>
      <c r="K837" s="18">
        <f>IF(J837="高",0.33,IF(J837="中",0.67,IF(J837="低",1,"")))</f>
        <v/>
      </c>
      <c r="L837" s="18" t="inlineStr">
        <is>
          <t>新增</t>
        </is>
      </c>
      <c r="M837" s="18">
        <f>IF(L837="新增",1,IF(L837="修改",0.8,IF(L837="删除",0.2,"")))</f>
        <v/>
      </c>
      <c r="N837" s="18">
        <f>I837*K837*M837</f>
        <v/>
      </c>
    </row>
    <row r="838" ht="14.4" customHeight="1" s="1">
      <c r="B838" s="16" t="n">
        <v>833</v>
      </c>
      <c r="C838" s="16" t="inlineStr">
        <is>
          <t>项目集成验证及信创全栈适配</t>
        </is>
      </c>
      <c r="D838" s="16" t="inlineStr">
        <is>
          <t>故障验证</t>
        </is>
      </c>
      <c r="E838" s="16" t="inlineStr">
        <is>
          <t>数据故障</t>
        </is>
      </c>
      <c r="F838" s="16" t="inlineStr">
        <is>
          <t>重复写入</t>
        </is>
      </c>
      <c r="G838" s="17" t="inlineStr">
        <is>
          <t xml:space="preserve"> 提供模拟数据重复写入场景服务</t>
        </is>
      </c>
      <c r="H838" s="18" t="inlineStr">
        <is>
          <t>EI</t>
        </is>
      </c>
      <c r="I838" s="18">
        <f>IF(H838="ILF",10,IF(H838="EIF",7,IF(H838="EI",4,IF(H838="EO",5,IF(H838="EQ",4,"")))))</f>
        <v/>
      </c>
      <c r="J838" s="18" t="inlineStr">
        <is>
          <t>高</t>
        </is>
      </c>
      <c r="K838" s="18">
        <f>IF(J838="高",0.33,IF(J838="中",0.67,IF(J838="低",1,"")))</f>
        <v/>
      </c>
      <c r="L838" s="18" t="inlineStr">
        <is>
          <t>新增</t>
        </is>
      </c>
      <c r="M838" s="18">
        <f>IF(L838="新增",1,IF(L838="修改",0.8,IF(L838="删除",0.2,"")))</f>
        <v/>
      </c>
      <c r="N838" s="18">
        <f>I838*K838*M838</f>
        <v/>
      </c>
    </row>
    <row r="839" ht="14.4" customHeight="1" s="1">
      <c r="B839" s="16" t="n">
        <v>834</v>
      </c>
      <c r="C839" s="16" t="inlineStr">
        <is>
          <t>项目集成验证及信创全栈适配</t>
        </is>
      </c>
      <c r="D839" s="16" t="inlineStr">
        <is>
          <t>性能验证服务</t>
        </is>
      </c>
      <c r="E839" s="16" t="inlineStr">
        <is>
          <t>性能指标测试</t>
        </is>
      </c>
      <c r="F839" s="16" t="inlineStr">
        <is>
          <t>采集延迟测试</t>
        </is>
      </c>
      <c r="G839" s="17" t="inlineStr">
        <is>
          <t xml:space="preserve"> 提供端到端数据采集延迟指标测试服务</t>
        </is>
      </c>
      <c r="H839" s="18" t="inlineStr">
        <is>
          <t>EI</t>
        </is>
      </c>
      <c r="I839" s="18">
        <f>IF(H839="ILF",10,IF(H839="EIF",7,IF(H839="EI",4,IF(H839="EO",5,IF(H839="EQ",4,"")))))</f>
        <v/>
      </c>
      <c r="J839" s="18" t="inlineStr">
        <is>
          <t>高</t>
        </is>
      </c>
      <c r="K839" s="18">
        <f>IF(J839="高",0.33,IF(J839="中",0.67,IF(J839="低",1,"")))</f>
        <v/>
      </c>
      <c r="L839" s="18" t="inlineStr">
        <is>
          <t>新增</t>
        </is>
      </c>
      <c r="M839" s="18">
        <f>IF(L839="新增",1,IF(L839="修改",0.8,IF(L839="删除",0.2,"")))</f>
        <v/>
      </c>
      <c r="N839" s="18">
        <f>I839*K839*M839</f>
        <v/>
      </c>
    </row>
    <row r="840" ht="14.4" customHeight="1" s="1">
      <c r="B840" s="16" t="n">
        <v>835</v>
      </c>
      <c r="C840" s="16" t="inlineStr">
        <is>
          <t>项目集成验证及信创全栈适配</t>
        </is>
      </c>
      <c r="D840" s="16" t="inlineStr">
        <is>
          <t>性能验证服务</t>
        </is>
      </c>
      <c r="E840" s="16" t="inlineStr">
        <is>
          <t>性能指标测试</t>
        </is>
      </c>
      <c r="F840" s="16" t="inlineStr">
        <is>
          <t>协议解析延迟测试</t>
        </is>
      </c>
      <c r="G840" s="17" t="inlineStr">
        <is>
          <t xml:space="preserve"> 提供协议解析环节处理延迟测试服务</t>
        </is>
      </c>
      <c r="H840" s="18" t="inlineStr">
        <is>
          <t>EI</t>
        </is>
      </c>
      <c r="I840" s="18">
        <f>IF(H840="ILF",10,IF(H840="EIF",7,IF(H840="EI",4,IF(H840="EO",5,IF(H840="EQ",4,"")))))</f>
        <v/>
      </c>
      <c r="J840" s="18" t="inlineStr">
        <is>
          <t>高</t>
        </is>
      </c>
      <c r="K840" s="18">
        <f>IF(J840="高",0.33,IF(J840="中",0.67,IF(J840="低",1,"")))</f>
        <v/>
      </c>
      <c r="L840" s="18" t="inlineStr">
        <is>
          <t>新增</t>
        </is>
      </c>
      <c r="M840" s="18">
        <f>IF(L840="新增",1,IF(L840="修改",0.8,IF(L840="删除",0.2,"")))</f>
        <v/>
      </c>
      <c r="N840" s="18">
        <f>I840*K840*M840</f>
        <v/>
      </c>
    </row>
    <row r="841" ht="14.4" customHeight="1" s="1">
      <c r="B841" s="16" t="n">
        <v>836</v>
      </c>
      <c r="C841" s="16" t="inlineStr">
        <is>
          <t>项目集成验证及信创全栈适配</t>
        </is>
      </c>
      <c r="D841" s="16" t="inlineStr">
        <is>
          <t>性能验证服务</t>
        </is>
      </c>
      <c r="E841" s="16" t="inlineStr">
        <is>
          <t>性能指标测试</t>
        </is>
      </c>
      <c r="F841" s="16" t="inlineStr">
        <is>
          <t>告警判定延迟测试</t>
        </is>
      </c>
      <c r="G841" s="17" t="inlineStr">
        <is>
          <t xml:space="preserve"> 提供告警规则判定处理延迟测试服务</t>
        </is>
      </c>
      <c r="H841" s="18" t="inlineStr">
        <is>
          <t>EO</t>
        </is>
      </c>
      <c r="I841" s="18">
        <f>IF(H841="ILF",10,IF(H841="EIF",7,IF(H841="EI",4,IF(H841="EO",5,IF(H841="EQ",4,"")))))</f>
        <v/>
      </c>
      <c r="J841" s="18" t="inlineStr">
        <is>
          <t>低</t>
        </is>
      </c>
      <c r="K841" s="18">
        <f>IF(J841="高",0.33,IF(J841="中",0.67,IF(J841="低",1,"")))</f>
        <v/>
      </c>
      <c r="L841" s="18" t="inlineStr">
        <is>
          <t>修改</t>
        </is>
      </c>
      <c r="M841" s="18">
        <f>IF(L841="新增",1,IF(L841="修改",0.8,IF(L841="删除",0.2,"")))</f>
        <v/>
      </c>
      <c r="N841" s="18">
        <f>I841*K841*M841</f>
        <v/>
      </c>
    </row>
    <row r="842" ht="14.4" customHeight="1" s="1">
      <c r="B842" s="16" t="n">
        <v>837</v>
      </c>
      <c r="C842" s="16" t="inlineStr">
        <is>
          <t>项目集成验证及信创全栈适配</t>
        </is>
      </c>
      <c r="D842" s="16" t="inlineStr">
        <is>
          <t>性能验证服务</t>
        </is>
      </c>
      <c r="E842" s="16" t="inlineStr">
        <is>
          <t>并发能力测试</t>
        </is>
      </c>
      <c r="F842" s="16" t="inlineStr">
        <is>
          <t>多设备并发接入测试</t>
        </is>
      </c>
      <c r="G842" s="17" t="inlineStr">
        <is>
          <t xml:space="preserve"> 提供多台RTU同时并发接入的性能测试服务</t>
        </is>
      </c>
      <c r="H842" s="18" t="inlineStr">
        <is>
          <t>EO</t>
        </is>
      </c>
      <c r="I842" s="18">
        <f>IF(H842="ILF",10,IF(H842="EIF",7,IF(H842="EI",4,IF(H842="EO",5,IF(H842="EQ",4,"")))))</f>
        <v/>
      </c>
      <c r="J842" s="18" t="inlineStr">
        <is>
          <t>中</t>
        </is>
      </c>
      <c r="K842" s="18">
        <f>IF(J842="高",0.33,IF(J842="中",0.67,IF(J842="低",1,"")))</f>
        <v/>
      </c>
      <c r="L842" s="18" t="inlineStr">
        <is>
          <t>新增</t>
        </is>
      </c>
      <c r="M842" s="18">
        <f>IF(L842="新增",1,IF(L842="修改",0.8,IF(L842="删除",0.2,"")))</f>
        <v/>
      </c>
      <c r="N842" s="18">
        <f>I842*K842*M842</f>
        <v/>
      </c>
    </row>
    <row r="843" ht="14.4" customHeight="1" s="1">
      <c r="B843" s="16" t="n">
        <v>838</v>
      </c>
      <c r="C843" s="16" t="inlineStr">
        <is>
          <t>项目集成验证及信创全栈适配</t>
        </is>
      </c>
      <c r="D843" s="16" t="inlineStr">
        <is>
          <t>性能验证服务</t>
        </is>
      </c>
      <c r="E843" s="16" t="inlineStr">
        <is>
          <t>并发能力测试</t>
        </is>
      </c>
      <c r="F843" s="16" t="inlineStr">
        <is>
          <t>多协议并发解析测试</t>
        </is>
      </c>
      <c r="G843" s="17" t="inlineStr">
        <is>
          <t xml:space="preserve"> 提供多种协议同时并发解析的性能测试服务</t>
        </is>
      </c>
      <c r="H843" s="18" t="inlineStr">
        <is>
          <t>EO</t>
        </is>
      </c>
      <c r="I843" s="18">
        <f>IF(H843="ILF",10,IF(H843="EIF",7,IF(H843="EI",4,IF(H843="EO",5,IF(H843="EQ",4,"")))))</f>
        <v/>
      </c>
      <c r="J843" s="18" t="inlineStr">
        <is>
          <t>高</t>
        </is>
      </c>
      <c r="K843" s="18">
        <f>IF(J843="高",0.33,IF(J843="中",0.67,IF(J843="低",1,"")))</f>
        <v/>
      </c>
      <c r="L843" s="18" t="inlineStr">
        <is>
          <t>新增</t>
        </is>
      </c>
      <c r="M843" s="18">
        <f>IF(L843="新增",1,IF(L843="修改",0.8,IF(L843="删除",0.2,"")))</f>
        <v/>
      </c>
      <c r="N843" s="18">
        <f>I843*K843*M843</f>
        <v/>
      </c>
    </row>
    <row r="844" ht="14.4" customHeight="1" s="1">
      <c r="B844" s="16" t="n">
        <v>839</v>
      </c>
      <c r="C844" s="16" t="inlineStr">
        <is>
          <t>项目集成验证及信创全栈适配</t>
        </is>
      </c>
      <c r="D844" s="16" t="inlineStr">
        <is>
          <t>性能验证服务</t>
        </is>
      </c>
      <c r="E844" s="16" t="inlineStr">
        <is>
          <t>稳定性指标测试</t>
        </is>
      </c>
      <c r="F844" s="16" t="inlineStr">
        <is>
          <t>长期运行稳定性报告</t>
        </is>
      </c>
      <c r="G844" s="17" t="inlineStr">
        <is>
          <t xml:space="preserve"> 提供系统长期运行稳定性评估报告服务</t>
        </is>
      </c>
      <c r="H844" s="18" t="inlineStr">
        <is>
          <t>EO</t>
        </is>
      </c>
      <c r="I844" s="18">
        <f>IF(H844="ILF",10,IF(H844="EIF",7,IF(H844="EI",4,IF(H844="EO",5,IF(H844="EQ",4,"")))))</f>
        <v/>
      </c>
      <c r="J844" s="18" t="inlineStr">
        <is>
          <t>高</t>
        </is>
      </c>
      <c r="K844" s="18">
        <f>IF(J844="高",0.33,IF(J844="中",0.67,IF(J844="低",1,"")))</f>
        <v/>
      </c>
      <c r="L844" s="18" t="inlineStr">
        <is>
          <t>新增</t>
        </is>
      </c>
      <c r="M844" s="18">
        <f>IF(L844="新增",1,IF(L844="修改",0.8,IF(L844="删除",0.2,"")))</f>
        <v/>
      </c>
      <c r="N844" s="18">
        <f>I844*K844*M844</f>
        <v/>
      </c>
    </row>
    <row r="845" ht="14.4" customHeight="1" s="1">
      <c r="B845" s="16" t="n">
        <v>840</v>
      </c>
      <c r="C845" s="16" t="inlineStr">
        <is>
          <t>项目集成验证及信创全栈适配</t>
        </is>
      </c>
      <c r="D845" s="16" t="inlineStr">
        <is>
          <t>虚拟设备模拟</t>
        </is>
      </c>
      <c r="E845" s="16" t="inlineStr">
        <is>
          <t>场景配置</t>
        </is>
      </c>
      <c r="F845" s="16" t="inlineStr">
        <is>
          <t>中科模拟</t>
        </is>
      </c>
      <c r="G845" s="17" t="inlineStr">
        <is>
          <t xml:space="preserve"> 提供中科网关RTU虚拟设备模拟服务</t>
        </is>
      </c>
      <c r="H845" s="18" t="inlineStr">
        <is>
          <t>EQ</t>
        </is>
      </c>
      <c r="I845" s="18">
        <f>IF(H845="ILF",10,IF(H845="EIF",7,IF(H845="EI",4,IF(H845="EO",5,IF(H845="EQ",4,"")))))</f>
        <v/>
      </c>
      <c r="J845" s="18" t="inlineStr">
        <is>
          <t>低</t>
        </is>
      </c>
      <c r="K845" s="18">
        <f>IF(J845="高",0.33,IF(J845="中",0.67,IF(J845="低",1,"")))</f>
        <v/>
      </c>
      <c r="L845" s="18" t="inlineStr">
        <is>
          <t>新增</t>
        </is>
      </c>
      <c r="M845" s="18">
        <f>IF(L845="新增",1,IF(L845="修改",0.8,IF(L845="删除",0.2,"")))</f>
        <v/>
      </c>
      <c r="N845" s="18">
        <f>I845*K845*M845</f>
        <v/>
      </c>
    </row>
    <row r="846" ht="14.4" customHeight="1" s="1">
      <c r="B846" s="16" t="n">
        <v>841</v>
      </c>
      <c r="C846" s="16" t="inlineStr">
        <is>
          <t>项目集成验证及信创全栈适配</t>
        </is>
      </c>
      <c r="D846" s="16" t="inlineStr">
        <is>
          <t>虚拟设备模拟</t>
        </is>
      </c>
      <c r="E846" s="16" t="inlineStr">
        <is>
          <t>场景配置</t>
        </is>
      </c>
      <c r="F846" s="16" t="inlineStr">
        <is>
          <t>多协议混合</t>
        </is>
      </c>
      <c r="G846" s="17" t="inlineStr">
        <is>
          <t xml:space="preserve"> 提供Modbus RTU/TCP/OPC UA混合模拟服务</t>
        </is>
      </c>
      <c r="H846" s="18" t="inlineStr">
        <is>
          <t>EQ</t>
        </is>
      </c>
      <c r="I846" s="18">
        <f>IF(H846="ILF",10,IF(H846="EIF",7,IF(H846="EI",4,IF(H846="EO",5,IF(H846="EQ",4,"")))))</f>
        <v/>
      </c>
      <c r="J846" s="18" t="inlineStr">
        <is>
          <t>中</t>
        </is>
      </c>
      <c r="K846" s="18">
        <f>IF(J846="高",0.33,IF(J846="中",0.67,IF(J846="低",1,"")))</f>
        <v/>
      </c>
      <c r="L846" s="18" t="inlineStr">
        <is>
          <t>新增</t>
        </is>
      </c>
      <c r="M846" s="18">
        <f>IF(L846="新增",1,IF(L846="修改",0.8,IF(L846="删除",0.2,"")))</f>
        <v/>
      </c>
      <c r="N846" s="18">
        <f>I846*K846*M846</f>
        <v/>
      </c>
    </row>
    <row r="847" ht="14.4" customHeight="1" s="1">
      <c r="B847" s="16" t="n">
        <v>842</v>
      </c>
      <c r="C847" s="16" t="inlineStr">
        <is>
          <t>项目集成验证及信创全栈适配</t>
        </is>
      </c>
      <c r="D847" s="16" t="inlineStr">
        <is>
          <t>虚拟设备模拟</t>
        </is>
      </c>
      <c r="E847" s="16" t="inlineStr">
        <is>
          <t>场景配置</t>
        </is>
      </c>
      <c r="F847" s="16" t="inlineStr">
        <is>
          <t>多站点并发</t>
        </is>
      </c>
      <c r="G847" s="17" t="inlineStr">
        <is>
          <t xml:space="preserve"> 提供多作业区同时并发采集模拟服务</t>
        </is>
      </c>
      <c r="H847" s="18" t="inlineStr">
        <is>
          <t>EQ</t>
        </is>
      </c>
      <c r="I847" s="18">
        <f>IF(H847="ILF",10,IF(H847="EIF",7,IF(H847="EI",4,IF(H847="EO",5,IF(H847="EQ",4,"")))))</f>
        <v/>
      </c>
      <c r="J847" s="18" t="inlineStr">
        <is>
          <t>高</t>
        </is>
      </c>
      <c r="K847" s="18">
        <f>IF(J847="高",0.33,IF(J847="中",0.67,IF(J847="低",1,"")))</f>
        <v/>
      </c>
      <c r="L847" s="18" t="inlineStr">
        <is>
          <t>新增</t>
        </is>
      </c>
      <c r="M847" s="18">
        <f>IF(L847="新增",1,IF(L847="修改",0.8,IF(L847="删除",0.2,"")))</f>
        <v/>
      </c>
      <c r="N847" s="18">
        <f>I847*K847*M847</f>
        <v/>
      </c>
    </row>
  </sheetData>
  <autoFilter ref="B5:O847"/>
  <mergeCells count="7">
    <mergeCell ref="B1:O1"/>
    <mergeCell ref="B2:C2"/>
    <mergeCell ref="D2:O2"/>
    <mergeCell ref="B3:C3"/>
    <mergeCell ref="D4:O4"/>
    <mergeCell ref="D3:O3"/>
    <mergeCell ref="B4:C4"/>
  </mergeCells>
  <dataValidations count="4">
    <dataValidation sqref="D2" showDropDown="0" showInputMessage="1" showErrorMessage="1" allowBlank="1" type="list">
      <formula1>"预估功能点,估算功能点"</formula1>
    </dataValidation>
    <dataValidation sqref="J6" showDropDown="0" showInputMessage="1" showErrorMessage="1" allowBlank="1" type="list">
      <formula1>"高,中,低"</formula1>
    </dataValidation>
    <dataValidation sqref="L6" showDropDown="0" showInputMessage="1" showErrorMessage="1" allowBlank="1" type="list">
      <formula1>"新增,修改,删除"</formula1>
    </dataValidation>
    <dataValidation sqref="H1:H5" showDropDown="0" showInputMessage="1" showErrorMessage="1" allowBlank="1" type="list">
      <formula1>"ILF,EIF,EI,EO,EQ"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dqgz3</dc:creator>
  <dcterms:created xmlns:dcterms="http://purl.org/dc/terms/" xmlns:xsi="http://www.w3.org/2001/XMLSchema-instance" xsi:type="dcterms:W3CDTF">2025-05-28T11:45:00Z</dcterms:created>
  <dcterms:modified xmlns:dcterms="http://purl.org/dc/terms/" xmlns:xsi="http://www.w3.org/2001/XMLSchema-instance" xsi:type="dcterms:W3CDTF">2026-08-06T05:47:58Z</dcterms:modified>
  <cp:lastModifiedBy>David huo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B50A02FEC770434F97C8B497AFB14B26_13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